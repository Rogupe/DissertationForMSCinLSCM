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ISMA_log" sheetId="1" state="visible" r:id="rId1"/>
    <sheet xmlns:r="http://schemas.openxmlformats.org/officeDocument/2006/relationships" name="Screening" sheetId="2" state="visible" r:id="rId2"/>
    <sheet xmlns:r="http://schemas.openxmlformats.org/officeDocument/2006/relationships" name="Coding" sheetId="3" state="visible" r:id="rId3"/>
    <sheet xmlns:r="http://schemas.openxmlformats.org/officeDocument/2006/relationships" name="Codebook" sheetId="4" state="visible" r:id="rId4"/>
    <sheet xmlns:r="http://schemas.openxmlformats.org/officeDocument/2006/relationships" name="Snowballing_E4" sheetId="5" state="visible" r:id="rId5"/>
    <sheet xmlns:r="http://schemas.openxmlformats.org/officeDocument/2006/relationships" name="Antecedentes_C8" sheetId="6" state="visible" r:id="rId6"/>
    <sheet xmlns:r="http://schemas.openxmlformats.org/officeDocument/2006/relationships" name="Includes_fulltext" sheetId="7" state="visible" r:id="rId7"/>
    <sheet xmlns:r="http://schemas.openxmlformats.org/officeDocument/2006/relationships" name="Fulltext_eligibility" sheetId="8" state="visible" r:id="rId8"/>
    <sheet xmlns:r="http://schemas.openxmlformats.org/officeDocument/2006/relationships" name="FT_quotes" sheetId="9" state="visible" r:id="rId9"/>
    <sheet xmlns:r="http://schemas.openxmlformats.org/officeDocument/2006/relationships" name="Synthesis" sheetId="10" state="visible" r:id="rId10"/>
    <sheet xmlns:r="http://schemas.openxmlformats.org/officeDocument/2006/relationships" name="Included_studies" sheetId="11" state="visible" r:id="rId11"/>
  </sheets>
  <definedNames>
    <definedName name="_xlnm._FilterDatabase" localSheetId="1" hidden="1">'Screening'!$A$1:$S$713</definedName>
    <definedName name="_xlnm._FilterDatabase" localSheetId="2" hidden="1">'Coding'!$A$1:$W$118</definedName>
    <definedName name="_xlnm._FilterDatabase" localSheetId="4" hidden="1">'Snowballing_E4'!$A$1:$G$315</definedName>
    <definedName name="_xlnm._FilterDatabase" localSheetId="5" hidden="1">'Antecedentes_C8'!$A$1:$G$33</definedName>
    <definedName name="_xlnm._FilterDatabase" localSheetId="6" hidden="1">'Includes_fulltext'!$A$1:$I$118</definedName>
    <definedName name="_xlnm._FilterDatabase" localSheetId="7" hidden="1">'Fulltext_eligibility'!$A$1:$Q$118</definedName>
    <definedName name="_xlnm._FilterDatabase" localSheetId="8" hidden="1">'FT_quotes'!$A$1:$E$484</definedName>
    <definedName name="_xlnm._FilterDatabase" localSheetId="10" hidden="1">'Included_studies'!$A$1:$R$63</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i val="1"/>
      <color rgb="FF555555"/>
      <sz val="9"/>
    </font>
    <font>
      <name val="Arial"/>
      <charset val="1"/>
      <family val="0"/>
      <b val="1"/>
      <color rgb="FFFFFFFF"/>
      <sz val="10"/>
    </font>
    <font>
      <name val="Arial"/>
      <charset val="1"/>
      <family val="0"/>
      <b val="1"/>
      <color rgb="FF1E2761"/>
      <sz val="10"/>
    </font>
    <font>
      <name val="Arial"/>
      <charset val="1"/>
      <family val="0"/>
      <sz val="10"/>
    </font>
    <font>
      <name val="Noto Sans CJK SC"/>
      <family val="2"/>
      <sz val="10"/>
    </font>
    <font>
      <b val="1"/>
      <color rgb="00FFFFFF"/>
    </font>
    <font>
      <b val="1"/>
    </font>
    <font>
      <i val="1"/>
    </font>
  </fonts>
  <fills count="11">
    <fill>
      <patternFill/>
    </fill>
    <fill>
      <patternFill patternType="gray125"/>
    </fill>
    <fill>
      <patternFill patternType="solid">
        <fgColor rgb="FF1E2761"/>
        <bgColor rgb="FF333333"/>
      </patternFill>
    </fill>
    <fill>
      <patternFill patternType="solid">
        <fgColor rgb="FFF2F2F2"/>
        <bgColor rgb="FFE8F0E4"/>
      </patternFill>
    </fill>
    <fill>
      <patternFill patternType="solid">
        <fgColor rgb="FFFFFF00"/>
        <bgColor rgb="FFFFFF00"/>
      </patternFill>
    </fill>
    <fill>
      <patternFill patternType="solid">
        <fgColor rgb="FFE8F0E4"/>
        <bgColor rgb="FFF2F2F2"/>
      </patternFill>
    </fill>
    <fill>
      <patternFill patternType="solid">
        <fgColor rgb="FFE9E9F5"/>
        <bgColor rgb="FFE8F0E4"/>
      </patternFill>
    </fill>
    <fill>
      <patternFill patternType="solid">
        <fgColor rgb="FFFFF4DE"/>
        <bgColor rgb="FFF2F2F2"/>
      </patternFill>
    </fill>
    <fill>
      <patternFill patternType="solid">
        <fgColor rgb="FFFBE4E4"/>
        <bgColor rgb="FFE9E9F5"/>
      </patternFill>
    </fill>
    <fill>
      <patternFill patternType="solid">
        <fgColor rgb="001E2761"/>
      </patternFill>
    </fill>
    <fill>
      <patternFill patternType="solid">
        <fgColor rgb="00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general" vertical="bottom"/>
    </xf>
    <xf numFmtId="0" fontId="7" fillId="3" borderId="1" applyAlignment="1" pivotButton="0" quotePrefix="0" xfId="0">
      <alignment horizontal="general" vertical="bottom"/>
    </xf>
    <xf numFmtId="0" fontId="7" fillId="0" borderId="1" applyAlignment="1" pivotButton="0" quotePrefix="0" xfId="0">
      <alignment horizontal="general" vertical="bottom"/>
    </xf>
    <xf numFmtId="0" fontId="7" fillId="4" borderId="1" applyAlignment="1" pivotButton="0" quotePrefix="0" xfId="0">
      <alignment horizontal="general" vertical="bottom"/>
    </xf>
    <xf numFmtId="0" fontId="5" fillId="2" borderId="1" applyAlignment="1" pivotButton="0" quotePrefix="0" xfId="0">
      <alignment horizontal="general" vertical="top"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7" fillId="8" borderId="1" applyAlignment="1" pivotButton="0" quotePrefix="0" xfId="0">
      <alignment horizontal="general" vertical="top" wrapText="1"/>
    </xf>
    <xf numFmtId="0" fontId="4"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general" vertical="bottom"/>
    </xf>
    <xf numFmtId="0" fontId="7" fillId="3" borderId="1" applyAlignment="1" pivotButton="0" quotePrefix="0" xfId="0">
      <alignment horizontal="general" vertical="bottom"/>
    </xf>
    <xf numFmtId="0" fontId="7" fillId="0" borderId="1" applyAlignment="1" pivotButton="0" quotePrefix="0" xfId="0">
      <alignment horizontal="general" vertical="bottom"/>
    </xf>
    <xf numFmtId="0" fontId="7" fillId="4" borderId="1" applyAlignment="1" pivotButton="0" quotePrefix="0" xfId="0">
      <alignment horizontal="general" vertical="bottom"/>
    </xf>
    <xf numFmtId="0" fontId="5" fillId="2" borderId="1" applyAlignment="1" pivotButton="0" quotePrefix="0" xfId="0">
      <alignment horizontal="general" vertical="top" wrapText="1"/>
    </xf>
    <xf numFmtId="0" fontId="5" fillId="2" borderId="1" applyAlignment="1" pivotButton="0" quotePrefix="0" xfId="0">
      <alignment horizontal="general" vertical="top"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vertical="top"/>
    </xf>
    <xf numFmtId="0" fontId="0" fillId="0" borderId="0" applyAlignment="1" pivotButton="0" quotePrefix="0" xfId="0">
      <alignment vertical="top"/>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7" fillId="8" borderId="1" applyAlignment="1" pivotButton="0" quotePrefix="0" xfId="0">
      <alignment horizontal="general" vertical="top" wrapText="1"/>
    </xf>
    <xf numFmtId="0" fontId="4" fillId="0" borderId="1" applyAlignment="1" pivotButton="0" quotePrefix="0" xfId="0">
      <alignment horizontal="general" vertical="bottom"/>
    </xf>
    <xf numFmtId="0" fontId="9" fillId="9" borderId="0" pivotButton="0" quotePrefix="0" xfId="0"/>
    <xf numFmtId="0" fontId="0" fillId="9" borderId="0" pivotButton="0" quotePrefix="0" xfId="0"/>
    <xf numFmtId="0" fontId="7" fillId="0" borderId="1" applyAlignment="1" pivotButton="0" quotePrefix="0" xfId="0">
      <alignment vertical="top"/>
    </xf>
    <xf numFmtId="0" fontId="7" fillId="0" borderId="1"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9" fillId="9"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0" fillId="0" borderId="0" applyAlignment="1" pivotButton="0" quotePrefix="0" xfId="0">
      <alignment vertical="top"/>
    </xf>
    <xf numFmtId="0" fontId="0" fillId="10" borderId="0" applyAlignment="1" pivotButton="0" quotePrefix="0" xfId="0">
      <alignment vertical="top" wrapText="1"/>
    </xf>
    <xf numFmtId="0" fontId="10" fillId="0" borderId="0" pivotButton="0" quotePrefix="0" xfId="0"/>
    <xf numFmtId="0" fontId="4" fillId="0" borderId="1" applyAlignment="1" pivotButton="0" quotePrefix="0" xfId="0">
      <alignment vertical="top"/>
    </xf>
    <xf numFmtId="0" fontId="0" fillId="0" borderId="0" applyAlignment="1" pivotButton="0" quotePrefix="0" xfId="0">
      <alignment vertical="top"/>
    </xf>
    <xf numFmtId="0" fontId="4" fillId="0" borderId="1" applyAlignment="1" pivotButton="0" quotePrefix="0" xfId="0">
      <alignment vertical="top"/>
    </xf>
    <xf numFmtId="0" fontId="0" fillId="0" borderId="0" applyAlignment="1" pivotButton="0" quotePrefix="0" xfId="0">
      <alignment vertical="top"/>
    </xf>
    <xf numFmtId="0" fontId="4" fillId="0" borderId="1" applyAlignment="1" pivotButton="0" quotePrefix="0" xfId="0">
      <alignment vertical="top"/>
    </xf>
    <xf numFmtId="0" fontId="0" fillId="0" borderId="0" applyAlignment="1" pivotButton="0" quotePrefix="0" xfId="0">
      <alignment vertical="top"/>
    </xf>
    <xf numFmtId="0" fontId="4" fillId="0" borderId="1" applyAlignment="1" pivotButton="0" quotePrefix="0" xfId="0">
      <alignment vertical="top"/>
    </xf>
    <xf numFmtId="0" fontId="0" fillId="0" borderId="0" applyAlignment="1" pivotButton="0" quotePrefix="0" xfId="0">
      <alignment vertical="top"/>
    </xf>
    <xf numFmtId="0" fontId="10" fillId="0" borderId="0" applyAlignment="1" pivotButton="0" quotePrefix="0" xfId="0">
      <alignment vertical="top" wrapText="1"/>
    </xf>
    <xf numFmtId="0" fontId="11"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E2761"/>
          <bgColor rgb="FF000000"/>
        </patternFill>
      </fill>
    </dxf>
    <dxf>
      <fill>
        <patternFill patternType="solid">
          <bgColor rgb="FF000000"/>
        </patternFill>
      </fill>
    </dxf>
    <dxf>
      <fill>
        <patternFill patternType="solid">
          <fgColor rgb="FFFFFFFF"/>
          <bgColor rgb="FF000000"/>
        </patternFill>
      </fill>
    </dxf>
    <dxf>
      <fill>
        <patternFill patternType="solid">
          <fgColor rgb="FFE8F0E4"/>
          <bgColor rgb="FF000000"/>
        </patternFill>
      </fill>
    </dxf>
    <dxf>
      <fill>
        <patternFill patternType="solid">
          <fgColor rgb="FFE9E9F5"/>
          <bgColor rgb="FF000000"/>
        </patternFill>
      </fill>
    </dxf>
    <dxf>
      <fill>
        <patternFill patternType="solid">
          <fgColor rgb="FFFBE4E4"/>
          <bgColor rgb="FF000000"/>
        </patternFill>
      </fill>
    </dxf>
    <dxf>
      <fill>
        <patternFill patternType="solid">
          <fgColor rgb="FFFFF4D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4DE"/>
      <rgbColor rgb="FFE9E9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8F0E4"/>
      <rgbColor rgb="FFFFFF99"/>
      <rgbColor rgb="FF99CCFF"/>
      <rgbColor rgb="FFFF99CC"/>
      <rgbColor rgb="FFCC99FF"/>
      <rgbColor rgb="FFFBE4E4"/>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4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16" min="1" max="1"/>
    <col width="12" customWidth="1" style="16" min="2" max="2"/>
  </cols>
  <sheetData>
    <row r="1" ht="15" customHeight="1" s="17">
      <c r="A1" s="18" t="inlineStr">
        <is>
          <t>PRISMA 2020 flow log. Yellow cells are inputs; identification numbers are already filled from the 17-18 Aug exports. Totals compute themselves and feed the flow diagram.</t>
        </is>
      </c>
    </row>
    <row r="2" ht="15" customHeight="1" s="17">
      <c r="A2" s="19" t="inlineStr">
        <is>
          <t>Stage</t>
        </is>
      </c>
      <c r="B2" s="19" t="inlineStr">
        <is>
          <t>n</t>
        </is>
      </c>
    </row>
    <row r="3" ht="15" customHeight="1" s="17">
      <c r="A3" s="20" t="inlineStr">
        <is>
          <t>IDENTIFICATION</t>
        </is>
      </c>
      <c r="B3" s="21" t="n"/>
    </row>
    <row r="4" ht="15" customHeight="1" s="17">
      <c r="A4" s="22" t="inlineStr">
        <is>
          <t>Records identified: Scopus</t>
        </is>
      </c>
      <c r="B4" s="23" t="n">
        <v>662</v>
      </c>
    </row>
    <row r="5" ht="15" customHeight="1" s="17">
      <c r="A5" s="22" t="inlineStr">
        <is>
          <t>Records identified: Web of Science</t>
        </is>
      </c>
      <c r="B5" s="23" t="n">
        <v>379</v>
      </c>
    </row>
    <row r="6" ht="15" customHeight="1" s="17">
      <c r="A6" s="22" t="inlineStr">
        <is>
          <t>Total identified</t>
        </is>
      </c>
      <c r="B6" s="22">
        <f>B4+B5</f>
        <v/>
      </c>
    </row>
    <row r="7" ht="15" customHeight="1" s="17">
      <c r="A7" s="22" t="inlineStr">
        <is>
          <t>Duplicates removed</t>
        </is>
      </c>
      <c r="B7" s="23" t="n">
        <v>329</v>
      </c>
    </row>
    <row r="8" ht="15" customHeight="1" s="17">
      <c r="A8" s="22" t="inlineStr">
        <is>
          <t>Records for title/abstract screening</t>
        </is>
      </c>
      <c r="B8" s="22">
        <f>B6-B7</f>
        <v/>
      </c>
    </row>
    <row r="9" ht="15" customHeight="1" s="17">
      <c r="A9" s="20" t="inlineStr">
        <is>
          <t>SCREENING</t>
        </is>
      </c>
      <c r="B9" s="21" t="n"/>
    </row>
    <row r="10" ht="15" customHeight="1" s="17">
      <c r="A10" s="22" t="inlineStr">
        <is>
          <t>Records excluded at title/abstract</t>
        </is>
      </c>
      <c r="B10" s="23" t="n">
        <v>595</v>
      </c>
    </row>
    <row r="11" ht="15" customHeight="1" s="17">
      <c r="A11" s="22" t="inlineStr">
        <is>
          <t>Reports sought for full-text retrieval</t>
        </is>
      </c>
      <c r="B11" s="22">
        <f>B8-B10</f>
        <v/>
      </c>
    </row>
    <row r="12" ht="15" customHeight="1" s="17">
      <c r="A12" s="22" t="inlineStr">
        <is>
          <t>Reports not retrievable</t>
        </is>
      </c>
      <c r="B12" s="23" t="n">
        <v>42</v>
      </c>
      <c r="C12" s="16" t="inlineStr">
        <is>
          <t>Confirmado 2026-09-06: 31 actas de congreso IEEE Xplore (sin suscripcion en Hull ni Tec, sin copia abierta) + 8 capitulos Springer (R0076, R0089, R0162, R0233, R0253, R0295, R0500, R0643; R0233 y R0253 en HAL con embargo hasta 2027-01-01) + 3 articulos de pago sin copia abierta (R0026 Emerald, R0064 SPIE, R0324 ASCE) = 42. IDs de IEEE: R0003, R0004, R0018, R0029, R0048, R0051, R0068, R0082, R0105, R0107, R0108, R0127, R0142, R0148, R0158, R0166, R0167, R0172, R0183, R0192, R0226, R0255, R0261, R0290, R0297, R0302, R0341, R0350, R0521, R0551, R0584.</t>
        </is>
      </c>
    </row>
    <row r="13" ht="15" customHeight="1" s="17">
      <c r="A13" s="22" t="inlineStr">
        <is>
          <t>Reports assessed for eligibility (full text)</t>
        </is>
      </c>
      <c r="B13" s="22">
        <f>B11-B12</f>
        <v/>
      </c>
    </row>
    <row r="14" ht="15" customHeight="1" s="17">
      <c r="A14" s="20" t="inlineStr">
        <is>
          <t>ELIGIBILITY: full-text exclusions by reason</t>
        </is>
      </c>
      <c r="B14" s="21" t="n"/>
    </row>
    <row r="15" ht="15" customHeight="1" s="17">
      <c r="A15" s="22" t="inlineStr">
        <is>
          <t>Excluded: no AI/ML component</t>
        </is>
      </c>
      <c r="B15" s="23" t="n">
        <v>5</v>
      </c>
      <c r="C15" s="16" t="inlineStr">
        <is>
          <t>Confirmado 2026-09-06 por el cribador de registro (Fulltext_eligibility)</t>
        </is>
      </c>
    </row>
    <row r="16" ht="15" customHeight="1" s="17">
      <c r="A16" s="22" t="inlineStr">
        <is>
          <t>Excluded: no digital twin / digital model</t>
        </is>
      </c>
      <c r="B16" s="23" t="n">
        <v>5</v>
      </c>
      <c r="C16" s="16" t="inlineStr">
        <is>
          <t>Confirmado 2026-09-06 por el cribador de registro (Fulltext_eligibility)</t>
        </is>
      </c>
    </row>
    <row r="17" ht="15" customHeight="1" s="17">
      <c r="A17" s="22" t="inlineStr">
        <is>
          <t>Excluded: no supply chain / logistics scope</t>
        </is>
      </c>
      <c r="B17" s="23" t="n">
        <v>0</v>
      </c>
      <c r="C17" s="16" t="inlineStr">
        <is>
          <t>Confirmado 2026-09-06 por el cribador de registro (Fulltext_eligibility)</t>
        </is>
      </c>
    </row>
    <row r="18" ht="15" customHeight="1" s="17">
      <c r="A18" s="22" t="inlineStr">
        <is>
          <t>Excluded: not peer-reviewed / low-quality venue</t>
        </is>
      </c>
      <c r="B18" s="23" t="n">
        <v>1</v>
      </c>
      <c r="C18" s="16" t="inlineStr">
        <is>
          <t>Confirmado 2026-09-06 por el cribador de registro (Fulltext_eligibility)</t>
        </is>
      </c>
    </row>
    <row r="19" ht="15" customHeight="1" s="17">
      <c r="A19" s="22" t="inlineStr">
        <is>
          <t>Excluded: other (note reason in Screening sheet)</t>
        </is>
      </c>
      <c r="B19" s="23" t="n">
        <v>2</v>
      </c>
      <c r="C19" s="16" t="inlineStr">
        <is>
          <t>Confirmado 2026-09-06 por el cribador de registro (Fulltext_eligibility)</t>
        </is>
      </c>
    </row>
    <row r="20" ht="15" customHeight="1" s="17">
      <c r="A20" s="22" t="inlineStr">
        <is>
          <t>Total full-text exclusions</t>
        </is>
      </c>
      <c r="B20" s="22">
        <f>SUM(B15:B19)</f>
        <v/>
      </c>
    </row>
    <row r="21" ht="15" customHeight="1" s="17">
      <c r="A21" s="20" t="inlineStr">
        <is>
          <t>INCLUDED</t>
        </is>
      </c>
      <c r="B21" s="21" t="n"/>
    </row>
    <row r="22" ht="15" customHeight="1" s="17">
      <c r="A22" s="22" t="inlineStr">
        <is>
          <t>Studies included in review</t>
        </is>
      </c>
      <c r="B22" s="22">
        <f>B13-B20</f>
        <v/>
      </c>
      <c r="C22" s="16">
        <f> reportes evaluados (75) menos exclusiones (13) = 62 estudios incluidos; confirmado 2026-09-06</f>
        <v/>
      </c>
    </row>
    <row r="24">
      <c r="A24" s="35" t="inlineStr">
        <is>
          <t>TA SCREENING PROGRESS (final; B10 above is the confirmed-exclusion count)</t>
        </is>
      </c>
      <c r="B24" s="36" t="n"/>
    </row>
    <row r="25">
      <c r="A25" s="16" t="inlineStr">
        <is>
          <t>Updated</t>
        </is>
      </c>
      <c r="B25" s="16" t="inlineStr">
        <is>
          <t>2026-09-06 (final audit applied)</t>
        </is>
      </c>
    </row>
    <row r="26">
      <c r="A26" s="16" t="inlineStr">
        <is>
          <t>Records screened and confirmed</t>
        </is>
      </c>
      <c r="B26" s="16" t="n">
        <v>712</v>
      </c>
    </row>
    <row r="27">
      <c r="A27" s="16" t="inlineStr">
        <is>
          <t xml:space="preserve">  of which Include (sought for full text)</t>
        </is>
      </c>
      <c r="B27" s="16" t="n">
        <v>117</v>
      </c>
    </row>
    <row r="28">
      <c r="A28" s="16" t="inlineStr">
        <is>
          <t xml:space="preserve">  of which Exclude</t>
        </is>
      </c>
      <c r="B28" s="16" t="n">
        <v>595</v>
      </c>
    </row>
    <row r="29">
      <c r="A29" s="16" t="inlineStr">
        <is>
          <t xml:space="preserve">  of which Unsure (DUDA pending)</t>
        </is>
      </c>
      <c r="B29" s="16" t="n">
        <v>0</v>
      </c>
    </row>
    <row r="30">
      <c r="A30" s="16" t="inlineStr">
        <is>
          <t>Records still to screen</t>
        </is>
      </c>
      <c r="B30" s="16" t="n">
        <v>0</v>
      </c>
    </row>
    <row r="31">
      <c r="A31" s="16" t="inlineStr">
        <is>
          <t>Confirmed batches</t>
        </is>
      </c>
      <c r="B31" s="16" t="inlineStr">
        <is>
          <t>1 to 14, then final audit</t>
        </is>
      </c>
    </row>
    <row r="32">
      <c r="A32" s="16" t="inlineStr">
        <is>
          <t>Code I  (include for full text)</t>
        </is>
      </c>
      <c r="B32" s="16" t="n">
        <v>117</v>
      </c>
    </row>
    <row r="33">
      <c r="A33" s="16" t="inlineStr">
        <is>
          <t>Code E1 (no digital twin / model)</t>
        </is>
      </c>
      <c r="B33" s="16" t="n">
        <v>148</v>
      </c>
    </row>
    <row r="34">
      <c r="A34" s="16" t="inlineStr">
        <is>
          <t>Code E2 (no supply chain / logistics framing)</t>
        </is>
      </c>
      <c r="B34" s="16" t="n">
        <v>88</v>
      </c>
    </row>
    <row r="35">
      <c r="A35" s="16" t="inlineStr">
        <is>
          <t>Code E3 (no AI / ML)</t>
        </is>
      </c>
      <c r="B35" s="16" t="n">
        <v>38</v>
      </c>
    </row>
    <row r="36">
      <c r="A36" s="16" t="inlineStr">
        <is>
          <t>Code E4 (review; retained for backward snowballing)</t>
        </is>
      </c>
      <c r="B36" s="16" t="n">
        <v>314</v>
      </c>
    </row>
    <row r="37">
      <c r="A37" s="16" t="inlineStr">
        <is>
          <t>Code E5 (out of range / not English / grey)</t>
        </is>
      </c>
      <c r="B37" s="16" t="n">
        <v>5</v>
      </c>
    </row>
    <row r="38">
      <c r="A38" s="16" t="inlineStr">
        <is>
          <t>Code E6 (duplicate / companion report of an included study)</t>
        </is>
      </c>
      <c r="B38" s="16" t="n">
        <v>2</v>
      </c>
    </row>
    <row r="39">
      <c r="A39" s="16" t="inlineStr">
        <is>
          <t>Make-annotated includes</t>
        </is>
      </c>
      <c r="B39" s="16" t="n">
        <v>25</v>
      </c>
    </row>
    <row r="40">
      <c r="A40" s="16" t="inlineStr">
        <is>
          <t>E3 retained as background (Antecedente C8 pool)</t>
        </is>
      </c>
      <c r="B40" s="16" t="n">
        <v>32</v>
      </c>
    </row>
    <row r="42">
      <c r="A42" s="35" t="inlineStr">
        <is>
          <t>FULL-TEXT STAGE (final, confirmed 2026-09-06)</t>
        </is>
      </c>
      <c r="B42" s="36" t="n"/>
    </row>
    <row r="43">
      <c r="A43" s="16" t="inlineStr">
        <is>
          <t>Reports sought for retrieval</t>
        </is>
      </c>
      <c r="B43" s="16" t="n">
        <v>117</v>
      </c>
    </row>
    <row r="44">
      <c r="A44" s="16" t="inlineStr">
        <is>
          <t>Reports not retrievable</t>
        </is>
      </c>
      <c r="B44" s="16" t="n">
        <v>42</v>
      </c>
    </row>
    <row r="45">
      <c r="A45" s="16" t="inlineStr">
        <is>
          <t>Reports assessed for eligibility</t>
        </is>
      </c>
      <c r="B45" s="16" t="n">
        <v>75</v>
      </c>
    </row>
    <row r="46">
      <c r="A46" s="16" t="inlineStr">
        <is>
          <t>Full-text exclusions</t>
        </is>
      </c>
      <c r="B46" s="16" t="n">
        <v>13</v>
      </c>
    </row>
    <row r="47">
      <c r="A47" s="16" t="inlineStr">
        <is>
          <t>Studies included in the review</t>
        </is>
      </c>
      <c r="B47" s="16" t="n">
        <v>62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713"/>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9" customWidth="1" style="17" min="1" max="1"/>
    <col width="14" customWidth="1" style="17" min="2" max="2"/>
    <col width="26" customWidth="1" style="17" min="3" max="3"/>
    <col width="7" customWidth="1" style="17" min="4" max="4"/>
    <col width="55" customWidth="1" style="17" min="5" max="5"/>
    <col width="26" customWidth="1" style="17" min="6" max="6"/>
    <col width="15" customWidth="1" style="17" min="7" max="7"/>
    <col width="22" customWidth="1" style="17" min="8" max="8"/>
    <col width="10" customWidth="1" style="17" min="9" max="9"/>
    <col width="12" customWidth="1" style="17" min="10" max="10"/>
    <col width="26" customWidth="1" style="17" min="11" max="11"/>
    <col width="44" customWidth="1" style="17" min="12" max="12"/>
    <col width="24" customWidth="1" style="17" min="13" max="13"/>
    <col width="12" customWidth="1" style="17" min="14" max="14"/>
    <col width="7" customWidth="1" style="17" min="15" max="15"/>
    <col width="16" customWidth="1" style="17" min="16" max="16"/>
    <col width="14" customWidth="1" style="17" min="17" max="17"/>
    <col width="90" customWidth="1" style="17" min="18" max="18"/>
    <col width="10" customWidth="1" style="17" min="19" max="19"/>
  </cols>
  <sheetData>
    <row r="1" ht="23.25" customHeight="1" s="17">
      <c r="A1" s="25" t="inlineStr">
        <is>
          <t>ID</t>
        </is>
      </c>
      <c r="B1" s="25" t="inlineStr">
        <is>
          <t>Source</t>
        </is>
      </c>
      <c r="C1" s="25" t="inlineStr">
        <is>
          <t>Authors</t>
        </is>
      </c>
      <c r="D1" s="25" t="inlineStr">
        <is>
          <t>Year</t>
        </is>
      </c>
      <c r="E1" s="25" t="inlineStr">
        <is>
          <t>Title</t>
        </is>
      </c>
      <c r="F1" s="25" t="inlineStr">
        <is>
          <t>Venue</t>
        </is>
      </c>
      <c r="G1" s="25" t="inlineStr">
        <is>
          <t>Doc type</t>
        </is>
      </c>
      <c r="H1" s="25" t="inlineStr">
        <is>
          <t>DOI</t>
        </is>
      </c>
      <c r="I1" s="25" t="inlineStr">
        <is>
          <t>Stage (TA/FT)</t>
        </is>
      </c>
      <c r="J1" s="25" t="inlineStr">
        <is>
          <t>Decision</t>
        </is>
      </c>
      <c r="K1" s="25" t="inlineStr">
        <is>
          <t>Exclusion reason</t>
        </is>
      </c>
      <c r="L1" s="25" t="inlineStr">
        <is>
          <t>Pre-flag (auto)</t>
        </is>
      </c>
      <c r="M1" s="25" t="inlineStr">
        <is>
          <t>Notes</t>
        </is>
      </c>
      <c r="N1" s="25" t="inlineStr">
        <is>
          <t>Código final</t>
        </is>
      </c>
      <c r="O1" s="25" t="inlineStr">
        <is>
          <t>Lote</t>
        </is>
      </c>
      <c r="P1" s="25" t="inlineStr">
        <is>
          <t>Decisión propuesta</t>
        </is>
      </c>
      <c r="Q1" s="25" t="inlineStr">
        <is>
          <t>Código propuesto</t>
        </is>
      </c>
      <c r="R1" s="25" t="inlineStr">
        <is>
          <t>Justificación propuesta (cita)</t>
        </is>
      </c>
      <c r="S1" s="25" t="inlineStr">
        <is>
          <t>Nota Make</t>
        </is>
      </c>
    </row>
    <row r="2" ht="34.5" customHeight="1" s="17">
      <c r="A2" s="26" t="inlineStr">
        <is>
          <t>R0001</t>
        </is>
      </c>
      <c r="B2" s="26" t="inlineStr">
        <is>
          <t>Scopus</t>
        </is>
      </c>
      <c r="C2" s="26" t="inlineStr">
        <is>
          <t>Guzmán E.; Andrés B.; Torres-Polo M.</t>
        </is>
      </c>
      <c r="D2" s="26" t="n">
        <v>2026</v>
      </c>
      <c r="E2" s="27" t="inlineStr">
        <is>
          <t>A cooperative digital twin–multi-agent reinforcement learning for circular supply chains: balanced control across production, logistics, and sustainability</t>
        </is>
      </c>
      <c r="F2" s="26" t="inlineStr">
        <is>
          <t>Computers and Industrial Engineering</t>
        </is>
      </c>
      <c r="G2" s="26" t="inlineStr">
        <is>
          <t>Article</t>
        </is>
      </c>
      <c r="H2" s="26" t="inlineStr">
        <is>
          <t>10.1016/j.cie.2026.112044</t>
        </is>
      </c>
      <c r="I2" s="26" t="inlineStr">
        <is>
          <t>TA</t>
        </is>
      </c>
      <c r="J2" s="37" t="inlineStr">
        <is>
          <t>Include</t>
        </is>
      </c>
      <c r="K2" s="37" t="n"/>
      <c r="L2" s="28" t="inlineStr">
        <is>
          <t>Strong candidate: twin + supply chain + AI all in title/abstract</t>
        </is>
      </c>
      <c r="M2" s="37" t="inlineStr">
        <is>
          <t>Los tres criterios en el resumen: "coupling a simulation-based DT with cooperative multi-agent reinforcement learning (MARL)" para coordinar "planning, inventory, logistics, expediting, and recycling decisions" en cadenas circulares.</t>
        </is>
      </c>
      <c r="N2" s="69" t="inlineStr">
        <is>
          <t>I</t>
        </is>
      </c>
      <c r="O2" s="69" t="n">
        <v>1</v>
      </c>
      <c r="P2" s="69" t="inlineStr">
        <is>
          <t>Include</t>
        </is>
      </c>
      <c r="Q2" s="69" t="inlineStr">
        <is>
          <t>I</t>
        </is>
      </c>
      <c r="R2" s="69" t="inlineStr">
        <is>
          <t>Los tres criterios en el resumen: "coupling a simulation-based DT with cooperative multi-agent reinforcement learning (MARL)" para coordinar "planning, inventory, logistics, expediting, and recycling decisions" en cadenas circulares.</t>
        </is>
      </c>
      <c r="S2" s="69" t="n"/>
    </row>
    <row r="3" ht="23.25" customHeight="1" s="17">
      <c r="A3" s="26" t="inlineStr">
        <is>
          <t>R0002</t>
        </is>
      </c>
      <c r="B3" s="26" t="inlineStr">
        <is>
          <t>Scopus</t>
        </is>
      </c>
      <c r="C3" s="26" t="inlineStr">
        <is>
          <t>Shakra R.B.</t>
        </is>
      </c>
      <c r="D3" s="26" t="n">
        <v>2026</v>
      </c>
      <c r="E3" s="27" t="inlineStr">
        <is>
          <t>The Role of AI and Emerging Technologies in Enhancing Energy Security and Resilience in the Arabian Gulf</t>
        </is>
      </c>
      <c r="F3" s="26" t="inlineStr">
        <is>
          <t>Advances in Science, Technology and Innovation</t>
        </is>
      </c>
      <c r="G3" s="26" t="inlineStr">
        <is>
          <t>Conference paper</t>
        </is>
      </c>
      <c r="H3" s="26" t="inlineStr">
        <is>
          <t>10.1007/978-3-032-19354-4_27</t>
        </is>
      </c>
      <c r="I3" s="26" t="inlineStr">
        <is>
          <t>TA</t>
        </is>
      </c>
      <c r="J3" s="37" t="inlineStr">
        <is>
          <t>Exclude</t>
        </is>
      </c>
      <c r="K3" s="37" t="inlineStr">
        <is>
          <t>No digital twin/model</t>
        </is>
      </c>
      <c r="L3" s="28" t="inlineStr">
        <is>
          <t>Strong candidate: twin + supply chain + AI all in title/abstract</t>
        </is>
      </c>
      <c r="M3" s="37" t="inlineStr">
        <is>
          <t>Gemelo sólo en una lista de herramientas, el objeto es la seguridad energética del Golfo: "AI-driven tools, including predictive modelling, digital twin technology and IoT-enabled systems"; también E2 (cadena sólo de paso: "a more resilient energy framework and supply chains").</t>
        </is>
      </c>
      <c r="N3" s="69" t="inlineStr">
        <is>
          <t>E1</t>
        </is>
      </c>
      <c r="O3" s="69" t="n">
        <v>1</v>
      </c>
      <c r="P3" s="69" t="inlineStr">
        <is>
          <t>Exclude</t>
        </is>
      </c>
      <c r="Q3" s="69" t="inlineStr">
        <is>
          <t>E1</t>
        </is>
      </c>
      <c r="R3" s="69" t="inlineStr">
        <is>
          <t>Gemelo sólo en una lista de herramientas, el objeto es la seguridad energética del Golfo: "AI-driven tools, including predictive modelling, digital twin technology and IoT-enabled systems"; también E2 (cadena sólo de paso: "a more resilient energy framework and supply chains").</t>
        </is>
      </c>
      <c r="S3" s="69" t="n"/>
    </row>
    <row r="4" ht="34.5" customHeight="1" s="17">
      <c r="A4" s="26" t="inlineStr">
        <is>
          <t>R0003</t>
        </is>
      </c>
      <c r="B4" s="26" t="inlineStr">
        <is>
          <t>Scopus</t>
        </is>
      </c>
      <c r="C4" s="26" t="inlineStr">
        <is>
          <t>Dong Y.; Jin S.</t>
        </is>
      </c>
      <c r="D4" s="26" t="n">
        <v>2026</v>
      </c>
      <c r="E4" s="27" t="inlineStr">
        <is>
          <t>From Traditional to Digital: A Simulation-Based Approach on the Digital Transformation of MultiTier Automotive Parts Supply Chain Based on Cloud SCM Platform</t>
        </is>
      </c>
      <c r="F4" s="26" t="inlineStr">
        <is>
          <t>Proceedings of International Conference on Intelligent Computing, ICONIC 2026</t>
        </is>
      </c>
      <c r="G4" s="26" t="inlineStr">
        <is>
          <t>Conference paper</t>
        </is>
      </c>
      <c r="H4" s="26" t="inlineStr">
        <is>
          <t>10.1109/iconic67661.2026.11517868</t>
        </is>
      </c>
      <c r="I4" s="26" t="inlineStr">
        <is>
          <t>TA</t>
        </is>
      </c>
      <c r="J4" s="37" t="inlineStr">
        <is>
          <t>Include</t>
        </is>
      </c>
      <c r="K4" s="37" t="n"/>
      <c r="L4" s="28" t="inlineStr">
        <is>
          <t>Strong candidate: twin + supply chain + AI all in title/abstract</t>
        </is>
      </c>
      <c r="M4" s="37" t="inlineStr">
        <is>
          <t>Plataforma SCM en la nube para cadena automotriz multinivel que "synergizes artificial intelligence (multimodal LSTM, PSO), the Internet of Things, knowledge graphs, and digital twins", evaluada por simulación híbrida.</t>
        </is>
      </c>
      <c r="N4" s="69" t="inlineStr">
        <is>
          <t>I</t>
        </is>
      </c>
      <c r="O4" s="69" t="n">
        <v>1</v>
      </c>
      <c r="P4" s="69" t="inlineStr">
        <is>
          <t>Include</t>
        </is>
      </c>
      <c r="Q4" s="69" t="inlineStr">
        <is>
          <t>I</t>
        </is>
      </c>
      <c r="R4" s="69" t="inlineStr">
        <is>
          <t>Plataforma SCM en la nube para cadena automotriz multinivel que "synergizes artificial intelligence (multimodal LSTM, PSO), the Internet of Things, knowledge graphs, and digital twins", evaluada por simulación híbrida.</t>
        </is>
      </c>
      <c r="S4" s="69" t="n"/>
    </row>
    <row r="5" ht="23.25" customHeight="1" s="17">
      <c r="A5" s="26" t="inlineStr">
        <is>
          <t>R0004</t>
        </is>
      </c>
      <c r="B5" s="26" t="inlineStr">
        <is>
          <t>Scopus</t>
        </is>
      </c>
      <c r="C5" s="26" t="inlineStr">
        <is>
          <t>Chauhan P.; Adhana D.K.; Saxena M.</t>
        </is>
      </c>
      <c r="D5" s="26" t="n">
        <v>2026</v>
      </c>
      <c r="E5" s="27" t="inlineStr">
        <is>
          <t>An AI-Driven Optimization Framework for Sustainable E-Waste Management and Resource Utilization</t>
        </is>
      </c>
      <c r="F5" s="26" t="inlineStr">
        <is>
          <t>2026 2nd International Conference on Big Data and Machine Learning, ICBDML 2026</t>
        </is>
      </c>
      <c r="G5" s="26" t="inlineStr">
        <is>
          <t>Conference paper</t>
        </is>
      </c>
      <c r="H5" s="26" t="inlineStr">
        <is>
          <t>10.1109/icbdml68582.2026.11544180</t>
        </is>
      </c>
      <c r="I5" s="26" t="inlineStr">
        <is>
          <t>TA</t>
        </is>
      </c>
      <c r="J5" s="37" t="inlineStr">
        <is>
          <t>Include</t>
        </is>
      </c>
      <c r="K5" s="37" t="n"/>
      <c r="L5" s="28" t="inlineStr">
        <is>
          <t>Strong candidate: twin + supply chain + AI all in title/abstract</t>
        </is>
      </c>
      <c r="M5" s="37" t="inlineStr">
        <is>
          <t>Gemelo de flujos de residuos con IA para recolección y ruteo (logística inversa): "spatio-temporal digital twin of e-waste flows, which incorporates graph neural prediction of waste generation, deep reinforcement learning prediction of adaptive collection and routing"; palabra clave de índice "Logistics". SCOR: Return.</t>
        </is>
      </c>
      <c r="N5" s="69" t="inlineStr">
        <is>
          <t>I</t>
        </is>
      </c>
      <c r="O5" s="69" t="n">
        <v>1</v>
      </c>
      <c r="P5" s="69" t="inlineStr">
        <is>
          <t>Include</t>
        </is>
      </c>
      <c r="Q5" s="69" t="inlineStr">
        <is>
          <t>I</t>
        </is>
      </c>
      <c r="R5" s="69" t="inlineStr">
        <is>
          <t>Gemelo de flujos de residuos con IA para recolección y ruteo (logística inversa): "spatio-temporal digital twin of e-waste flows, which incorporates graph neural prediction of waste generation, deep reinforcement learning prediction of adaptive collection and routing"; palabra clave de índice "Logistics". SCOR: Return.</t>
        </is>
      </c>
      <c r="S5" s="69" t="n"/>
    </row>
    <row r="6" ht="23.25" customHeight="1" s="17">
      <c r="A6" s="26" t="inlineStr">
        <is>
          <t>R0005</t>
        </is>
      </c>
      <c r="B6" s="26" t="inlineStr">
        <is>
          <t>Scopus + WoS</t>
        </is>
      </c>
      <c r="C6" s="26" t="inlineStr">
        <is>
          <t>Dickison A.</t>
        </is>
      </c>
      <c r="D6" s="26" t="n">
        <v>2026</v>
      </c>
      <c r="E6" s="27" t="inlineStr">
        <is>
          <t>Applying AI and machine learning to refrigeration for efficiency and asset management</t>
        </is>
      </c>
      <c r="F6" s="26" t="inlineStr">
        <is>
          <t>Clean Technologies and Environmental Policy</t>
        </is>
      </c>
      <c r="G6" s="26" t="inlineStr">
        <is>
          <t>Article</t>
        </is>
      </c>
      <c r="H6" s="26" t="inlineStr">
        <is>
          <t>10.1007/s10098-026-03455-2</t>
        </is>
      </c>
      <c r="I6" s="26" t="inlineStr">
        <is>
          <t>TA</t>
        </is>
      </c>
      <c r="J6" s="37" t="inlineStr">
        <is>
          <t>Exclude</t>
        </is>
      </c>
      <c r="K6" s="37" t="inlineStr">
        <is>
          <t>No digital twin/model</t>
        </is>
      </c>
      <c r="L6" s="28" t="inlineStr">
        <is>
          <t>Strong candidate: twin + supply chain + AI all in title/abstract</t>
        </is>
      </c>
      <c r="M6" s="37" t="inlineStr">
        <is>
          <t>Gemelo sólo en frase genérica ("The integration of machine learning, digital twins, and smart analytics enables continuous optimisation"); el objeto es un controlador MPC de refrigeración ("focusing on Beca’s proprietary Maestro model predictive controller"); también E2 (logística sólo como sector servido).</t>
        </is>
      </c>
      <c r="N6" s="69" t="inlineStr">
        <is>
          <t>E1</t>
        </is>
      </c>
      <c r="O6" s="69" t="n">
        <v>1</v>
      </c>
      <c r="P6" s="69" t="inlineStr">
        <is>
          <t>Exclude</t>
        </is>
      </c>
      <c r="Q6" s="69" t="inlineStr">
        <is>
          <t>E1</t>
        </is>
      </c>
      <c r="R6" s="69" t="inlineStr">
        <is>
          <t>Gemelo sólo en frase genérica ("The integration of machine learning, digital twins, and smart analytics enables continuous optimisation"); el objeto es un controlador MPC de refrigeración ("focusing on Beca’s proprietary Maestro model predictive controller"); también E2 (logística sólo como sector servido).</t>
        </is>
      </c>
      <c r="S6" s="69" t="n"/>
    </row>
    <row r="7" ht="45.75" customHeight="1" s="17">
      <c r="A7" s="26" t="inlineStr">
        <is>
          <t>R0006</t>
        </is>
      </c>
      <c r="B7" s="26" t="inlineStr">
        <is>
          <t>Scopus + WoS</t>
        </is>
      </c>
      <c r="C7" s="26" t="inlineStr">
        <is>
          <t>Krishnasamy J.R.; Nawaz N.; Singh Dharmaraj S.; Srinivasagam P.D.; Anandhan H.</t>
        </is>
      </c>
      <c r="D7" s="26" t="n">
        <v>2026</v>
      </c>
      <c r="E7" s="27" t="inlineStr">
        <is>
          <t>AI IN FOOD SUPPLY CHAIN MANAGEMENT: A COMPREHENSIVE ANALYSIS; [SZTUCZNA INTELIGENCJA W ZARZĄDZANIU ŁAŃCUCHEM DOSTAW ŻYWNOŚCI: KOMPLEKSOWA ANALIZA]</t>
        </is>
      </c>
      <c r="F7" s="26" t="inlineStr">
        <is>
          <t>Polish Journal of Management Studies</t>
        </is>
      </c>
      <c r="G7" s="26" t="inlineStr">
        <is>
          <t>Article</t>
        </is>
      </c>
      <c r="H7" s="26" t="inlineStr">
        <is>
          <t>10.17512/pjms.2026.33.1.10</t>
        </is>
      </c>
      <c r="I7" s="26" t="inlineStr">
        <is>
          <t>TA</t>
        </is>
      </c>
      <c r="J7" s="37" t="inlineStr">
        <is>
          <t>Exclude</t>
        </is>
      </c>
      <c r="K7" s="37" t="inlineStr">
        <is>
          <t>Wrong publication type</t>
        </is>
      </c>
      <c r="L7" s="28" t="inlineStr">
        <is>
          <t>Strong candidate: twin + supply chain + AI all in title/abstract</t>
        </is>
      </c>
      <c r="M7" s="37" t="inlineStr">
        <is>
          <t>Revisión integradora con bibliometría: "This study presents an integrated review of how Artificial Intelligence (AI) has transformed Food Supply Chain Management" con "VOS viewer based bibliometric analysis"; gemelos sólo mencionados. Valor para snowballing: medio.</t>
        </is>
      </c>
      <c r="N7" s="69" t="inlineStr">
        <is>
          <t>E4</t>
        </is>
      </c>
      <c r="O7" s="69" t="n">
        <v>1</v>
      </c>
      <c r="P7" s="69" t="inlineStr">
        <is>
          <t>Exclude</t>
        </is>
      </c>
      <c r="Q7" s="69" t="inlineStr">
        <is>
          <t>E4</t>
        </is>
      </c>
      <c r="R7" s="69" t="inlineStr">
        <is>
          <t>Revisión integradora con bibliometría: "This study presents an integrated review of how Artificial Intelligence (AI) has transformed Food Supply Chain Management" con "VOS viewer based bibliometric analysis"; gemelos sólo mencionados. Valor para snowballing: medio.</t>
        </is>
      </c>
      <c r="S7" s="69" t="n"/>
    </row>
    <row r="8" ht="23.25" customHeight="1" s="17">
      <c r="A8" s="26" t="inlineStr">
        <is>
          <t>R0007</t>
        </is>
      </c>
      <c r="B8" s="26" t="inlineStr">
        <is>
          <t>Scopus + WoS</t>
        </is>
      </c>
      <c r="C8" s="26" t="inlineStr">
        <is>
          <t>Mohsen B.M.; Nahleh Y.A.; Mohsen M.</t>
        </is>
      </c>
      <c r="D8" s="26" t="n">
        <v>2026</v>
      </c>
      <c r="E8" s="27" t="inlineStr">
        <is>
          <t>Sustainable digitalization of manufacturing supply chains: An integrated framework for resilience, efficiency, and circularity</t>
        </is>
      </c>
      <c r="F8" s="26" t="inlineStr">
        <is>
          <t>Cleaner Logistics and Supply Chain</t>
        </is>
      </c>
      <c r="G8" s="26" t="inlineStr">
        <is>
          <t>Article</t>
        </is>
      </c>
      <c r="H8" s="26" t="inlineStr">
        <is>
          <t>10.1016/j.clscn.2026.100325</t>
        </is>
      </c>
      <c r="I8" s="26" t="inlineStr">
        <is>
          <t>TA</t>
        </is>
      </c>
      <c r="J8" s="37" t="inlineStr">
        <is>
          <t>Exclude</t>
        </is>
      </c>
      <c r="K8" s="37" t="inlineStr">
        <is>
          <t>Wrong publication type</t>
        </is>
      </c>
      <c r="L8" s="28" t="inlineStr">
        <is>
          <t>Strong candidate: twin + supply chain + AI all in title/abstract</t>
        </is>
      </c>
      <c r="M8" s="37" t="inlineStr">
        <is>
          <t>Recodificado 2026-09-06 en la auditoría final (E1→E4): Modelo formulado por síntesis de literatura (C3): "the model was formulated by literature synthesis, and it was also checked initially through real life cases studies"; gemelo e IA sólo como habilitadores listados ("artificial intelligence (AI), Internet of Things (IoT), blockchain, and digital twins are essential facilitators of smart manufacturing"). Valor para snowballing: bajo. | Nota original (E1): Gemelo sólo en lista de habilitadores ("artificial intelligence (AI), Internet of Things (IoT), blockchain, and digital twins are essential facilitators of smart manufacturing"); el modelo conecta "digital enablers" genéricos con resultados de sostenibilidad, sin gemelo ni método de IA. Límite C1; también E3.</t>
        </is>
      </c>
      <c r="N8" s="69" t="inlineStr">
        <is>
          <t>E4</t>
        </is>
      </c>
      <c r="O8" s="69" t="n">
        <v>1</v>
      </c>
      <c r="P8" s="69" t="inlineStr">
        <is>
          <t>Exclude</t>
        </is>
      </c>
      <c r="Q8" s="69" t="inlineStr">
        <is>
          <t>E1</t>
        </is>
      </c>
      <c r="R8" s="69" t="inlineStr">
        <is>
          <t>Gemelo sólo en lista de habilitadores ("artificial intelligence (AI), Internet of Things (IoT), blockchain, and digital twins are essential facilitators of smart manufacturing"); el modelo conecta "digital enablers" genéricos con resultados de sostenibilidad, sin gemelo ni método de IA. Límite C1; también E3.</t>
        </is>
      </c>
      <c r="S8" s="69" t="n"/>
    </row>
    <row r="9" ht="23.25" customHeight="1" s="17">
      <c r="A9" s="26" t="inlineStr">
        <is>
          <t>R0008</t>
        </is>
      </c>
      <c r="B9" s="26" t="inlineStr">
        <is>
          <t>Scopus</t>
        </is>
      </c>
      <c r="C9" s="26" t="inlineStr">
        <is>
          <t>Kaarlela T.; Alekseev S.; Maljamäki P.; Ikäheimo E.; Kurvinen E.</t>
        </is>
      </c>
      <c r="D9" s="26" t="n">
        <v>2026</v>
      </c>
      <c r="E9" s="27" t="inlineStr">
        <is>
          <t>Digital twin framework for electric truck route and infrastructure planning in the Nordic region</t>
        </is>
      </c>
      <c r="F9" s="26" t="inlineStr">
        <is>
          <t>Transportation Engineering</t>
        </is>
      </c>
      <c r="G9" s="26" t="inlineStr">
        <is>
          <t>Article</t>
        </is>
      </c>
      <c r="H9" s="26" t="inlineStr">
        <is>
          <t>10.1016/j.treng.2026.100426</t>
        </is>
      </c>
      <c r="I9" s="26" t="inlineStr">
        <is>
          <t>TA</t>
        </is>
      </c>
      <c r="J9" s="37" t="inlineStr">
        <is>
          <t>Include</t>
        </is>
      </c>
      <c r="K9" s="37" t="n"/>
      <c r="L9" s="28" t="inlineStr">
        <is>
          <t>Strong candidate: twin + supply chain + AI all in title/abstract</t>
        </is>
      </c>
      <c r="M9" s="37" t="inlineStr">
        <is>
          <t>"combines artificial intelligence, digital twins, and co-simulation to support energy-efficient routing and infrastructure planning for heavy-duty electric vehicles", con Gradient Boosting y aplicación para "logistics operators".</t>
        </is>
      </c>
      <c r="N9" s="69" t="inlineStr">
        <is>
          <t>I</t>
        </is>
      </c>
      <c r="O9" s="69" t="n">
        <v>1</v>
      </c>
      <c r="P9" s="69" t="inlineStr">
        <is>
          <t>Include</t>
        </is>
      </c>
      <c r="Q9" s="69" t="inlineStr">
        <is>
          <t>I</t>
        </is>
      </c>
      <c r="R9" s="69" t="inlineStr">
        <is>
          <t>"combines artificial intelligence, digital twins, and co-simulation to support energy-efficient routing and infrastructure planning for heavy-duty electric vehicles", con Gradient Boosting y aplicación para "logistics operators".</t>
        </is>
      </c>
      <c r="S9" s="69" t="n"/>
    </row>
    <row r="10" ht="23.25" customHeight="1" s="17">
      <c r="A10" s="26" t="inlineStr">
        <is>
          <t>R0009</t>
        </is>
      </c>
      <c r="B10" s="26" t="inlineStr">
        <is>
          <t>Scopus + WoS</t>
        </is>
      </c>
      <c r="C10" s="26" t="inlineStr">
        <is>
          <t>Han F.; Liu L.; Sun J.</t>
        </is>
      </c>
      <c r="D10" s="26" t="n">
        <v>2026</v>
      </c>
      <c r="E10" s="27" t="inlineStr">
        <is>
          <t>Logistics equipment condition monitoring and prediction based on digital twin and machine learning</t>
        </is>
      </c>
      <c r="F10" s="26" t="inlineStr">
        <is>
          <t>Scientific Reports</t>
        </is>
      </c>
      <c r="G10" s="26" t="inlineStr">
        <is>
          <t>Article</t>
        </is>
      </c>
      <c r="H10" s="26" t="inlineStr">
        <is>
          <t>10.1038/s41598-026-43380-4</t>
        </is>
      </c>
      <c r="I10" s="26" t="inlineStr">
        <is>
          <t>TA</t>
        </is>
      </c>
      <c r="J10" s="37" t="inlineStr">
        <is>
          <t>Include</t>
        </is>
      </c>
      <c r="K10" s="37" t="n"/>
      <c r="L10" s="28" t="inlineStr">
        <is>
          <t>Strong candidate: twin + supply chain + AI all in title/abstract</t>
        </is>
      </c>
      <c r="M10" s="37" t="inlineStr">
        <is>
          <t>"a digital twin solution in which the logistics equipment is monitored and continuously maintained through the application of ML algorithms in an IOT environment" (iForest, LSTM, RF); logística de almacén (montacargas, AGV, transportadores). Nota: gemelo a nivel de activo (mantenimiento predictivo).</t>
        </is>
      </c>
      <c r="N10" s="69" t="inlineStr">
        <is>
          <t>I</t>
        </is>
      </c>
      <c r="O10" s="69" t="n">
        <v>1</v>
      </c>
      <c r="P10" s="69" t="inlineStr">
        <is>
          <t>Include</t>
        </is>
      </c>
      <c r="Q10" s="69" t="inlineStr">
        <is>
          <t>I</t>
        </is>
      </c>
      <c r="R10" s="69" t="inlineStr">
        <is>
          <t>"a digital twin solution in which the logistics equipment is monitored and continuously maintained through the application of ML algorithms in an IOT environment" (iForest, LSTM, RF); logística de almacén (montacargas, AGV, transportadores). Nota: gemelo a nivel de activo (mantenimiento predictivo).</t>
        </is>
      </c>
      <c r="S10" s="69" t="n"/>
    </row>
    <row r="11" ht="23.25" customHeight="1" s="17">
      <c r="A11" s="26" t="inlineStr">
        <is>
          <t>R0010</t>
        </is>
      </c>
      <c r="B11" s="26" t="inlineStr">
        <is>
          <t>Scopus</t>
        </is>
      </c>
      <c r="C11" s="26" t="inlineStr">
        <is>
          <t>Zhang Y.; Zhu Y.; Zhu Z.; Xia X.; Yuan Z.; Liu J.</t>
        </is>
      </c>
      <c r="D11" s="26" t="n">
        <v>2026</v>
      </c>
      <c r="E11" s="27" t="inlineStr">
        <is>
          <t>Artificial Intelligence Accelerates Low Carbon Transformation of Thermal Power Plants</t>
        </is>
      </c>
      <c r="F11" s="26" t="inlineStr">
        <is>
          <t>Lecture Notes in Electrical Engineering</t>
        </is>
      </c>
      <c r="G11" s="26" t="inlineStr">
        <is>
          <t>Conference paper</t>
        </is>
      </c>
      <c r="H11" s="26" t="inlineStr">
        <is>
          <t>10.1007/978-981-95-7932-7_11</t>
        </is>
      </c>
      <c r="I11" s="26" t="inlineStr">
        <is>
          <t>TA</t>
        </is>
      </c>
      <c r="J11" s="37" t="inlineStr">
        <is>
          <t>Exclude</t>
        </is>
      </c>
      <c r="K11" s="37" t="inlineStr">
        <is>
          <t>Wrong publication type</t>
        </is>
      </c>
      <c r="L11" s="28" t="inlineStr">
        <is>
          <t>Strong candidate: twin + supply chain + AI all in title/abstract</t>
        </is>
      </c>
      <c r="M11" s="37" t="inlineStr">
        <is>
          <t>Revisión bibliométrica sobre IA en plantas de carbón ("This review employs bibliometric tools to systematically screen literature"); gemelo y cadena sólo de paso ("fuel supply chain management"). Valor para snowballing: bajo.</t>
        </is>
      </c>
      <c r="N11" s="69" t="inlineStr">
        <is>
          <t>E4</t>
        </is>
      </c>
      <c r="O11" s="69" t="n">
        <v>1</v>
      </c>
      <c r="P11" s="69" t="inlineStr">
        <is>
          <t>Exclude</t>
        </is>
      </c>
      <c r="Q11" s="69" t="inlineStr">
        <is>
          <t>E4</t>
        </is>
      </c>
      <c r="R11" s="69" t="inlineStr">
        <is>
          <t>Revisión bibliométrica sobre IA en plantas de carbón ("This review employs bibliometric tools to systematically screen literature"); gemelo y cadena sólo de paso ("fuel supply chain management"). Valor para snowballing: bajo.</t>
        </is>
      </c>
      <c r="S11" s="69" t="n"/>
    </row>
    <row r="12" ht="23.25" customHeight="1" s="17">
      <c r="A12" s="26" t="inlineStr">
        <is>
          <t>R0011</t>
        </is>
      </c>
      <c r="B12" s="26" t="inlineStr">
        <is>
          <t>Scopus + WoS</t>
        </is>
      </c>
      <c r="C12" s="26" t="inlineStr">
        <is>
          <t>Ivanov D.</t>
        </is>
      </c>
      <c r="D12" s="26" t="n">
        <v>2026</v>
      </c>
      <c r="E12" s="27" t="inlineStr">
        <is>
          <t>Toward Industry 6.0: The Ecosystem Age, superintelligence, viability, and OR-AI symbiosis</t>
        </is>
      </c>
      <c r="F12" s="26" t="inlineStr">
        <is>
          <t>Computers and Operations Research</t>
        </is>
      </c>
      <c r="G12" s="26" t="inlineStr">
        <is>
          <t>Article</t>
        </is>
      </c>
      <c r="H12" s="26" t="inlineStr">
        <is>
          <t>10.1016/j.cor.2026.107563</t>
        </is>
      </c>
      <c r="I12" s="26" t="inlineStr">
        <is>
          <t>TA</t>
        </is>
      </c>
      <c r="J12" s="37" t="inlineStr">
        <is>
          <t>Include</t>
        </is>
      </c>
      <c r="K12" s="37" t="n"/>
      <c r="L12" s="28" t="inlineStr">
        <is>
          <t>Strong candidate: twin + supply chain + AI all in title/abstract</t>
        </is>
      </c>
      <c r="M12" s="37" t="inlineStr">
        <is>
          <t>Conceptual: "outlining a 7-layer architecture of OR-AI symbiosis in digital twins" en el contexto de "supply chain and operations management in the AI and superintelligence age".</t>
        </is>
      </c>
      <c r="N12" s="69" t="inlineStr">
        <is>
          <t>I</t>
        </is>
      </c>
      <c r="O12" s="69" t="n">
        <v>1</v>
      </c>
      <c r="P12" s="69" t="inlineStr">
        <is>
          <t>Include</t>
        </is>
      </c>
      <c r="Q12" s="69" t="inlineStr">
        <is>
          <t>I</t>
        </is>
      </c>
      <c r="R12" s="69" t="inlineStr">
        <is>
          <t>Conceptual: "outlining a 7-layer architecture of OR-AI symbiosis in digital twins" en el contexto de "supply chain and operations management in the AI and superintelligence age".</t>
        </is>
      </c>
      <c r="S12" s="69" t="n"/>
    </row>
    <row r="13" ht="23.25" customHeight="1" s="17">
      <c r="A13" s="26" t="inlineStr">
        <is>
          <t>R0012</t>
        </is>
      </c>
      <c r="B13" s="26" t="inlineStr">
        <is>
          <t>Scopus + WoS</t>
        </is>
      </c>
      <c r="C13" s="26" t="inlineStr">
        <is>
          <t>Geethani M.; Kulatunga A.; Dharmapriya S.</t>
        </is>
      </c>
      <c r="D13" s="26" t="n">
        <v>2026</v>
      </c>
      <c r="E13" s="27" t="inlineStr">
        <is>
          <t>Digital Twin Based Framework to Enhance the Environmental Sustainability of Supply Chains</t>
        </is>
      </c>
      <c r="F13" s="26" t="inlineStr">
        <is>
          <t>Lecture Notes in Mechanical Engineering</t>
        </is>
      </c>
      <c r="G13" s="26" t="inlineStr">
        <is>
          <t>Conference paper</t>
        </is>
      </c>
      <c r="H13" s="26" t="inlineStr">
        <is>
          <t>10.1007/978-3-032-21157-6_23</t>
        </is>
      </c>
      <c r="I13" s="26" t="inlineStr">
        <is>
          <t>TA</t>
        </is>
      </c>
      <c r="J13" s="37" t="inlineStr">
        <is>
          <t>Include</t>
        </is>
      </c>
      <c r="K13" s="37" t="n"/>
      <c r="L13" s="28" t="inlineStr">
        <is>
          <t>Strong candidate: twin + supply chain + AI all in title/abstract</t>
        </is>
      </c>
      <c r="M13" s="37" t="inlineStr">
        <is>
          <t>Marco de soporte de decisión basado en gemelo para "sustainable supply chain management"; la IA aparece como analítica del gemelo: "performs analytics including simulation modelling, machine learning, optimization and dynamic Life Cycle Assessment". Verificar componente ML en texto completo.</t>
        </is>
      </c>
      <c r="N13" s="69" t="inlineStr">
        <is>
          <t>I</t>
        </is>
      </c>
      <c r="O13" s="69" t="n">
        <v>1</v>
      </c>
      <c r="P13" s="69" t="inlineStr">
        <is>
          <t>Include</t>
        </is>
      </c>
      <c r="Q13" s="69" t="inlineStr">
        <is>
          <t>I</t>
        </is>
      </c>
      <c r="R13" s="69" t="inlineStr">
        <is>
          <t>Marco de soporte de decisión basado en gemelo para "sustainable supply chain management"; la IA aparece como analítica del gemelo: "performs analytics including simulation modelling, machine learning, optimization and dynamic Life Cycle Assessment". Verificar componente ML en texto completo.</t>
        </is>
      </c>
      <c r="S13" s="69" t="n"/>
    </row>
    <row r="14" ht="23.25" customHeight="1" s="17">
      <c r="A14" s="26" t="inlineStr">
        <is>
          <t>R0013</t>
        </is>
      </c>
      <c r="B14" s="26" t="inlineStr">
        <is>
          <t>Scopus + WoS</t>
        </is>
      </c>
      <c r="C14" s="26" t="inlineStr">
        <is>
          <t>Padovano A.; Sammarco C.; Tripudio E.; Morinaga E.</t>
        </is>
      </c>
      <c r="D14" s="26" t="n">
        <v>2026</v>
      </c>
      <c r="E14" s="27" t="inlineStr">
        <is>
          <t>A surrogate-based explainability framework with semantic abstraction for human-centred supply chain intelligence</t>
        </is>
      </c>
      <c r="F14" s="26" t="inlineStr">
        <is>
          <t>Supply Chain Analytics</t>
        </is>
      </c>
      <c r="G14" s="26" t="inlineStr">
        <is>
          <t>Article</t>
        </is>
      </c>
      <c r="H14" s="26" t="inlineStr">
        <is>
          <t>10.1016/j.sca.2026.100221</t>
        </is>
      </c>
      <c r="I14" s="26" t="inlineStr">
        <is>
          <t>TA</t>
        </is>
      </c>
      <c r="J14" s="37" t="inlineStr">
        <is>
          <t>Include</t>
        </is>
      </c>
      <c r="K14" s="37" t="n"/>
      <c r="L14" s="28" t="inlineStr">
        <is>
          <t>Strong candidate: twin + supply chain + AI all in title/abstract</t>
        </is>
      </c>
      <c r="M14" s="37" t="inlineStr">
        <is>
          <t>Marco de explicabilidad (SHAP) para optimización habilitada por IA cuyo entorno declarado es el gemelo de cadena: "When these systems are embedded within supply chain digital twin environments"; caso de 7,500 instancias. Nota: el gemelo es entorno de despliegue, no se construye; límite C1, verificar en texto completo. Relevante para HITL.</t>
        </is>
      </c>
      <c r="N14" s="69" t="inlineStr">
        <is>
          <t>I</t>
        </is>
      </c>
      <c r="O14" s="69" t="n">
        <v>1</v>
      </c>
      <c r="P14" s="69" t="inlineStr">
        <is>
          <t>Include</t>
        </is>
      </c>
      <c r="Q14" s="69" t="inlineStr">
        <is>
          <t>I</t>
        </is>
      </c>
      <c r="R14" s="69" t="inlineStr">
        <is>
          <t>Marco de explicabilidad (SHAP) para optimización habilitada por IA cuyo entorno declarado es el gemelo de cadena: "When these systems are embedded within supply chain digital twin environments"; caso de 7,500 instancias. Nota: el gemelo es entorno de despliegue, no se construye; límite C1, verificar en texto completo. Relevante para HITL.</t>
        </is>
      </c>
      <c r="S14" s="69" t="n"/>
    </row>
    <row r="15" ht="23.25" customHeight="1" s="17">
      <c r="A15" s="26" t="inlineStr">
        <is>
          <t>R0014</t>
        </is>
      </c>
      <c r="B15" s="26" t="inlineStr">
        <is>
          <t>Scopus</t>
        </is>
      </c>
      <c r="C15" s="26" t="inlineStr">
        <is>
          <t>Brar P.S.; Singh D.; Bhamu J.</t>
        </is>
      </c>
      <c r="D15" s="26" t="n">
        <v>2026</v>
      </c>
      <c r="E15" s="27" t="inlineStr">
        <is>
          <t>Industry 4.0 Indicators and Sustainability Factors to Improve the Efficiency of Indian Process Industries: An Empirical Study</t>
        </is>
      </c>
      <c r="F15" s="26" t="inlineStr">
        <is>
          <t>Journal of Applied Research and Technology</t>
        </is>
      </c>
      <c r="G15" s="26" t="inlineStr">
        <is>
          <t>Article</t>
        </is>
      </c>
      <c r="H15" s="26" t="inlineStr">
        <is>
          <t>10.22201/icat.24486736e.2026.24.2.2945</t>
        </is>
      </c>
      <c r="I15" s="26" t="inlineStr">
        <is>
          <t>TA</t>
        </is>
      </c>
      <c r="J15" s="37" t="inlineStr">
        <is>
          <t>Exclude</t>
        </is>
      </c>
      <c r="K15" s="37" t="inlineStr">
        <is>
          <t>No digital twin/model</t>
        </is>
      </c>
      <c r="L15" s="28" t="inlineStr">
        <is>
          <t>Strong candidate: twin + supply chain + AI all in title/abstract</t>
        </is>
      </c>
      <c r="M15" s="37" t="inlineStr">
        <is>
          <t>Resuelto 2026-09-05 (regla C4, estudios de adopción): encuesta PLS-SEM donde gemelo, IA y cadena son constructos latentes ("Digital Twin Technology (DTT), Artificial Intelligence and Machine Learning (AIML)"), sin gemelo ni método de IA aplicado; también E3.</t>
        </is>
      </c>
      <c r="N15" s="69" t="inlineStr">
        <is>
          <t>E1</t>
        </is>
      </c>
      <c r="O15" s="69" t="n">
        <v>1</v>
      </c>
      <c r="P15" s="69" t="inlineStr">
        <is>
          <t>DUDA</t>
        </is>
      </c>
      <c r="Q15" s="69" t="inlineStr">
        <is>
          <t>DUDA</t>
        </is>
      </c>
      <c r="R15" s="69" t="inlineStr">
        <is>
          <t>Encuesta PLS-SEM de adopción donde gemelo, IA y cadena son constructos latentes ("Digital Twin Technology (DTT), Artificial Intelligence and Machine Learning (AIML)", "Sustainable Supply Chain Management (SSCM)"), sin gemelo ni método de IA aplicado. Regla nueva pendiente (estudios de adopción); inclinación: E1.</t>
        </is>
      </c>
      <c r="S15" s="69" t="n"/>
    </row>
    <row r="16" ht="23.25" customHeight="1" s="17">
      <c r="A16" s="26" t="inlineStr">
        <is>
          <t>R0015</t>
        </is>
      </c>
      <c r="B16" s="26" t="inlineStr">
        <is>
          <t>Scopus</t>
        </is>
      </c>
      <c r="C16" s="26" t="inlineStr">
        <is>
          <t>Farag W.A.</t>
        </is>
      </c>
      <c r="D16" s="26" t="n">
        <v>2026</v>
      </c>
      <c r="E16" s="27" t="inlineStr">
        <is>
          <t>Real-Time Supply Chain Visibility via Integrated IoT and AI</t>
        </is>
      </c>
      <c r="F16" s="26" t="inlineStr">
        <is>
          <t>KST 2026 - 18th International Conference on Knowledge and Smart Technology</t>
        </is>
      </c>
      <c r="G16" s="26" t="inlineStr">
        <is>
          <t>Conference paper</t>
        </is>
      </c>
      <c r="H16" s="26" t="inlineStr">
        <is>
          <t>10.1109/kst67832.2026.11431773</t>
        </is>
      </c>
      <c r="I16" s="26" t="inlineStr">
        <is>
          <t>TA</t>
        </is>
      </c>
      <c r="J16" s="37" t="inlineStr">
        <is>
          <t>Exclude</t>
        </is>
      </c>
      <c r="K16" s="37" t="inlineStr">
        <is>
          <t>No digital twin/model</t>
        </is>
      </c>
      <c r="L16" s="28" t="inlineStr">
        <is>
          <t>Strong candidate: twin + supply chain + AI all in title/abstract</t>
        </is>
      </c>
      <c r="M16" s="37" t="inlineStr">
        <is>
          <t>Gemelo sólo mencionado en la lista de capacidades de IA ("machine learning for prediction, anomaly detection, and digital twins for simulation"); artículo panorámico sobre IoT+IA para visibilidad de cadena.</t>
        </is>
      </c>
      <c r="N16" s="69" t="inlineStr">
        <is>
          <t>E1</t>
        </is>
      </c>
      <c r="O16" s="69" t="n">
        <v>1</v>
      </c>
      <c r="P16" s="69" t="inlineStr">
        <is>
          <t>Exclude</t>
        </is>
      </c>
      <c r="Q16" s="69" t="inlineStr">
        <is>
          <t>E1</t>
        </is>
      </c>
      <c r="R16" s="69" t="inlineStr">
        <is>
          <t>Gemelo sólo mencionado en la lista de capacidades de IA ("machine learning for prediction, anomaly detection, and digital twins for simulation"); artículo panorámico sobre IoT+IA para visibilidad de cadena.</t>
        </is>
      </c>
      <c r="S16" s="69" t="n"/>
    </row>
    <row r="17" ht="34.5" customHeight="1" s="17">
      <c r="A17" s="26" t="inlineStr">
        <is>
          <t>R0016</t>
        </is>
      </c>
      <c r="B17" s="26" t="inlineStr">
        <is>
          <t>Scopus + WoS</t>
        </is>
      </c>
      <c r="C17" s="26" t="inlineStr">
        <is>
          <t>Torres-Polo M.; Guzmán Ortíz E.</t>
        </is>
      </c>
      <c r="D17" s="26" t="n">
        <v>2026</v>
      </c>
      <c r="E17" s="27" t="inlineStr">
        <is>
          <t>Computational Economics of Circular Construction: Machine Learning and Digital Twins for Optimizing Demolition Waste Recovery and Business Value</t>
        </is>
      </c>
      <c r="F17" s="26" t="inlineStr">
        <is>
          <t>Computation</t>
        </is>
      </c>
      <c r="G17" s="26" t="inlineStr">
        <is>
          <t>Article</t>
        </is>
      </c>
      <c r="H17" s="26" t="inlineStr">
        <is>
          <t>10.3390/computation14040076</t>
        </is>
      </c>
      <c r="I17" s="26" t="inlineStr">
        <is>
          <t>TA</t>
        </is>
      </c>
      <c r="J17" s="37" t="inlineStr">
        <is>
          <t>Exclude</t>
        </is>
      </c>
      <c r="K17" s="37" t="inlineStr">
        <is>
          <t>Wrong publication type</t>
        </is>
      </c>
      <c r="L17" s="28" t="inlineStr">
        <is>
          <t>Strong candidate: twin + supply chain + AI all in title/abstract</t>
        </is>
      </c>
      <c r="M17" s="37" t="inlineStr">
        <is>
          <t>"This study conducts a systematic literature review using the Context–Mechanism–Outcome (CMO) framework" (PRISMA 2020, 42 estudios) sobre gemelos, IA y otros habilitadores en residuos de construcción. Valor para snowballing: medio (logística inversa).</t>
        </is>
      </c>
      <c r="N17" s="69" t="inlineStr">
        <is>
          <t>E4</t>
        </is>
      </c>
      <c r="O17" s="69" t="n">
        <v>1</v>
      </c>
      <c r="P17" s="69" t="inlineStr">
        <is>
          <t>Exclude</t>
        </is>
      </c>
      <c r="Q17" s="69" t="inlineStr">
        <is>
          <t>E4</t>
        </is>
      </c>
      <c r="R17" s="69" t="inlineStr">
        <is>
          <t>"This study conducts a systematic literature review using the Context–Mechanism–Outcome (CMO) framework" (PRISMA 2020, 42 estudios) sobre gemelos, IA y otros habilitadores en residuos de construcción. Valor para snowballing: medio (logística inversa).</t>
        </is>
      </c>
      <c r="S17" s="69" t="n"/>
    </row>
    <row r="18" ht="23.25" customHeight="1" s="17">
      <c r="A18" s="26" t="inlineStr">
        <is>
          <t>R0017</t>
        </is>
      </c>
      <c r="B18" s="26" t="inlineStr">
        <is>
          <t>Scopus + WoS</t>
        </is>
      </c>
      <c r="C18" s="26" t="inlineStr">
        <is>
          <t>Staudt F.H.; Machado R.F.; Di Mascolo M.; Alpan G.; Frazzon E.M.</t>
        </is>
      </c>
      <c r="D18" s="26" t="n">
        <v>2026</v>
      </c>
      <c r="E18" s="27" t="inlineStr">
        <is>
          <t>Blockchain Implementation in Supply Chains: Analysis Based on Literature Reviews and Case Studies</t>
        </is>
      </c>
      <c r="F18" s="26" t="inlineStr">
        <is>
          <t>Springer Proceedings in Mathematics and Statistics</t>
        </is>
      </c>
      <c r="G18" s="26" t="inlineStr">
        <is>
          <t>Conference paper</t>
        </is>
      </c>
      <c r="H18" s="26" t="inlineStr">
        <is>
          <t>10.1007/978-3-032-19167-0_31</t>
        </is>
      </c>
      <c r="I18" s="26" t="inlineStr">
        <is>
          <t>TA</t>
        </is>
      </c>
      <c r="J18" s="37" t="inlineStr">
        <is>
          <t>Exclude</t>
        </is>
      </c>
      <c r="K18" s="37" t="inlineStr">
        <is>
          <t>Wrong publication type</t>
        </is>
      </c>
      <c r="L18" s="28" t="inlineStr">
        <is>
          <t>Strong candidate: twin + supply chain + AI all in title/abstract</t>
        </is>
      </c>
      <c r="M18" s="37" t="inlineStr">
        <is>
          <t>Revisión PRISMA más casos sobre blockchain ("The PRISMA research methodology is used to define the portfolio of 161 articles"); gemelo y ML sólo "were also found". Valor para snowballing: bajo.</t>
        </is>
      </c>
      <c r="N18" s="69" t="inlineStr">
        <is>
          <t>E4</t>
        </is>
      </c>
      <c r="O18" s="69" t="n">
        <v>1</v>
      </c>
      <c r="P18" s="69" t="inlineStr">
        <is>
          <t>Exclude</t>
        </is>
      </c>
      <c r="Q18" s="69" t="inlineStr">
        <is>
          <t>E4</t>
        </is>
      </c>
      <c r="R18" s="69" t="inlineStr">
        <is>
          <t>Revisión PRISMA más casos sobre blockchain ("The PRISMA research methodology is used to define the portfolio of 161 articles"); gemelo y ML sólo "were also found". Valor para snowballing: bajo.</t>
        </is>
      </c>
      <c r="S18" s="69" t="n"/>
    </row>
    <row r="19" ht="23.25" customHeight="1" s="17">
      <c r="A19" s="26" t="inlineStr">
        <is>
          <t>R0018</t>
        </is>
      </c>
      <c r="B19" s="26" t="inlineStr">
        <is>
          <t>Scopus</t>
        </is>
      </c>
      <c r="C19" s="26" t="inlineStr">
        <is>
          <t>Jin B.; Zhang Y.; Qiu W.; Quan H.</t>
        </is>
      </c>
      <c r="D19" s="26" t="n">
        <v>2026</v>
      </c>
      <c r="E19" s="27" t="inlineStr">
        <is>
          <t>Digital Twin-Enabled Simulation of Tobacco Logistics Distribution Networks</t>
        </is>
      </c>
      <c r="F19" s="26" t="inlineStr">
        <is>
          <t>2026 Innovations in Machine, Engineering, and Digital Conference, IMED 2026</t>
        </is>
      </c>
      <c r="G19" s="26" t="inlineStr">
        <is>
          <t>Conference paper</t>
        </is>
      </c>
      <c r="H19" s="26" t="inlineStr">
        <is>
          <t>10.1109/imed68921.2026.11484180</t>
        </is>
      </c>
      <c r="I19" s="26" t="inlineStr">
        <is>
          <t>TA</t>
        </is>
      </c>
      <c r="J19" s="37" t="inlineStr">
        <is>
          <t>Include</t>
        </is>
      </c>
      <c r="K19" s="37" t="n"/>
      <c r="L19" s="28" t="inlineStr">
        <is>
          <t>Strong candidate: twin + supply chain + AI all in title/abstract</t>
        </is>
      </c>
      <c r="M19" s="37" t="inlineStr">
        <is>
          <t>Gemelo de red logística de tabaco con IA: "a combination of system dynamics modelling, real-time IoT data streams, and artificial intelligence predictive analytics tailored to the changing demands, transportation, inventory, and compliance demands of tobacco supply chains".</t>
        </is>
      </c>
      <c r="N19" s="69" t="inlineStr">
        <is>
          <t>I</t>
        </is>
      </c>
      <c r="O19" s="69" t="n">
        <v>1</v>
      </c>
      <c r="P19" s="69" t="inlineStr">
        <is>
          <t>Include</t>
        </is>
      </c>
      <c r="Q19" s="69" t="inlineStr">
        <is>
          <t>I</t>
        </is>
      </c>
      <c r="R19" s="69" t="inlineStr">
        <is>
          <t>Gemelo de red logística de tabaco con IA: "a combination of system dynamics modelling, real-time IoT data streams, and artificial intelligence predictive analytics tailored to the changing demands, transportation, inventory, and compliance demands of tobacco supply chains".</t>
        </is>
      </c>
      <c r="S19" s="69" t="n"/>
    </row>
    <row r="20" ht="23.25" customHeight="1" s="17">
      <c r="A20" s="26" t="inlineStr">
        <is>
          <t>R0019</t>
        </is>
      </c>
      <c r="B20" s="26" t="inlineStr">
        <is>
          <t>Scopus + WoS</t>
        </is>
      </c>
      <c r="C20" s="26" t="inlineStr">
        <is>
          <t>Ben Youssef A.; Zeqiri A.; Mbang S.</t>
        </is>
      </c>
      <c r="D20" s="26" t="n">
        <v>2026</v>
      </c>
      <c r="E20" s="27" t="inlineStr">
        <is>
          <t>Digital twin use-case prioritisation for sustainability in smart manufacturing: A multi-criteria decision analytics approach</t>
        </is>
      </c>
      <c r="F20" s="26" t="inlineStr">
        <is>
          <t>Socio-Economic Planning Sciences</t>
        </is>
      </c>
      <c r="G20" s="26" t="inlineStr">
        <is>
          <t>Article</t>
        </is>
      </c>
      <c r="H20" s="26" t="inlineStr">
        <is>
          <t>10.1016/j.seps.2026.102553</t>
        </is>
      </c>
      <c r="I20" s="26" t="inlineStr">
        <is>
          <t>TA</t>
        </is>
      </c>
      <c r="J20" s="37" t="inlineStr">
        <is>
          <t>Exclude</t>
        </is>
      </c>
      <c r="K20" s="37" t="inlineStr">
        <is>
          <t>No AI/ML component</t>
        </is>
      </c>
      <c r="L20" s="28" t="inlineStr">
        <is>
          <t>Strong candidate: twin + supply chain + AI all in title/abstract</t>
        </is>
      </c>
      <c r="M20" s="37" t="inlineStr">
        <is>
          <t>Resuelto 2026-09-05 (regla C4, estudios de adopción/priorización): "interview-informed multi-criteria decision analysis (MCDA) that prioritises seven recurring digital twin use cases"; la IA sólo como ingrediente del gemelo, sin método aplicado ni propuesto.</t>
        </is>
      </c>
      <c r="N20" s="69" t="inlineStr">
        <is>
          <t>E3</t>
        </is>
      </c>
      <c r="O20" s="69" t="n">
        <v>1</v>
      </c>
      <c r="P20" s="69" t="inlineStr">
        <is>
          <t>DUDA</t>
        </is>
      </c>
      <c r="Q20" s="69" t="inlineStr">
        <is>
          <t>DUDA</t>
        </is>
      </c>
      <c r="R20" s="69" t="inlineStr">
        <is>
          <t>Priorización MCDA de casos de uso de gemelos con entrevistas ("interview-informed multi-criteria decision analysis (MCDA) that prioritises seven recurring digital twin use cases"); la IA sólo como ingrediente del gemelo, no aplicada. Regla nueva pendiente (estudios de adopción/priorización); inclinación: E3.</t>
        </is>
      </c>
      <c r="S20" s="69" t="n"/>
    </row>
    <row r="21" ht="23.25" customHeight="1" s="17">
      <c r="A21" s="26" t="inlineStr">
        <is>
          <t>R0020</t>
        </is>
      </c>
      <c r="B21" s="26" t="inlineStr">
        <is>
          <t>Scopus</t>
        </is>
      </c>
      <c r="C21" s="26" t="inlineStr">
        <is>
          <t>Su Z.</t>
        </is>
      </c>
      <c r="D21" s="26" t="n">
        <v>2026</v>
      </c>
      <c r="E21" s="27" t="inlineStr">
        <is>
          <t>Digital Transformation in Port Logistics</t>
        </is>
      </c>
      <c r="F21" s="26" t="inlineStr">
        <is>
          <t>Encyclopedia</t>
        </is>
      </c>
      <c r="G21" s="26" t="inlineStr">
        <is>
          <t>Article</t>
        </is>
      </c>
      <c r="H21" s="26" t="inlineStr">
        <is>
          <t>10.3390/encyclopedia6010028</t>
        </is>
      </c>
      <c r="I21" s="26" t="inlineStr">
        <is>
          <t>TA</t>
        </is>
      </c>
      <c r="J21" s="37" t="inlineStr">
        <is>
          <t>Exclude</t>
        </is>
      </c>
      <c r="K21" s="37" t="inlineStr">
        <is>
          <t>No digital twin/model</t>
        </is>
      </c>
      <c r="L21" s="28" t="inlineStr">
        <is>
          <t>Strong candidate: twin + supply chain + AI all in title/abstract</t>
        </is>
      </c>
      <c r="M21" s="37" t="inlineStr">
        <is>
          <t>Entrada enciclopédica; gemelo e IA sólo en lista de tecnologías de puerto inteligente ("Internet of Things, 5G communication networks, digital twins, blockchain-based trade documentation, and artificial intelligence applied to vessel scheduling"); también E3.</t>
        </is>
      </c>
      <c r="N21" s="69" t="inlineStr">
        <is>
          <t>E1</t>
        </is>
      </c>
      <c r="O21" s="69" t="n">
        <v>1</v>
      </c>
      <c r="P21" s="69" t="inlineStr">
        <is>
          <t>Exclude</t>
        </is>
      </c>
      <c r="Q21" s="69" t="inlineStr">
        <is>
          <t>E1</t>
        </is>
      </c>
      <c r="R21" s="69" t="inlineStr">
        <is>
          <t>Entrada enciclopédica; gemelo e IA sólo en lista de tecnologías de puerto inteligente ("Internet of Things, 5G communication networks, digital twins, blockchain-based trade documentation, and artificial intelligence applied to vessel scheduling"); también E3.</t>
        </is>
      </c>
      <c r="S21" s="69" t="n"/>
    </row>
    <row r="22" ht="23.25" customHeight="1" s="17">
      <c r="A22" s="26" t="inlineStr">
        <is>
          <t>R0021</t>
        </is>
      </c>
      <c r="B22" s="26" t="inlineStr">
        <is>
          <t>Scopus + WoS</t>
        </is>
      </c>
      <c r="C22" s="26" t="inlineStr">
        <is>
          <t>Zhang Y.; Wang Y.; Zhen W.; Wang C.; Qu X.</t>
        </is>
      </c>
      <c r="D22" s="26" t="n">
        <v>2026</v>
      </c>
      <c r="E22" s="27" t="inlineStr">
        <is>
          <t>Digital twins for low-altitude transportation and logistics: A barrier-centric survey of UAV and eVTOL systems</t>
        </is>
      </c>
      <c r="F22" s="26" t="inlineStr">
        <is>
          <t>Transportation Research Part E: Logistics and Transportation Review</t>
        </is>
      </c>
      <c r="G22" s="26" t="inlineStr">
        <is>
          <t>Article</t>
        </is>
      </c>
      <c r="H22" s="26" t="inlineStr">
        <is>
          <t>10.1016/j.tre.2026.105116</t>
        </is>
      </c>
      <c r="I22" s="26" t="inlineStr">
        <is>
          <t>TA</t>
        </is>
      </c>
      <c r="J22" s="37" t="inlineStr">
        <is>
          <t>Exclude</t>
        </is>
      </c>
      <c r="K22" s="37" t="inlineStr">
        <is>
          <t>Wrong publication type</t>
        </is>
      </c>
      <c r="L22" s="28" t="inlineStr">
        <is>
          <t>Strong candidate: twin + supply chain + AI all in title/abstract</t>
        </is>
      </c>
      <c r="M22" s="37" t="inlineStr">
        <is>
          <t>"This survey interprets application maturity through a barrier-centric framework": gemelos para transporte y logística de baja altitud con reto de verificación de IA. Valor para snowballing: alto.</t>
        </is>
      </c>
      <c r="N22" s="69" t="inlineStr">
        <is>
          <t>E4</t>
        </is>
      </c>
      <c r="O22" s="69" t="n">
        <v>1</v>
      </c>
      <c r="P22" s="69" t="inlineStr">
        <is>
          <t>Exclude</t>
        </is>
      </c>
      <c r="Q22" s="69" t="inlineStr">
        <is>
          <t>E4</t>
        </is>
      </c>
      <c r="R22" s="69" t="inlineStr">
        <is>
          <t>"This survey interprets application maturity through a barrier-centric framework": gemelos para transporte y logística de baja altitud con reto de verificación de IA. Valor para snowballing: alto.</t>
        </is>
      </c>
      <c r="S22" s="69" t="n"/>
    </row>
    <row r="23" ht="23.25" customHeight="1" s="17">
      <c r="A23" s="26" t="inlineStr">
        <is>
          <t>R0022</t>
        </is>
      </c>
      <c r="B23" s="26" t="inlineStr">
        <is>
          <t>Scopus</t>
        </is>
      </c>
      <c r="C23" s="26" t="inlineStr">
        <is>
          <t>Matacena M.</t>
        </is>
      </c>
      <c r="D23" s="26" t="n">
        <v>2026</v>
      </c>
      <c r="E23" s="27" t="inlineStr">
        <is>
          <t>Beyond efficiency: How process intelligence is transforming supply chain and procurement</t>
        </is>
      </c>
      <c r="F23" s="26" t="inlineStr">
        <is>
          <t>Journal of Supply Chain Management, Logistics and Procurement</t>
        </is>
      </c>
      <c r="G23" s="26" t="inlineStr">
        <is>
          <t>Article</t>
        </is>
      </c>
      <c r="H23" s="26" t="inlineStr">
        <is>
          <t>10.69554/jlsr4809</t>
        </is>
      </c>
      <c r="I23" s="26" t="inlineStr">
        <is>
          <t>TA</t>
        </is>
      </c>
      <c r="J23" s="37" t="inlineStr">
        <is>
          <t>Exclude</t>
        </is>
      </c>
      <c r="K23" s="37" t="inlineStr">
        <is>
          <t>No AI/ML component</t>
        </is>
      </c>
      <c r="L23" s="28" t="inlineStr">
        <is>
          <t>Strong candidate: twin + supply chain + AI all in title/abstract</t>
        </is>
      </c>
      <c r="M23" s="37" t="inlineStr">
        <is>
          <t>[Antecedente C8: medio] Recodificado 2026-09-06 en la auditoría final (I→E3): Artículo conceptual de practicante (Henry Stewart) sobre inteligencia de procesos como gemelo vivo de las operaciones ("Process intelligence addresses this by building a living digital twin of business operations") en cadena y compras; la IA sólo como etiqueta y capacidad ("process-centric approach to enterprise AI", "automate operational decisions in real time"), sin método ni componente (C8, primera precisión; verificación independiente coincidente). Pool medio por gemelo conceptual con cadena central. | Nota original (I): Gemelo de procesos como núcleo ("Process intelligence addresses this by building a living digital twin of business operations") con "process-centric approach to enterprise AI" en cadena y compras. Nota: artículo de practicante (Henry Stewart), conceptual.</t>
        </is>
      </c>
      <c r="N23" s="69" t="inlineStr">
        <is>
          <t>E3</t>
        </is>
      </c>
      <c r="O23" s="69" t="n">
        <v>1</v>
      </c>
      <c r="P23" s="69" t="inlineStr">
        <is>
          <t>Include</t>
        </is>
      </c>
      <c r="Q23" s="69" t="inlineStr">
        <is>
          <t>I</t>
        </is>
      </c>
      <c r="R23" s="69" t="inlineStr">
        <is>
          <t>Gemelo de procesos como núcleo ("Process intelligence addresses this by building a living digital twin of business operations") con "process-centric approach to enterprise AI" en cadena y compras. Nota: artículo de practicante (Henry Stewart), conceptual.</t>
        </is>
      </c>
      <c r="S23" s="69" t="n"/>
    </row>
    <row r="24" ht="23.25" customHeight="1" s="17">
      <c r="A24" s="26" t="inlineStr">
        <is>
          <t>R0023</t>
        </is>
      </c>
      <c r="B24" s="26" t="inlineStr">
        <is>
          <t>Scopus + WoS</t>
        </is>
      </c>
      <c r="C24" s="26" t="inlineStr">
        <is>
          <t>Wu J.; Fang Y.; Wang Y.; Zhao S.; Jiang W.; Li X.; Luo H.; Idris I.S.</t>
        </is>
      </c>
      <c r="D24" s="26" t="n">
        <v>2026</v>
      </c>
      <c r="E24" s="27" t="inlineStr">
        <is>
          <t>Integrating Human Factors into Operations Management Education in the Industry 5.0 era</t>
        </is>
      </c>
      <c r="F24" s="26" t="inlineStr">
        <is>
          <t>Journal of Visualized Experiments</t>
        </is>
      </c>
      <c r="G24" s="26" t="inlineStr">
        <is>
          <t>Article</t>
        </is>
      </c>
      <c r="H24" s="26" t="inlineStr">
        <is>
          <t>10.3791/69833</t>
        </is>
      </c>
      <c r="I24" s="26" t="inlineStr">
        <is>
          <t>TA</t>
        </is>
      </c>
      <c r="J24" s="37" t="inlineStr">
        <is>
          <t>Exclude</t>
        </is>
      </c>
      <c r="K24" s="37" t="inlineStr">
        <is>
          <t>No digital twin/model</t>
        </is>
      </c>
      <c r="L24" s="28" t="inlineStr">
        <is>
          <t>Strong candidate: twin + supply chain + AI all in title/abstract</t>
        </is>
      </c>
      <c r="M24" s="37" t="inlineStr">
        <is>
          <t>Educación en gestión de operaciones; gemelo sólo como trabajo futuro ("In future applications, combining human factors with human digital twin (HDT) and Artificial intelligence-generated content (AIGC)"); también E2.</t>
        </is>
      </c>
      <c r="N24" s="69" t="inlineStr">
        <is>
          <t>E1</t>
        </is>
      </c>
      <c r="O24" s="69" t="n">
        <v>1</v>
      </c>
      <c r="P24" s="69" t="inlineStr">
        <is>
          <t>Exclude</t>
        </is>
      </c>
      <c r="Q24" s="69" t="inlineStr">
        <is>
          <t>E1</t>
        </is>
      </c>
      <c r="R24" s="69" t="inlineStr">
        <is>
          <t>Educación en gestión de operaciones; gemelo sólo como trabajo futuro ("In future applications, combining human factors with human digital twin (HDT) and Artificial intelligence-generated content (AIGC)"); también E2.</t>
        </is>
      </c>
      <c r="S24" s="69" t="n"/>
    </row>
    <row r="25" ht="23.25" customHeight="1" s="17">
      <c r="A25" s="26" t="inlineStr">
        <is>
          <t>R0024</t>
        </is>
      </c>
      <c r="B25" s="26" t="inlineStr">
        <is>
          <t>Scopus + WoS</t>
        </is>
      </c>
      <c r="C25" s="26" t="inlineStr">
        <is>
          <t>Menachof D.A.; Sayeed S.A.</t>
        </is>
      </c>
      <c r="D25" s="26" t="n">
        <v>2026</v>
      </c>
      <c r="E25" s="27" t="inlineStr">
        <is>
          <t>Artificial intelligence-enabled digital twins for sustainable and carbon-neutral smart port operations</t>
        </is>
      </c>
      <c r="F25" s="26" t="inlineStr">
        <is>
          <t>WMU Journal of Maritime Affairs</t>
        </is>
      </c>
      <c r="G25" s="26" t="inlineStr">
        <is>
          <t>Article</t>
        </is>
      </c>
      <c r="H25" s="26" t="inlineStr">
        <is>
          <t>10.1007/s13437-026-00428-6</t>
        </is>
      </c>
      <c r="I25" s="26" t="inlineStr">
        <is>
          <t>TA</t>
        </is>
      </c>
      <c r="J25" s="37" t="inlineStr">
        <is>
          <t>Include</t>
        </is>
      </c>
      <c r="K25" s="37" t="n"/>
      <c r="L25" s="28" t="inlineStr">
        <is>
          <t>Strong candidate: twin + supply chain + AI all in title/abstract</t>
        </is>
      </c>
      <c r="M25" s="37" t="inlineStr">
        <is>
          <t>"strategic integration of Artificial Intelligence (AI)-enabled Digital Twins (DTs) as a foundational framework for achieving carbon-neutral smart seaport operations" (LSTM, RF, RL) en logística marítima. Verificar en texto completo que no sea revisión ("traces the conceptual evolution").</t>
        </is>
      </c>
      <c r="N25" s="69" t="inlineStr">
        <is>
          <t>I</t>
        </is>
      </c>
      <c r="O25" s="69" t="n">
        <v>1</v>
      </c>
      <c r="P25" s="69" t="inlineStr">
        <is>
          <t>Include</t>
        </is>
      </c>
      <c r="Q25" s="69" t="inlineStr">
        <is>
          <t>I</t>
        </is>
      </c>
      <c r="R25" s="69" t="inlineStr">
        <is>
          <t>"strategic integration of Artificial Intelligence (AI)-enabled Digital Twins (DTs) as a foundational framework for achieving carbon-neutral smart seaport operations" (LSTM, RF, RL) en logística marítima. Verificar en texto completo que no sea revisión ("traces the conceptual evolution").</t>
        </is>
      </c>
      <c r="S25" s="69" t="n"/>
    </row>
    <row r="26" ht="23.25" customHeight="1" s="17">
      <c r="A26" s="26" t="inlineStr">
        <is>
          <t>R0025</t>
        </is>
      </c>
      <c r="B26" s="26" t="inlineStr">
        <is>
          <t>Scopus</t>
        </is>
      </c>
      <c r="C26" s="26" t="inlineStr">
        <is>
          <t>Schwede C.; Schipper L.; Cirullies J.</t>
        </is>
      </c>
      <c r="D26" s="26" t="n">
        <v>2026</v>
      </c>
      <c r="E26" s="27" t="inlineStr">
        <is>
          <t>Enabling Non-Simulation Experts to Adapt Digital Twins during Production System Redesign using Agentic AI</t>
        </is>
      </c>
      <c r="F26" s="26" t="inlineStr">
        <is>
          <t>ICCMB 2026 - Proceedings of 2026 the 9th International Conference on Computers in Management and Business</t>
        </is>
      </c>
      <c r="G26" s="26" t="inlineStr">
        <is>
          <t>Conference paper</t>
        </is>
      </c>
      <c r="H26" s="26" t="inlineStr">
        <is>
          <t>10.1145/3802463.3802479</t>
        </is>
      </c>
      <c r="I26" s="26" t="inlineStr">
        <is>
          <t>TA</t>
        </is>
      </c>
      <c r="J26" s="37" t="inlineStr">
        <is>
          <t>Include</t>
        </is>
      </c>
      <c r="K26" s="37" t="n"/>
      <c r="L26" s="28" t="inlineStr">
        <is>
          <t>Strong candidate: twin + supply chain + AI all in title/abstract</t>
        </is>
      </c>
      <c r="M26" s="37" t="inlineStr">
        <is>
          <t>[Make] Gemelo de simulación de flujos de materiales adaptado por IA agéntica (LLM+RAG); encuadre explícito: "constructing digital representations of supply chains and production/logistics systems is labor-intensive". Make: logística intra-planta (IoT-Factory).</t>
        </is>
      </c>
      <c r="N26" s="69" t="inlineStr">
        <is>
          <t>I</t>
        </is>
      </c>
      <c r="O26" s="69" t="n">
        <v>1</v>
      </c>
      <c r="P26" s="69" t="inlineStr">
        <is>
          <t>Include</t>
        </is>
      </c>
      <c r="Q26" s="69" t="inlineStr">
        <is>
          <t>I</t>
        </is>
      </c>
      <c r="R26" s="69" t="inlineStr">
        <is>
          <t>Gemelo de simulación de flujos de materiales adaptado por IA agéntica (LLM+RAG); encuadre explícito: "constructing digital representations of supply chains and production/logistics systems is labor-intensive". Make: logística intra-planta (IoT-Factory).</t>
        </is>
      </c>
      <c r="S26" s="69" t="inlineStr">
        <is>
          <t>Make</t>
        </is>
      </c>
    </row>
    <row r="27" ht="23.25" customHeight="1" s="17">
      <c r="A27" s="26" t="inlineStr">
        <is>
          <t>R0026</t>
        </is>
      </c>
      <c r="B27" s="26" t="inlineStr">
        <is>
          <t>Scopus + WoS</t>
        </is>
      </c>
      <c r="C27" s="26" t="inlineStr">
        <is>
          <t>Turgut A.</t>
        </is>
      </c>
      <c r="D27" s="26" t="n">
        <v>2026</v>
      </c>
      <c r="E27" s="27" t="inlineStr">
        <is>
          <t>Regulating uncertainty in global supply chains: a cybernetic Digital Twin framework for variety attenuation</t>
        </is>
      </c>
      <c r="F27" s="26" t="inlineStr">
        <is>
          <t>Kybernetes</t>
        </is>
      </c>
      <c r="G27" s="26" t="inlineStr">
        <is>
          <t>Article</t>
        </is>
      </c>
      <c r="H27" s="26" t="inlineStr">
        <is>
          <t>10.1108/k-01-2026-0185</t>
        </is>
      </c>
      <c r="I27" s="26" t="inlineStr">
        <is>
          <t>TA</t>
        </is>
      </c>
      <c r="J27" s="37" t="inlineStr">
        <is>
          <t>Include</t>
        </is>
      </c>
      <c r="K27" s="37" t="n"/>
      <c r="L27" s="28" t="inlineStr">
        <is>
          <t>Strong candidate: twin + supply chain + AI all in title/abstract</t>
        </is>
      </c>
      <c r="M27" s="37" t="inlineStr">
        <is>
          <t>"develop a predictive Digital Twin framework" para "regulate delivery uncertainty in global logistics networks"; compara "Naïve Bayes, Artificial Neural Network, Random Forest" sobre 180,519 envíos.</t>
        </is>
      </c>
      <c r="N27" s="69" t="inlineStr">
        <is>
          <t>I</t>
        </is>
      </c>
      <c r="O27" s="69" t="n">
        <v>1</v>
      </c>
      <c r="P27" s="69" t="inlineStr">
        <is>
          <t>Include</t>
        </is>
      </c>
      <c r="Q27" s="69" t="inlineStr">
        <is>
          <t>I</t>
        </is>
      </c>
      <c r="R27" s="69" t="inlineStr">
        <is>
          <t>"develop a predictive Digital Twin framework" para "regulate delivery uncertainty in global logistics networks"; compara "Naïve Bayes, Artificial Neural Network, Random Forest" sobre 180,519 envíos.</t>
        </is>
      </c>
      <c r="S27" s="69" t="n"/>
    </row>
    <row r="28" ht="34.5" customHeight="1" s="17">
      <c r="A28" s="26" t="inlineStr">
        <is>
          <t>R0027</t>
        </is>
      </c>
      <c r="B28" s="26" t="inlineStr">
        <is>
          <t>Scopus</t>
        </is>
      </c>
      <c r="C28" s="26" t="inlineStr">
        <is>
          <t>Hilgarth B.; Schicker G.</t>
        </is>
      </c>
      <c r="D28" s="26" t="n">
        <v>2026</v>
      </c>
      <c r="E28" s="27" t="inlineStr">
        <is>
          <t>Data Interoperability in European Product Conformity Management for Circular Supply Chains: Digital Twins and a Legal Knowledge &amp;Data Model for linking law making and product manufacturing</t>
        </is>
      </c>
      <c r="F28" s="26" t="inlineStr">
        <is>
          <t>Procedia Computer Science</t>
        </is>
      </c>
      <c r="G28" s="26" t="inlineStr">
        <is>
          <t>Conference paper</t>
        </is>
      </c>
      <c r="H28" s="26" t="inlineStr">
        <is>
          <t>10.1016/j.procs.2026.02.309</t>
        </is>
      </c>
      <c r="I28" s="26" t="inlineStr">
        <is>
          <t>TA</t>
        </is>
      </c>
      <c r="J28" s="37" t="inlineStr">
        <is>
          <t>Exclude</t>
        </is>
      </c>
      <c r="K28" s="37" t="inlineStr">
        <is>
          <t>No digital twin/model</t>
        </is>
      </c>
      <c r="L28" s="28" t="inlineStr">
        <is>
          <t>Strong candidate: twin + supply chain + AI all in title/abstract</t>
        </is>
      </c>
      <c r="M28" s="37" t="inlineStr">
        <is>
          <t>Recodificado 2026-09-05 por C6 (antes I, confirmado en lote 1): los gemelos declarados son contenedores de datos y documentos ("three interlinked digital twins: the Digital Regulation Document (DRD), the Digital Product Passport (DPP), and the Digital Intervention Pattern (DIP)"), no un modelo de operaciones; la IA (RAG) opera sobre documentos regulatorios.</t>
        </is>
      </c>
      <c r="N28" s="69" t="inlineStr">
        <is>
          <t>E1</t>
        </is>
      </c>
      <c r="O28" s="69" t="n">
        <v>1</v>
      </c>
      <c r="P28" s="69" t="inlineStr">
        <is>
          <t>Include</t>
        </is>
      </c>
      <c r="Q28" s="69" t="inlineStr">
        <is>
          <t>I</t>
        </is>
      </c>
      <c r="R28" s="69" t="inlineStr">
        <is>
          <t>"proposes a Digital Product Compliance Management (DPCM) framework leveraging three interlinked digital twins" para cumplimiento "across complex supply chains and product lifecycles", con IA: "Retrieval-Augmented Generation (RAG)". Nota: gemelos de datos/documento (DPP), no de operaciones; verificar.</t>
        </is>
      </c>
      <c r="S28" s="69" t="n"/>
    </row>
    <row r="29" ht="23.25" customHeight="1" s="17">
      <c r="A29" s="26" t="inlineStr">
        <is>
          <t>R0028</t>
        </is>
      </c>
      <c r="B29" s="26" t="inlineStr">
        <is>
          <t>Scopus</t>
        </is>
      </c>
      <c r="C29" s="26" t="inlineStr">
        <is>
          <t>Xie D.; Bidanda B.</t>
        </is>
      </c>
      <c r="D29" s="26" t="n">
        <v>2026</v>
      </c>
      <c r="E29" s="27" t="inlineStr">
        <is>
          <t>Innovation and AI: The Emerging Role of Industrial Engineers</t>
        </is>
      </c>
      <c r="F29" s="26" t="inlineStr">
        <is>
          <t>Lecture Notes in Mechanical Engineering</t>
        </is>
      </c>
      <c r="G29" s="26" t="inlineStr">
        <is>
          <t>Conference paper</t>
        </is>
      </c>
      <c r="H29" s="26" t="inlineStr">
        <is>
          <t>10.1007/978-981-95-4717-3_20</t>
        </is>
      </c>
      <c r="I29" s="26" t="inlineStr">
        <is>
          <t>TA</t>
        </is>
      </c>
      <c r="J29" s="37" t="inlineStr">
        <is>
          <t>Exclude</t>
        </is>
      </c>
      <c r="K29" s="37" t="inlineStr">
        <is>
          <t>No digital twin/model</t>
        </is>
      </c>
      <c r="L29" s="28" t="inlineStr">
        <is>
          <t>Strong candidate: twin + supply chain + AI all in title/abstract</t>
        </is>
      </c>
      <c r="M29" s="37" t="inlineStr">
        <is>
          <t>Artículo panorámico sobre IA en ingeniería industrial; gemelo sólo en lista ("AI technologies, including machine learning, digital twins, and augmented reality"); también E2 (cadena sólo como área de aplicación).</t>
        </is>
      </c>
      <c r="N29" s="69" t="inlineStr">
        <is>
          <t>E1</t>
        </is>
      </c>
      <c r="O29" s="69" t="n">
        <v>1</v>
      </c>
      <c r="P29" s="69" t="inlineStr">
        <is>
          <t>Exclude</t>
        </is>
      </c>
      <c r="Q29" s="69" t="inlineStr">
        <is>
          <t>E1</t>
        </is>
      </c>
      <c r="R29" s="69" t="inlineStr">
        <is>
          <t>Artículo panorámico sobre IA en ingeniería industrial; gemelo sólo en lista ("AI technologies, including machine learning, digital twins, and augmented reality"); también E2 (cadena sólo como área de aplicación).</t>
        </is>
      </c>
      <c r="S29" s="69" t="n"/>
    </row>
    <row r="30" ht="23.25" customHeight="1" s="17">
      <c r="A30" s="26" t="inlineStr">
        <is>
          <t>R0029</t>
        </is>
      </c>
      <c r="B30" s="26" t="inlineStr">
        <is>
          <t>Scopus</t>
        </is>
      </c>
      <c r="C30" s="26" t="inlineStr">
        <is>
          <t>Kheckert E.V.</t>
        </is>
      </c>
      <c r="D30" s="26" t="n">
        <v>2026</v>
      </c>
      <c r="E30" s="27" t="inlineStr">
        <is>
          <t>Digital Twin Model of Smart Transportation and Maritime Systems for Resource Efficiency and Operational Optimization</t>
        </is>
      </c>
      <c r="F30" s="26" t="inlineStr">
        <is>
          <t>2026 International Conference on Artificial Intelligence for Sustainable Engineering and Innovation, AISEI 2026</t>
        </is>
      </c>
      <c r="G30" s="26" t="inlineStr">
        <is>
          <t>Conference paper</t>
        </is>
      </c>
      <c r="H30" s="26" t="inlineStr">
        <is>
          <t>10.1109/aisei68628.2026.11572832</t>
        </is>
      </c>
      <c r="I30" s="26" t="inlineStr">
        <is>
          <t>TA</t>
        </is>
      </c>
      <c r="J30" s="37" t="inlineStr">
        <is>
          <t>Include</t>
        </is>
      </c>
      <c r="K30" s="37" t="n"/>
      <c r="L30" s="28" t="inlineStr">
        <is>
          <t>Strong candidate: twin + supply chain + AI all in title/abstract</t>
        </is>
      </c>
      <c r="M30" s="37" t="inlineStr">
        <is>
          <t>"proposes a digital twin concept for intelligent transport and maritime systems" donde "Machine learning and big data analytics enable routing optimization"; encuadre logístico explícito: "green logistics", "smart ports". Conceptual.</t>
        </is>
      </c>
      <c r="N30" s="69" t="inlineStr">
        <is>
          <t>I</t>
        </is>
      </c>
      <c r="O30" s="69" t="n">
        <v>1</v>
      </c>
      <c r="P30" s="69" t="inlineStr">
        <is>
          <t>Include</t>
        </is>
      </c>
      <c r="Q30" s="69" t="inlineStr">
        <is>
          <t>I</t>
        </is>
      </c>
      <c r="R30" s="69" t="inlineStr">
        <is>
          <t>"proposes a digital twin concept for intelligent transport and maritime systems" donde "Machine learning and big data analytics enable routing optimization"; encuadre logístico explícito: "green logistics", "smart ports". Conceptual.</t>
        </is>
      </c>
      <c r="S30" s="69" t="n"/>
    </row>
    <row r="31" ht="34.5" customHeight="1" s="17">
      <c r="A31" s="26" t="inlineStr">
        <is>
          <t>R0030</t>
        </is>
      </c>
      <c r="B31" s="26" t="inlineStr">
        <is>
          <t>Scopus + WoS</t>
        </is>
      </c>
      <c r="C31" s="26" t="inlineStr">
        <is>
          <t>Turgut A.; Kurnaz C.; Korunur Engiz B.; Karadavut M.R.; Turgut A.</t>
        </is>
      </c>
      <c r="D31" s="26" t="n">
        <v>2026</v>
      </c>
      <c r="E31" s="27" t="inlineStr">
        <is>
          <t>Digital Twin-Driven Machine Learning and Physics-Informed Data Augmentation for Clutter-Resilient Chipless RFID Decoding in Smart Logistics</t>
        </is>
      </c>
      <c r="F31" s="26" t="inlineStr">
        <is>
          <t>IEEE Access</t>
        </is>
      </c>
      <c r="G31" s="26" t="inlineStr">
        <is>
          <t>Article</t>
        </is>
      </c>
      <c r="H31" s="26" t="inlineStr">
        <is>
          <t>10.1109/access.2026.3717950</t>
        </is>
      </c>
      <c r="I31" s="26" t="inlineStr">
        <is>
          <t>TA</t>
        </is>
      </c>
      <c r="J31" s="37" t="inlineStr">
        <is>
          <t>Exclude</t>
        </is>
      </c>
      <c r="K31" s="37" t="inlineStr">
        <is>
          <t>No digital twin/model</t>
        </is>
      </c>
      <c r="L31" s="28" t="inlineStr">
        <is>
          <t>Strong candidate: twin + supply chain + AI all in title/abstract</t>
        </is>
      </c>
      <c r="M31" s="37" t="inlineStr">
        <is>
          <t>Recodificado 2026-09-05 por C6 (antes I, confirmado en lote 1): el gemelo es un modelo electromagnético del almacén usado sólo como generador de datos para el decodificador RFID ("digital twin-derived clutter samples were superimposed with 100 pristine FR-4 V-slot tag responses to construct a simulation-supported augmented dataset for Random Forest regression"), no un modelo de operaciones.</t>
        </is>
      </c>
      <c r="N31" s="69" t="inlineStr">
        <is>
          <t>E1</t>
        </is>
      </c>
      <c r="O31" s="69" t="n">
        <v>1</v>
      </c>
      <c r="P31" s="69" t="inlineStr">
        <is>
          <t>Include</t>
        </is>
      </c>
      <c r="Q31" s="69" t="inlineStr">
        <is>
          <t>I</t>
        </is>
      </c>
      <c r="R31" s="69" t="inlineStr">
        <is>
          <t>"proposes a digital twin-driven machine-learning framework supported by physics-informed data augmentation for clutter-resilient chipless RFID decoding" en "smart logistics" (almacén). Nota: gemelo electromagnético del almacén; relevancia para planeación por verificar.</t>
        </is>
      </c>
      <c r="S31" s="69" t="n"/>
    </row>
    <row r="32" ht="23.25" customHeight="1" s="17">
      <c r="A32" s="26" t="inlineStr">
        <is>
          <t>R0031</t>
        </is>
      </c>
      <c r="B32" s="26" t="inlineStr">
        <is>
          <t>Scopus</t>
        </is>
      </c>
      <c r="C32" s="26" t="inlineStr">
        <is>
          <t>Mehta S.</t>
        </is>
      </c>
      <c r="D32" s="26" t="n">
        <v>2026</v>
      </c>
      <c r="E32" s="27" t="inlineStr">
        <is>
          <t>Tariffs, transparency, and AI: The ADAPT framework for tariff-ready, audit-proof supply chains</t>
        </is>
      </c>
      <c r="F32" s="26" t="inlineStr">
        <is>
          <t>Journal of Supply Chain Management, Logistics and Procurement</t>
        </is>
      </c>
      <c r="G32" s="26" t="inlineStr">
        <is>
          <t>Article</t>
        </is>
      </c>
      <c r="H32" s="26" t="inlineStr">
        <is>
          <t>10.69554/otqo6376</t>
        </is>
      </c>
      <c r="I32" s="26" t="inlineStr">
        <is>
          <t>TA</t>
        </is>
      </c>
      <c r="J32" s="37" t="inlineStr">
        <is>
          <t>Exclude</t>
        </is>
      </c>
      <c r="K32" s="37" t="inlineStr">
        <is>
          <t>No digital twin/model</t>
        </is>
      </c>
      <c r="L32" s="28" t="inlineStr">
        <is>
          <t>Strong candidate: twin + supply chain + AI all in title/abstract</t>
        </is>
      </c>
      <c r="M32" s="37" t="inlineStr">
        <is>
          <t>Marco de liderazgo (ADAPT); gemelo sólo como insumo en lista ("turns master data, supplier disclosures, digital twins, and prescriptive analytics into audit-ready, financially grounded decisions"). Límite C1; artículo de practicante.</t>
        </is>
      </c>
      <c r="N32" s="69" t="inlineStr">
        <is>
          <t>E1</t>
        </is>
      </c>
      <c r="O32" s="69" t="n">
        <v>1</v>
      </c>
      <c r="P32" s="69" t="inlineStr">
        <is>
          <t>Exclude</t>
        </is>
      </c>
      <c r="Q32" s="69" t="inlineStr">
        <is>
          <t>E1</t>
        </is>
      </c>
      <c r="R32" s="69" t="inlineStr">
        <is>
          <t>Marco de liderazgo (ADAPT); gemelo sólo como insumo en lista ("turns master data, supplier disclosures, digital twins, and prescriptive analytics into audit-ready, financially grounded decisions"). Límite C1; artículo de practicante.</t>
        </is>
      </c>
      <c r="S32" s="69" t="n"/>
    </row>
    <row r="33" ht="23.25" customHeight="1" s="17">
      <c r="A33" s="26" t="inlineStr">
        <is>
          <t>R0032</t>
        </is>
      </c>
      <c r="B33" s="26" t="inlineStr">
        <is>
          <t>Scopus</t>
        </is>
      </c>
      <c r="C33" s="26" t="inlineStr">
        <is>
          <t>Jain S.; Sharma P.</t>
        </is>
      </c>
      <c r="D33" s="26" t="n">
        <v>2026</v>
      </c>
      <c r="E33" s="27" t="inlineStr">
        <is>
          <t>Metaverse and sustainability: an overview of research trends and future directions</t>
        </is>
      </c>
      <c r="F33" s="26" t="inlineStr">
        <is>
          <t>Journal of Information, Communication and Ethics in Society</t>
        </is>
      </c>
      <c r="G33" s="26" t="inlineStr">
        <is>
          <t>Article</t>
        </is>
      </c>
      <c r="H33" s="26" t="inlineStr">
        <is>
          <t>10.1108/jices-10-2025-0299</t>
        </is>
      </c>
      <c r="I33" s="26" t="inlineStr">
        <is>
          <t>TA</t>
        </is>
      </c>
      <c r="J33" s="37" t="inlineStr">
        <is>
          <t>Exclude</t>
        </is>
      </c>
      <c r="K33" s="37" t="inlineStr">
        <is>
          <t>Wrong publication type</t>
        </is>
      </c>
      <c r="L33" s="28" t="inlineStr">
        <is>
          <t>Strong candidate: twin + supply chain + AI all in title/abstract</t>
        </is>
      </c>
      <c r="M33" s="37" t="inlineStr">
        <is>
          <t>Revisión bibliométrica de metaverso y sostenibilidad ("A bibliometric and TCCM (Theory-Context-Characteristics-Methodology) mapping using the SPAR-4-SLR protocol of 72 journal articles"); gemelos, IA y cadena sólo en implicaciones. Valor para snowballing: bajo.</t>
        </is>
      </c>
      <c r="N33" s="69" t="inlineStr">
        <is>
          <t>E4</t>
        </is>
      </c>
      <c r="O33" s="69" t="n">
        <v>1</v>
      </c>
      <c r="P33" s="69" t="inlineStr">
        <is>
          <t>Exclude</t>
        </is>
      </c>
      <c r="Q33" s="69" t="inlineStr">
        <is>
          <t>E4</t>
        </is>
      </c>
      <c r="R33" s="69" t="inlineStr">
        <is>
          <t>Revisión bibliométrica de metaverso y sostenibilidad ("A bibliometric and TCCM (Theory-Context-Characteristics-Methodology) mapping using the SPAR-4-SLR protocol of 72 journal articles"); gemelos, IA y cadena sólo en implicaciones. Valor para snowballing: bajo.</t>
        </is>
      </c>
      <c r="S33" s="69" t="n"/>
    </row>
    <row r="34" ht="23.25" customHeight="1" s="17">
      <c r="A34" s="26" t="inlineStr">
        <is>
          <t>R0033</t>
        </is>
      </c>
      <c r="B34" s="26" t="inlineStr">
        <is>
          <t>Scopus</t>
        </is>
      </c>
      <c r="C34" s="26" t="inlineStr">
        <is>
          <t>Chowdary N.H.; Prasad Reddy P.V.G.D.; Chittineni S.</t>
        </is>
      </c>
      <c r="D34" s="26" t="n">
        <v>2026</v>
      </c>
      <c r="E34" s="27" t="inlineStr">
        <is>
          <t>Digital Twin based Data Pattern Analysis for IoT-Based Pharmaceutical Production Monitoring</t>
        </is>
      </c>
      <c r="F34" s="26" t="inlineStr">
        <is>
          <t>Journal of Trends in Computer Science and Smart Technology</t>
        </is>
      </c>
      <c r="G34" s="26" t="inlineStr">
        <is>
          <t>Article</t>
        </is>
      </c>
      <c r="H34" s="26" t="inlineStr">
        <is>
          <t>10.36548/jtcsst.2026.1.001</t>
        </is>
      </c>
      <c r="I34" s="26" t="inlineStr">
        <is>
          <t>TA</t>
        </is>
      </c>
      <c r="J34" s="37" t="inlineStr">
        <is>
          <t>Exclude</t>
        </is>
      </c>
      <c r="K34" s="37" t="inlineStr">
        <is>
          <t>No supply chain scope</t>
        </is>
      </c>
      <c r="L34" s="28" t="inlineStr">
        <is>
          <t>Strong candidate: twin + supply chain + AI all in title/abstract</t>
        </is>
      </c>
      <c r="M34" s="37" t="inlineStr">
        <is>
          <t>Resuelto 2026-09-05 (regla Make C5): gemelo de producción farmacéutica; "supply chain management" aparece sólo como afirmación genérica sobre los gemelos, no como encuadre del estudio, cuyo objeto es "monitoring of pharmaceutical production operations".</t>
        </is>
      </c>
      <c r="N34" s="69" t="inlineStr">
        <is>
          <t>E2</t>
        </is>
      </c>
      <c r="O34" s="69" t="n">
        <v>1</v>
      </c>
      <c r="P34" s="69" t="inlineStr">
        <is>
          <t>DUDA</t>
        </is>
      </c>
      <c r="Q34" s="69" t="inlineStr">
        <is>
          <t>DUDA</t>
        </is>
      </c>
      <c r="R34" s="69" t="inlineStr">
        <is>
          <t>Gemelo de producción farmacéutica con regresión probabilística; la cadena aparece sólo como afirmación genérica sobre gemelos ("which can help with supply chain management, product quality control, and workflow optimization"), no como encuadre del estudio. Regla Make: ¿cuenta la mención genérica como encuadre? Inclinación: E2.</t>
        </is>
      </c>
      <c r="S34" s="69" t="n"/>
    </row>
    <row r="35" ht="23.25" customHeight="1" s="17">
      <c r="A35" s="26" t="inlineStr">
        <is>
          <t>R0034</t>
        </is>
      </c>
      <c r="B35" s="26" t="inlineStr">
        <is>
          <t>Scopus + WoS</t>
        </is>
      </c>
      <c r="C35" s="26" t="inlineStr">
        <is>
          <t>Khan F.; Tanwar M.; Dammala P.K.; Bhattacharya S.</t>
        </is>
      </c>
      <c r="D35" s="26" t="n">
        <v>2026</v>
      </c>
      <c r="E35" s="27" t="inlineStr">
        <is>
          <t>Enhancing the Reliability of Monopile-Supported Offshore Wind Turbines Through Digital-Twin Framework: State of the Art Review</t>
        </is>
      </c>
      <c r="F35" s="26" t="inlineStr">
        <is>
          <t>Indian Geotechnical Journal</t>
        </is>
      </c>
      <c r="G35" s="26" t="inlineStr">
        <is>
          <t>Article</t>
        </is>
      </c>
      <c r="H35" s="26" t="inlineStr">
        <is>
          <t>10.1007/s40098-026-01517-2</t>
        </is>
      </c>
      <c r="I35" s="26" t="inlineStr">
        <is>
          <t>TA</t>
        </is>
      </c>
      <c r="J35" s="37" t="inlineStr">
        <is>
          <t>Exclude</t>
        </is>
      </c>
      <c r="K35" s="37" t="inlineStr">
        <is>
          <t>Wrong publication type</t>
        </is>
      </c>
      <c r="L35" s="28" t="inlineStr">
        <is>
          <t>Strong candidate: twin + supply chain + AI all in title/abstract</t>
        </is>
      </c>
      <c r="M35" s="37" t="inlineStr">
        <is>
          <t>"this paper critically reviews the reliability studies" (State of the Art Review) sobre gemelo para monopilotes eólicos; logística sólo de paso. Valor para snowballing: bajo.</t>
        </is>
      </c>
      <c r="N35" s="69" t="inlineStr">
        <is>
          <t>E4</t>
        </is>
      </c>
      <c r="O35" s="69" t="n">
        <v>1</v>
      </c>
      <c r="P35" s="69" t="inlineStr">
        <is>
          <t>Exclude</t>
        </is>
      </c>
      <c r="Q35" s="69" t="inlineStr">
        <is>
          <t>E4</t>
        </is>
      </c>
      <c r="R35" s="69" t="inlineStr">
        <is>
          <t>"this paper critically reviews the reliability studies" (State of the Art Review) sobre gemelo para monopilotes eólicos; logística sólo de paso. Valor para snowballing: bajo.</t>
        </is>
      </c>
      <c r="S35" s="69" t="n"/>
    </row>
    <row r="36" ht="34.5" customHeight="1" s="17">
      <c r="A36" s="26" t="inlineStr">
        <is>
          <t>R0035</t>
        </is>
      </c>
      <c r="B36" s="26" t="inlineStr">
        <is>
          <t>Scopus + WoS</t>
        </is>
      </c>
      <c r="C36" s="26" t="inlineStr">
        <is>
          <t>Zamora-Cristales R.; Kogler C.; Sessions J.; Väätäinen K.; Contreras M.; Alzamora R.M.; Spinelli R.</t>
        </is>
      </c>
      <c r="D36" s="26" t="n">
        <v>2026</v>
      </c>
      <c r="E36" s="27" t="inlineStr">
        <is>
          <t>Simulation in Forest Engineering: Planning the Next Generation of Forest Operations and Logistics for the Challenges of the XXI Century</t>
        </is>
      </c>
      <c r="F36" s="26" t="inlineStr">
        <is>
          <t>Current Forestry Reports</t>
        </is>
      </c>
      <c r="G36" s="26" t="inlineStr">
        <is>
          <t>Article</t>
        </is>
      </c>
      <c r="H36" s="26" t="inlineStr">
        <is>
          <t>10.1007/s40725-026-00268-w</t>
        </is>
      </c>
      <c r="I36" s="26" t="inlineStr">
        <is>
          <t>TA</t>
        </is>
      </c>
      <c r="J36" s="37" t="inlineStr">
        <is>
          <t>Exclude</t>
        </is>
      </c>
      <c r="K36" s="37" t="inlineStr">
        <is>
          <t>Wrong publication type</t>
        </is>
      </c>
      <c r="L36" s="28" t="inlineStr">
        <is>
          <t>Strong candidate: twin + supply chain + AI all in title/abstract</t>
        </is>
      </c>
      <c r="M36" s="37" t="inlineStr">
        <is>
          <t>"This review explores the growing relevance of simulation in advancing next-generation forest operations and logistics"; gemelo e IA sólo como "emerging frontiers". Valor para snowballing: bajo.</t>
        </is>
      </c>
      <c r="N36" s="69" t="inlineStr">
        <is>
          <t>E4</t>
        </is>
      </c>
      <c r="O36" s="69" t="n">
        <v>1</v>
      </c>
      <c r="P36" s="69" t="inlineStr">
        <is>
          <t>Exclude</t>
        </is>
      </c>
      <c r="Q36" s="69" t="inlineStr">
        <is>
          <t>E4</t>
        </is>
      </c>
      <c r="R36" s="69" t="inlineStr">
        <is>
          <t>"This review explores the growing relevance of simulation in advancing next-generation forest operations and logistics"; gemelo e IA sólo como "emerging frontiers". Valor para snowballing: bajo.</t>
        </is>
      </c>
      <c r="S36" s="69" t="n"/>
    </row>
    <row r="37" ht="23.25" customHeight="1" s="17">
      <c r="A37" s="26" t="inlineStr">
        <is>
          <t>R0036</t>
        </is>
      </c>
      <c r="B37" s="26" t="inlineStr">
        <is>
          <t>Scopus</t>
        </is>
      </c>
      <c r="C37" s="26" t="inlineStr">
        <is>
          <t>El Brini A.; Bennis I.; Mansouri K.; Siadat A.</t>
        </is>
      </c>
      <c r="D37" s="26" t="n">
        <v>2026</v>
      </c>
      <c r="E37" s="27" t="inlineStr">
        <is>
          <t>A Decision-Oriented Integrative Framework for Enhancing Supply Chain Resilience</t>
        </is>
      </c>
      <c r="F37" s="26" t="inlineStr">
        <is>
          <t>2026 6th International Conference on Innovative Research in Applied Science, Engineering and Technology, IRASET 2026</t>
        </is>
      </c>
      <c r="G37" s="26" t="inlineStr">
        <is>
          <t>Conference paper</t>
        </is>
      </c>
      <c r="H37" s="26" t="inlineStr">
        <is>
          <t>10.1109/iraset68627.2026.11538784</t>
        </is>
      </c>
      <c r="I37" s="26" t="inlineStr">
        <is>
          <t>TA</t>
        </is>
      </c>
      <c r="J37" s="37" t="inlineStr">
        <is>
          <t>Exclude</t>
        </is>
      </c>
      <c r="K37" s="37" t="inlineStr">
        <is>
          <t>No digital twin/model</t>
        </is>
      </c>
      <c r="L37" s="28" t="inlineStr">
        <is>
          <t>Strong candidate: twin + supply chain + AI all in title/abstract</t>
        </is>
      </c>
      <c r="M37" s="37" t="inlineStr">
        <is>
          <t>Marco de decisión para resiliencia de cadena; gemelo sólo como perspectiva futura ("The prospects for developing this framework are based on the gradual integration of Industry 4.0 technologies, including the Internet of Things, digital twins"); también E3 (IA sólo "could strengthen").</t>
        </is>
      </c>
      <c r="N37" s="69" t="inlineStr">
        <is>
          <t>E1</t>
        </is>
      </c>
      <c r="O37" s="69" t="n">
        <v>1</v>
      </c>
      <c r="P37" s="69" t="inlineStr">
        <is>
          <t>Exclude</t>
        </is>
      </c>
      <c r="Q37" s="69" t="inlineStr">
        <is>
          <t>E1</t>
        </is>
      </c>
      <c r="R37" s="69" t="inlineStr">
        <is>
          <t>Marco de decisión para resiliencia de cadena; gemelo sólo como perspectiva futura ("The prospects for developing this framework are based on the gradual integration of Industry 4.0 technologies, including the Internet of Things, digital twins"); también E3 (IA sólo "could strengthen").</t>
        </is>
      </c>
      <c r="S37" s="69" t="n"/>
    </row>
    <row r="38" ht="23.25" customHeight="1" s="17">
      <c r="A38" s="26" t="inlineStr">
        <is>
          <t>R0037</t>
        </is>
      </c>
      <c r="B38" s="26" t="inlineStr">
        <is>
          <t>Scopus</t>
        </is>
      </c>
      <c r="C38" s="26" t="inlineStr">
        <is>
          <t>Leong W.Y.</t>
        </is>
      </c>
      <c r="D38" s="26" t="n">
        <v>2026</v>
      </c>
      <c r="E38" s="27" t="inlineStr">
        <is>
          <t>Climate-Disruption Early Warning for Malaysian Supply Chains Using Multimodal Data</t>
        </is>
      </c>
      <c r="F38" s="26" t="inlineStr">
        <is>
          <t>ICCMB 2026 - Proceedings of 2026 the 9th International Conference on Computers in Management and Business</t>
        </is>
      </c>
      <c r="G38" s="26" t="inlineStr">
        <is>
          <t>Conference paper</t>
        </is>
      </c>
      <c r="H38" s="26" t="inlineStr">
        <is>
          <t>10.1145/3802463.3802485</t>
        </is>
      </c>
      <c r="I38" s="26" t="inlineStr">
        <is>
          <t>TA</t>
        </is>
      </c>
      <c r="J38" s="37" t="inlineStr">
        <is>
          <t>Include</t>
        </is>
      </c>
      <c r="K38" s="37" t="n"/>
      <c r="L38" s="28" t="inlineStr">
        <is>
          <t>Strong candidate: twin + supply chain + AI all in title/abstract</t>
        </is>
      </c>
      <c r="M38" s="37" t="inlineStr">
        <is>
          <t>Sistema de alerta temprana para cadenas de Malasia que "employs spatiotemporal data fusion, machine learning-based risk forecasting, and digital twin-enabled scenario simulation"; evaluación por simulación.</t>
        </is>
      </c>
      <c r="N38" s="69" t="inlineStr">
        <is>
          <t>I</t>
        </is>
      </c>
      <c r="O38" s="69" t="n">
        <v>1</v>
      </c>
      <c r="P38" s="69" t="inlineStr">
        <is>
          <t>Include</t>
        </is>
      </c>
      <c r="Q38" s="69" t="inlineStr">
        <is>
          <t>I</t>
        </is>
      </c>
      <c r="R38" s="69" t="inlineStr">
        <is>
          <t>Sistema de alerta temprana para cadenas de Malasia que "employs spatiotemporal data fusion, machine learning-based risk forecasting, and digital twin-enabled scenario simulation"; evaluación por simulación.</t>
        </is>
      </c>
      <c r="S38" s="69" t="n"/>
    </row>
    <row r="39" ht="57" customHeight="1" s="17">
      <c r="A39" s="26" t="inlineStr">
        <is>
          <t>R0038</t>
        </is>
      </c>
      <c r="B39" s="26" t="inlineStr">
        <is>
          <t>Scopus</t>
        </is>
      </c>
      <c r="C39" s="26" t="inlineStr">
        <is>
          <t>Khiati M.; Jirari S.; Ayad B.; El Gour F.; Habboub S.; Elomari O.; Meziouni B.; Mkik M.; El-Mahdad H.</t>
        </is>
      </c>
      <c r="D39" s="26" t="n">
        <v>2026</v>
      </c>
      <c r="E39" s="27" t="inlineStr">
        <is>
          <t>Artificial Intelligence and Behavioral Economics as Catalysts for Next-Generation Transformative Public Management in Morocco: Integrating Explainable AI, Digital Twins, Smart Logistics, Strategic Power Skills Development, and Adaptive Policy Frameworks for Agile, Transparent, and Resilient Governance</t>
        </is>
      </c>
      <c r="F39" s="26" t="inlineStr">
        <is>
          <t>Lecture Notes in Networks and Systems</t>
        </is>
      </c>
      <c r="G39" s="26" t="inlineStr">
        <is>
          <t>Conference paper</t>
        </is>
      </c>
      <c r="H39" s="26" t="inlineStr">
        <is>
          <t>10.1007/978-3-032-19179-3_10</t>
        </is>
      </c>
      <c r="I39" s="26" t="inlineStr">
        <is>
          <t>TA</t>
        </is>
      </c>
      <c r="J39" s="37" t="inlineStr">
        <is>
          <t>Exclude</t>
        </is>
      </c>
      <c r="K39" s="37" t="inlineStr">
        <is>
          <t>No digital twin/model</t>
        </is>
      </c>
      <c r="L39" s="28" t="inlineStr">
        <is>
          <t>Strong candidate: twin + supply chain + AI all in title/abstract</t>
        </is>
      </c>
      <c r="M39" s="37" t="inlineStr">
        <is>
          <t>Encuesta a 120 actores sobre gobernanza pública asistida por IA ("the use of a multi-regression model to determine the effects of technological readiness"); sin gemelo construido ni medido; también E2 (sector público; "smart logistics" sólo en el título).</t>
        </is>
      </c>
      <c r="N39" s="69" t="inlineStr">
        <is>
          <t>E1</t>
        </is>
      </c>
      <c r="O39" s="69" t="n">
        <v>1</v>
      </c>
      <c r="P39" s="69" t="inlineStr">
        <is>
          <t>Exclude</t>
        </is>
      </c>
      <c r="Q39" s="69" t="inlineStr">
        <is>
          <t>E1</t>
        </is>
      </c>
      <c r="R39" s="69" t="inlineStr">
        <is>
          <t>Encuesta a 120 actores sobre gobernanza pública asistida por IA ("the use of a multi-regression model to determine the effects of technological readiness"); sin gemelo construido ni medido; también E2 (sector público; "smart logistics" sólo en el título).</t>
        </is>
      </c>
      <c r="S39" s="69" t="n"/>
    </row>
    <row r="40" ht="23.25" customHeight="1" s="17">
      <c r="A40" s="26" t="inlineStr">
        <is>
          <t>R0039</t>
        </is>
      </c>
      <c r="B40" s="26" t="inlineStr">
        <is>
          <t>Scopus + WoS</t>
        </is>
      </c>
      <c r="C40" s="26" t="inlineStr">
        <is>
          <t>Ellahi R.M.; Wood L.C.; Bekhit A.E.-D.A.</t>
        </is>
      </c>
      <c r="D40" s="26" t="n">
        <v>2026</v>
      </c>
      <c r="E40" s="27" t="inlineStr">
        <is>
          <t>A multi-layer Industry 4.0 framework for ensuring halal integrity in NZ meat supply chains</t>
        </is>
      </c>
      <c r="F40" s="26" t="inlineStr">
        <is>
          <t>Food Control</t>
        </is>
      </c>
      <c r="G40" s="26" t="inlineStr">
        <is>
          <t>Article</t>
        </is>
      </c>
      <c r="H40" s="26" t="inlineStr">
        <is>
          <t>10.1016/j.foodcont.2025.111880</t>
        </is>
      </c>
      <c r="I40" s="26" t="inlineStr">
        <is>
          <t>TA</t>
        </is>
      </c>
      <c r="J40" s="37" t="inlineStr">
        <is>
          <t>Exclude</t>
        </is>
      </c>
      <c r="K40" s="37" t="inlineStr">
        <is>
          <t>Wrong publication type</t>
        </is>
      </c>
      <c r="L40" s="28" t="inlineStr">
        <is>
          <t>Strong candidate: twin + supply chain + AI all in title/abstract</t>
        </is>
      </c>
      <c r="M40" s="37" t="inlineStr">
        <is>
          <t>"This study provides a comprehensive review of how Industry 4.0 technologies, including Blockchain, Artificial Intelligence (AI), Internet of Things (IoT), Cloud Computing, Digital Twins, and Augmented Reality (AR), can be integrated to enhance halal assurance"; propone arquitectura. Valor para snowballing: medio.</t>
        </is>
      </c>
      <c r="N40" s="69" t="inlineStr">
        <is>
          <t>E4</t>
        </is>
      </c>
      <c r="O40" s="69" t="n">
        <v>1</v>
      </c>
      <c r="P40" s="69" t="inlineStr">
        <is>
          <t>Exclude</t>
        </is>
      </c>
      <c r="Q40" s="69" t="inlineStr">
        <is>
          <t>E4</t>
        </is>
      </c>
      <c r="R40" s="69" t="inlineStr">
        <is>
          <t>"This study provides a comprehensive review of how Industry 4.0 technologies, including Blockchain, Artificial Intelligence (AI), Internet of Things (IoT), Cloud Computing, Digital Twins, and Augmented Reality (AR), can be integrated to enhance halal assurance"; propone arquitectura. Valor para snowballing: medio.</t>
        </is>
      </c>
      <c r="S40" s="69" t="n"/>
    </row>
    <row r="41" ht="23.25" customHeight="1" s="17">
      <c r="A41" s="26" t="inlineStr">
        <is>
          <t>R0040</t>
        </is>
      </c>
      <c r="B41" s="26" t="inlineStr">
        <is>
          <t>Scopus + WoS</t>
        </is>
      </c>
      <c r="C41" s="26" t="inlineStr">
        <is>
          <t>Ivanov D.</t>
        </is>
      </c>
      <c r="D41" s="26" t="n">
        <v>2026</v>
      </c>
      <c r="E41" s="27" t="inlineStr">
        <is>
          <t>A survey of system-cybernetic principles in supply chain resilience: viability, artificial intelligence, digital twins, and ecosystems</t>
        </is>
      </c>
      <c r="F41" s="26" t="inlineStr">
        <is>
          <t>International Journal of Systems Science</t>
        </is>
      </c>
      <c r="G41" s="26" t="inlineStr">
        <is>
          <t>Article</t>
        </is>
      </c>
      <c r="H41" s="26" t="inlineStr">
        <is>
          <t>10.1080/00207721.2025.2519204</t>
        </is>
      </c>
      <c r="I41" s="26" t="inlineStr">
        <is>
          <t>TA</t>
        </is>
      </c>
      <c r="J41" s="37" t="inlineStr">
        <is>
          <t>Exclude</t>
        </is>
      </c>
      <c r="K41" s="37" t="inlineStr">
        <is>
          <t>Wrong publication type</t>
        </is>
      </c>
      <c r="L41" s="28" t="inlineStr">
        <is>
          <t>Strong candidate: twin + supply chain + AI all in title/abstract</t>
        </is>
      </c>
      <c r="M41" s="37" t="inlineStr">
        <is>
          <t>"In this paper, we summarise system-cybernetic views of supply chain resilience and viability" y "system-cybernetic principles underlying AI-based digital twins and ecosystems". Valor para snowballing: alto.</t>
        </is>
      </c>
      <c r="N41" s="69" t="inlineStr">
        <is>
          <t>E4</t>
        </is>
      </c>
      <c r="O41" s="69" t="n">
        <v>1</v>
      </c>
      <c r="P41" s="69" t="inlineStr">
        <is>
          <t>Exclude</t>
        </is>
      </c>
      <c r="Q41" s="69" t="inlineStr">
        <is>
          <t>E4</t>
        </is>
      </c>
      <c r="R41" s="69" t="inlineStr">
        <is>
          <t>"In this paper, we summarise system-cybernetic views of supply chain resilience and viability" y "system-cybernetic principles underlying AI-based digital twins and ecosystems". Valor para snowballing: alto.</t>
        </is>
      </c>
      <c r="S41" s="69" t="n"/>
    </row>
    <row r="42" ht="23.25" customHeight="1" s="17">
      <c r="A42" s="26" t="inlineStr">
        <is>
          <t>R0041</t>
        </is>
      </c>
      <c r="B42" s="26" t="inlineStr">
        <is>
          <t>Scopus</t>
        </is>
      </c>
      <c r="C42" s="26" t="inlineStr">
        <is>
          <t>Ahmed Z.; Kakarla J.H.H.; Hazra A.; Gurusamy M.</t>
        </is>
      </c>
      <c r="D42" s="26" t="n">
        <v>2026</v>
      </c>
      <c r="E42" s="27" t="inlineStr">
        <is>
          <t>Quantum machine learning for industry 5.0: Fundamental, applications and research challenges</t>
        </is>
      </c>
      <c r="F42" s="26" t="inlineStr">
        <is>
          <t>Computer Science Review</t>
        </is>
      </c>
      <c r="G42" s="26" t="inlineStr">
        <is>
          <t>Article</t>
        </is>
      </c>
      <c r="H42" s="26" t="inlineStr">
        <is>
          <t>10.1016/j.cosrev.2026.100976</t>
        </is>
      </c>
      <c r="I42" s="26" t="inlineStr">
        <is>
          <t>TA</t>
        </is>
      </c>
      <c r="J42" s="37" t="inlineStr">
        <is>
          <t>Exclude</t>
        </is>
      </c>
      <c r="K42" s="37" t="inlineStr">
        <is>
          <t>No digital twin/model</t>
        </is>
      </c>
      <c r="L42" s="28" t="inlineStr">
        <is>
          <t>Strong candidate: twin + supply chain + AI all in title/abstract</t>
        </is>
      </c>
      <c r="M42" s="37" t="inlineStr">
        <is>
          <t>Artículo de fundamentos y aplicaciones de QML para Industria 5.0 (propone arquitectura QIoT); gemelo sólo como aplicación descrita ("enabling Quantum Digital Twins (QDTs) for smart manufacturing are described"); también E2. Alternativa: E4 si se considera survey (venue Computer Science Review); valor para snowballing: bajo.</t>
        </is>
      </c>
      <c r="N42" s="69" t="inlineStr">
        <is>
          <t>E1</t>
        </is>
      </c>
      <c r="O42" s="69" t="n">
        <v>1</v>
      </c>
      <c r="P42" s="69" t="inlineStr">
        <is>
          <t>Exclude</t>
        </is>
      </c>
      <c r="Q42" s="69" t="inlineStr">
        <is>
          <t>E1</t>
        </is>
      </c>
      <c r="R42" s="69" t="inlineStr">
        <is>
          <t>Artículo de fundamentos y aplicaciones de QML para Industria 5.0 (propone arquitectura QIoT); gemelo sólo como aplicación descrita ("enabling Quantum Digital Twins (QDTs) for smart manufacturing are described"); también E2. Alternativa: E4 si se considera survey (venue Computer Science Review); valor para snowballing: bajo.</t>
        </is>
      </c>
      <c r="S42" s="69" t="n"/>
    </row>
    <row r="43" ht="23.25" customHeight="1" s="17">
      <c r="A43" s="26" t="inlineStr">
        <is>
          <t>R0042</t>
        </is>
      </c>
      <c r="B43" s="26" t="inlineStr">
        <is>
          <t>Scopus + WoS</t>
        </is>
      </c>
      <c r="C43" s="26" t="inlineStr">
        <is>
          <t>Dossou P.-E.; Dongmo C.T.</t>
        </is>
      </c>
      <c r="D43" s="26" t="n">
        <v>2026</v>
      </c>
      <c r="E43" s="27" t="inlineStr">
        <is>
          <t>Sustainable Performance in Industry 5.0: Optimizing Supply Chains with Innovative Decision Systems</t>
        </is>
      </c>
      <c r="F43" s="26" t="inlineStr">
        <is>
          <t>Lecture Notes in Mechanical Engineering</t>
        </is>
      </c>
      <c r="G43" s="26" t="inlineStr">
        <is>
          <t>Conference paper</t>
        </is>
      </c>
      <c r="H43" s="26" t="inlineStr">
        <is>
          <t>10.1007/978-3-032-05610-8_49</t>
        </is>
      </c>
      <c r="I43" s="26" t="inlineStr">
        <is>
          <t>TA</t>
        </is>
      </c>
      <c r="J43" s="37" t="inlineStr">
        <is>
          <t>Exclude</t>
        </is>
      </c>
      <c r="K43" s="37" t="inlineStr">
        <is>
          <t>No digital twin/model</t>
        </is>
      </c>
      <c r="L43" s="28" t="inlineStr">
        <is>
          <t>Strong candidate: twin + supply chain + AI all in title/abstract</t>
        </is>
      </c>
      <c r="M43" s="37" t="inlineStr">
        <is>
          <t>Gemelo sólo en la definición de Industria 5.0 ("integrates new technologies such as artificial intelligence, advanced robotics, digital twin, and sustainability"); la herramienta propuesta usa "expert system and deep learning" sin gemelo.</t>
        </is>
      </c>
      <c r="N43" s="69" t="inlineStr">
        <is>
          <t>E1</t>
        </is>
      </c>
      <c r="O43" s="69" t="n">
        <v>1</v>
      </c>
      <c r="P43" s="69" t="inlineStr">
        <is>
          <t>Exclude</t>
        </is>
      </c>
      <c r="Q43" s="69" t="inlineStr">
        <is>
          <t>E1</t>
        </is>
      </c>
      <c r="R43" s="69" t="inlineStr">
        <is>
          <t>Gemelo sólo en la definición de Industria 5.0 ("integrates new technologies such as artificial intelligence, advanced robotics, digital twin, and sustainability"); la herramienta propuesta usa "expert system and deep learning" sin gemelo.</t>
        </is>
      </c>
      <c r="S43" s="69" t="n"/>
    </row>
    <row r="44" ht="23.25" customHeight="1" s="17">
      <c r="A44" s="26" t="inlineStr">
        <is>
          <t>R0043</t>
        </is>
      </c>
      <c r="B44" s="26" t="inlineStr">
        <is>
          <t>Scopus + WoS</t>
        </is>
      </c>
      <c r="C44" s="26" t="inlineStr">
        <is>
          <t>Pardhi S.; Hegazy O.; El Baghdadi M.</t>
        </is>
      </c>
      <c r="D44" s="26" t="n">
        <v>2026</v>
      </c>
      <c r="E44" s="27" t="inlineStr">
        <is>
          <t>Digital twin enhancement of real-time predictive EMS for FCEV truck operating under varying conditions</t>
        </is>
      </c>
      <c r="F44" s="26" t="inlineStr">
        <is>
          <t>Energy Conversion and Management: X</t>
        </is>
      </c>
      <c r="G44" s="26" t="inlineStr">
        <is>
          <t>Article</t>
        </is>
      </c>
      <c r="H44" s="26" t="inlineStr">
        <is>
          <t>10.1016/j.ecmx.2026.101722</t>
        </is>
      </c>
      <c r="I44" s="26" t="inlineStr">
        <is>
          <t>TA</t>
        </is>
      </c>
      <c r="J44" s="37" t="inlineStr">
        <is>
          <t>Exclude</t>
        </is>
      </c>
      <c r="K44" s="37" t="inlineStr">
        <is>
          <t>No supply chain scope</t>
        </is>
      </c>
      <c r="L44" s="28" t="inlineStr">
        <is>
          <t>Strong candidate: twin + supply chain + AI all in title/abstract</t>
        </is>
      </c>
      <c r="M44" s="37" t="inlineStr">
        <is>
          <t>Gemelos con ML del tren motriz de un camión de celda de combustible ("evolving machine learning DTs of the fuel cell system, DC/DC converter, battery"); la logística sólo como contexto ("impacts economic and logistics feasibility for the FCEV operators"), sin encuadre de cadena.</t>
        </is>
      </c>
      <c r="N44" s="69" t="inlineStr">
        <is>
          <t>E2</t>
        </is>
      </c>
      <c r="O44" s="69" t="n">
        <v>1</v>
      </c>
      <c r="P44" s="69" t="inlineStr">
        <is>
          <t>Exclude</t>
        </is>
      </c>
      <c r="Q44" s="69" t="inlineStr">
        <is>
          <t>E2</t>
        </is>
      </c>
      <c r="R44" s="69" t="inlineStr">
        <is>
          <t>Gemelos con ML del tren motriz de un camión de celda de combustible ("evolving machine learning DTs of the fuel cell system, DC/DC converter, battery"); la logística sólo como contexto ("impacts economic and logistics feasibility for the FCEV operators"), sin encuadre de cadena.</t>
        </is>
      </c>
      <c r="S44" s="69" t="n"/>
    </row>
    <row r="45" ht="34.5" customHeight="1" s="17">
      <c r="A45" s="26" t="inlineStr">
        <is>
          <t>R0044</t>
        </is>
      </c>
      <c r="B45" s="26" t="inlineStr">
        <is>
          <t>Scopus + WoS</t>
        </is>
      </c>
      <c r="C45" s="26" t="inlineStr">
        <is>
          <t>Elmay F.; Kadadha M.; Singh S.; Mizouni R.; Otrok H.; Mourad A.</t>
        </is>
      </c>
      <c r="D45" s="26" t="n">
        <v>2026</v>
      </c>
      <c r="E45" s="27" t="inlineStr">
        <is>
          <t>Digital-twins and machine learning-assisted stable, energy-aware unmanned aerial and ground vehicles delivery in blockchain-enabled crowdsourcing framework</t>
        </is>
      </c>
      <c r="F45" s="26" t="inlineStr">
        <is>
          <t>Future Generation Computer Systems</t>
        </is>
      </c>
      <c r="G45" s="26" t="inlineStr">
        <is>
          <t>Article</t>
        </is>
      </c>
      <c r="H45" s="26" t="inlineStr">
        <is>
          <t>10.1016/j.future.2025.108004</t>
        </is>
      </c>
      <c r="I45" s="26" t="inlineStr">
        <is>
          <t>TA</t>
        </is>
      </c>
      <c r="J45" s="37" t="inlineStr">
        <is>
          <t>Include</t>
        </is>
      </c>
      <c r="K45" s="37" t="n"/>
      <c r="L45" s="28" t="inlineStr">
        <is>
          <t>Strong candidate: twin + supply chain + AI all in title/abstract</t>
        </is>
      </c>
      <c r="M45" s="37" t="inlineStr">
        <is>
          <t>Entrega de última milla con UAV: "Digital twins are proposed and modeled for transparent and real-time package storage and status monitoring" y "Random Forest-based energy consumption model".</t>
        </is>
      </c>
      <c r="N45" s="69" t="inlineStr">
        <is>
          <t>I</t>
        </is>
      </c>
      <c r="O45" s="69" t="n">
        <v>1</v>
      </c>
      <c r="P45" s="69" t="inlineStr">
        <is>
          <t>Include</t>
        </is>
      </c>
      <c r="Q45" s="69" t="inlineStr">
        <is>
          <t>I</t>
        </is>
      </c>
      <c r="R45" s="69" t="inlineStr">
        <is>
          <t>Entrega de última milla con UAV: "Digital twins are proposed and modeled for transparent and real-time package storage and status monitoring" y "Random Forest-based energy consumption model".</t>
        </is>
      </c>
      <c r="S45" s="69" t="n"/>
    </row>
    <row r="46" ht="23.25" customHeight="1" s="17">
      <c r="A46" s="26" t="inlineStr">
        <is>
          <t>R0045</t>
        </is>
      </c>
      <c r="B46" s="26" t="inlineStr">
        <is>
          <t>Scopus</t>
        </is>
      </c>
      <c r="C46" s="26" t="inlineStr">
        <is>
          <t>Saidi C.; Hamani N.; Benaissa M.; Rolf B.; Reggelin T.; Lang S.</t>
        </is>
      </c>
      <c r="D46" s="26" t="n">
        <v>2026</v>
      </c>
      <c r="E46" s="27" t="inlineStr">
        <is>
          <t>Towards Intelligent Supply Chain Reconfiguration: A Framework Integrating Dynamic Knowledge Graph and AI-Driven Optimization</t>
        </is>
      </c>
      <c r="F46" s="26" t="inlineStr">
        <is>
          <t>Lecture Notes in Mechanical Engineering</t>
        </is>
      </c>
      <c r="G46" s="26" t="inlineStr">
        <is>
          <t>Conference paper</t>
        </is>
      </c>
      <c r="H46" s="26" t="inlineStr">
        <is>
          <t>10.1007/978-3-032-16889-4_39</t>
        </is>
      </c>
      <c r="I46" s="26" t="inlineStr">
        <is>
          <t>TA</t>
        </is>
      </c>
      <c r="J46" s="37" t="inlineStr">
        <is>
          <t>Include</t>
        </is>
      </c>
      <c r="K46" s="37" t="n"/>
      <c r="L46" s="28" t="inlineStr">
        <is>
          <t>Strong candidate: twin + supply chain + AI all in title/abstract</t>
        </is>
      </c>
      <c r="M46" s="37" t="inlineStr">
        <is>
          <t>Conceptual: "we propose a novel framework that leverages real-world data, Digital Twin modeling, Dynamic Knowledge Graph and Artificial Intelligence-driven Decision Making to enable intelligent supply chain reconfiguration". Verificar en texto completo que no sea revisión con marco anexo ("This comprehensive literature review highlights gaps").</t>
        </is>
      </c>
      <c r="N46" s="69" t="inlineStr">
        <is>
          <t>I</t>
        </is>
      </c>
      <c r="O46" s="69" t="n">
        <v>1</v>
      </c>
      <c r="P46" s="69" t="inlineStr">
        <is>
          <t>Include</t>
        </is>
      </c>
      <c r="Q46" s="69" t="inlineStr">
        <is>
          <t>I</t>
        </is>
      </c>
      <c r="R46" s="69" t="inlineStr">
        <is>
          <t>Conceptual: "we propose a novel framework that leverages real-world data, Digital Twin modeling, Dynamic Knowledge Graph and Artificial Intelligence-driven Decision Making to enable intelligent supply chain reconfiguration". Verificar en texto completo que no sea revisión con marco anexo ("This comprehensive literature review highlights gaps").</t>
        </is>
      </c>
      <c r="S46" s="69" t="n"/>
    </row>
    <row r="47" ht="34.5" customHeight="1" s="17">
      <c r="A47" s="26" t="inlineStr">
        <is>
          <t>R0046</t>
        </is>
      </c>
      <c r="B47" s="26" t="inlineStr">
        <is>
          <t>Scopus</t>
        </is>
      </c>
      <c r="C47" s="26" t="inlineStr">
        <is>
          <t>Zouaghi I.; Beldjoudi S.; Makaci M.</t>
        </is>
      </c>
      <c r="D47" s="26" t="n">
        <v>2026</v>
      </c>
      <c r="E47" s="27" t="inlineStr">
        <is>
          <t>Supply chain mapping for enhanced visibility and resilience: a multi-industry comparative study of best practices and emerging technologies</t>
        </is>
      </c>
      <c r="F47" s="26" t="inlineStr">
        <is>
          <t>International Journal of Business Performance and Supply Chain Modelling</t>
        </is>
      </c>
      <c r="G47" s="26" t="inlineStr">
        <is>
          <t>Article</t>
        </is>
      </c>
      <c r="H47" s="26" t="inlineStr">
        <is>
          <t>10.1504/ijbpscm.2026.154574</t>
        </is>
      </c>
      <c r="I47" s="26" t="inlineStr">
        <is>
          <t>TA</t>
        </is>
      </c>
      <c r="J47" s="37" t="inlineStr">
        <is>
          <t>Exclude</t>
        </is>
      </c>
      <c r="K47" s="37" t="inlineStr">
        <is>
          <t>Wrong publication type</t>
        </is>
      </c>
      <c r="L47" s="28" t="inlineStr">
        <is>
          <t>Strong candidate: twin + supply chain + AI all in title/abstract</t>
        </is>
      </c>
      <c r="M47" s="37" t="inlineStr">
        <is>
          <t>"This study provides an integrated review of key mapping typologies" de mapeo de cadena; gemelos e IA como tecnologías combinadas. Valor para snowballing: medio.</t>
        </is>
      </c>
      <c r="N47" s="69" t="inlineStr">
        <is>
          <t>E4</t>
        </is>
      </c>
      <c r="O47" s="69" t="n">
        <v>1</v>
      </c>
      <c r="P47" s="69" t="inlineStr">
        <is>
          <t>Exclude</t>
        </is>
      </c>
      <c r="Q47" s="69" t="inlineStr">
        <is>
          <t>E4</t>
        </is>
      </c>
      <c r="R47" s="69" t="inlineStr">
        <is>
          <t>"This study provides an integrated review of key mapping typologies" de mapeo de cadena; gemelos e IA como tecnologías combinadas. Valor para snowballing: medio.</t>
        </is>
      </c>
      <c r="S47" s="69" t="n"/>
    </row>
    <row r="48" ht="23.25" customHeight="1" s="17">
      <c r="A48" s="26" t="inlineStr">
        <is>
          <t>R0047</t>
        </is>
      </c>
      <c r="B48" s="26" t="inlineStr">
        <is>
          <t>Scopus + WoS</t>
        </is>
      </c>
      <c r="C48" s="26" t="inlineStr">
        <is>
          <t>Shaban I.A.; Ajaj R.; Elshimy H.; Hegab H.</t>
        </is>
      </c>
      <c r="D48" s="26" t="n">
        <v>2026</v>
      </c>
      <c r="E48" s="27" t="inlineStr">
        <is>
          <t>Industry 4.0 Enabled Sustainable Manufacturing</t>
        </is>
      </c>
      <c r="F48" s="26" t="inlineStr">
        <is>
          <t>Sustainability (Switzerland)</t>
        </is>
      </c>
      <c r="G48" s="26" t="inlineStr">
        <is>
          <t>Article</t>
        </is>
      </c>
      <c r="H48" s="26" t="inlineStr">
        <is>
          <t>10.3390/su18010156</t>
        </is>
      </c>
      <c r="I48" s="26" t="inlineStr">
        <is>
          <t>TA</t>
        </is>
      </c>
      <c r="J48" s="37" t="inlineStr">
        <is>
          <t>Exclude</t>
        </is>
      </c>
      <c r="K48" s="37" t="inlineStr">
        <is>
          <t>No digital twin/model</t>
        </is>
      </c>
      <c r="L48" s="28" t="inlineStr">
        <is>
          <t>Strong candidate: twin + supply chain + AI all in title/abstract</t>
        </is>
      </c>
      <c r="M48" s="37" t="inlineStr">
        <is>
          <t>Perspectiva sobre Industria 4.0 y manufactura sostenible; gemelo sólo como una tecnología listada ("emphasizes the use of digital twins for predictive maintenance"); también E2 (cadena sólo "cloud platforms for supply chain sustainability").</t>
        </is>
      </c>
      <c r="N48" s="69" t="inlineStr">
        <is>
          <t>E1</t>
        </is>
      </c>
      <c r="O48" s="69" t="n">
        <v>1</v>
      </c>
      <c r="P48" s="69" t="inlineStr">
        <is>
          <t>Exclude</t>
        </is>
      </c>
      <c r="Q48" s="69" t="inlineStr">
        <is>
          <t>E1</t>
        </is>
      </c>
      <c r="R48" s="69" t="inlineStr">
        <is>
          <t>Perspectiva sobre Industria 4.0 y manufactura sostenible; gemelo sólo como una tecnología listada ("emphasizes the use of digital twins for predictive maintenance"); también E2 (cadena sólo "cloud platforms for supply chain sustainability").</t>
        </is>
      </c>
      <c r="S48" s="69" t="n"/>
    </row>
    <row r="49" ht="23.25" customHeight="1" s="17">
      <c r="A49" s="26" t="inlineStr">
        <is>
          <t>R0048</t>
        </is>
      </c>
      <c r="B49" s="26" t="inlineStr">
        <is>
          <t>Scopus</t>
        </is>
      </c>
      <c r="C49" s="26" t="inlineStr">
        <is>
          <t>Vukšić M.; Ćelić J.; Bronzin T.; Prole B.; Adameć D.; Stipić A.; Katovic D.</t>
        </is>
      </c>
      <c r="D49" s="26" t="n">
        <v>2026</v>
      </c>
      <c r="E49" s="27" t="inlineStr">
        <is>
          <t>Hybrid Digital Twin and Deep Learning Framework for Monitoring Maritime Refrigerated Containers</t>
        </is>
      </c>
      <c r="F49" s="26" t="inlineStr">
        <is>
          <t>2026 49th MIPRO ICT and Electronics Convention, MIPRO 2026 - Proceedings</t>
        </is>
      </c>
      <c r="G49" s="26" t="inlineStr">
        <is>
          <t>Conference paper</t>
        </is>
      </c>
      <c r="H49" s="26" t="inlineStr">
        <is>
          <t>10.1109/mipro70003.2026.11591932</t>
        </is>
      </c>
      <c r="I49" s="26" t="inlineStr">
        <is>
          <t>TA</t>
        </is>
      </c>
      <c r="J49" s="37" t="inlineStr">
        <is>
          <t>Include</t>
        </is>
      </c>
      <c r="K49" s="37" t="n"/>
      <c r="L49" s="28" t="inlineStr">
        <is>
          <t>Strong candidate: twin + supply chain + AI all in title/abstract</t>
        </is>
      </c>
      <c r="M49" s="37" t="inlineStr">
        <is>
          <t>Cadena de frío marítima ("critical component of global cold-chain logistics"); "a digital twin and AI analytics layer, and an operator interface supporting human-in-the-loop supervision" con autoencoder. Relevante para HITL.</t>
        </is>
      </c>
      <c r="N49" s="69" t="inlineStr">
        <is>
          <t>I</t>
        </is>
      </c>
      <c r="O49" s="69" t="n">
        <v>1</v>
      </c>
      <c r="P49" s="69" t="inlineStr">
        <is>
          <t>Include</t>
        </is>
      </c>
      <c r="Q49" s="69" t="inlineStr">
        <is>
          <t>I</t>
        </is>
      </c>
      <c r="R49" s="69" t="inlineStr">
        <is>
          <t>Cadena de frío marítima ("critical component of global cold-chain logistics"); "a digital twin and AI analytics layer, and an operator interface supporting human-in-the-loop supervision" con autoencoder. Relevante para HITL.</t>
        </is>
      </c>
      <c r="S49" s="69" t="n"/>
    </row>
    <row r="50" ht="23.25" customHeight="1" s="17">
      <c r="A50" s="26" t="inlineStr">
        <is>
          <t>R0049</t>
        </is>
      </c>
      <c r="B50" s="26" t="inlineStr">
        <is>
          <t>Scopus</t>
        </is>
      </c>
      <c r="C50" s="26" t="inlineStr">
        <is>
          <t>Sun B.; Chen Z.; Wei J.; Pan P.</t>
        </is>
      </c>
      <c r="D50" s="26" t="n">
        <v>2026</v>
      </c>
      <c r="E50" s="27" t="inlineStr">
        <is>
          <t>Visual Analytics of Digital Twin Research in the Field of Industrial Engineering Based on VOSviewer and CiteSpace</t>
        </is>
      </c>
      <c r="F50" s="26" t="inlineStr">
        <is>
          <t>Proceedings of 2026 2nd International Conference on Big Data, Communication Technology and Computer Applications, BDCTA 2026</t>
        </is>
      </c>
      <c r="G50" s="26" t="inlineStr">
        <is>
          <t>Conference paper</t>
        </is>
      </c>
      <c r="H50" s="26" t="inlineStr">
        <is>
          <t>10.1145/3801359.3801363</t>
        </is>
      </c>
      <c r="I50" s="26" t="inlineStr">
        <is>
          <t>TA</t>
        </is>
      </c>
      <c r="J50" s="37" t="inlineStr">
        <is>
          <t>Exclude</t>
        </is>
      </c>
      <c r="K50" s="37" t="inlineStr">
        <is>
          <t>Wrong publication type</t>
        </is>
      </c>
      <c r="L50" s="28" t="inlineStr">
        <is>
          <t>Strong candidate: twin + supply chain + AI all in title/abstract</t>
        </is>
      </c>
      <c r="M50" s="37" t="inlineStr">
        <is>
          <t>Análisis bibliométrico ("data-driven visualization analysis using VOSviewer and CiteSpace") de gemelos en ingeniería industrial; cadena como brecha. Valor para snowballing: bajo (ajustado en la auditoría final 2026-09-06, antes medio: la cadena aparece sólo como brecha, no en el alcance declarado).</t>
        </is>
      </c>
      <c r="N50" s="69" t="inlineStr">
        <is>
          <t>E4</t>
        </is>
      </c>
      <c r="O50" s="69" t="n">
        <v>1</v>
      </c>
      <c r="P50" s="69" t="inlineStr">
        <is>
          <t>Exclude</t>
        </is>
      </c>
      <c r="Q50" s="69" t="inlineStr">
        <is>
          <t>E4</t>
        </is>
      </c>
      <c r="R50" s="69" t="inlineStr">
        <is>
          <t>Análisis bibliométrico ("data-driven visualization analysis using VOSviewer and CiteSpace") de gemelos en ingeniería industrial; cadena como brecha. Valor para snowballing: medio.</t>
        </is>
      </c>
      <c r="S50" s="69" t="n"/>
    </row>
    <row r="51" ht="23.25" customHeight="1" s="17">
      <c r="A51" s="26" t="inlineStr">
        <is>
          <t>R0050</t>
        </is>
      </c>
      <c r="B51" s="26" t="inlineStr">
        <is>
          <t>Scopus</t>
        </is>
      </c>
      <c r="C51" s="26" t="inlineStr">
        <is>
          <t>Zhetessova G.S.; Zharkevich O.M.; Kozhanov M.G.; Khrustaleva I.N.; Buzauova T.M.</t>
        </is>
      </c>
      <c r="D51" s="26" t="n">
        <v>2026</v>
      </c>
      <c r="E51" s="27" t="inlineStr">
        <is>
          <t>A Methodology for Optimizing Material Flows in Mechanical Engineering Enterprises Based on Big Data Technologies</t>
        </is>
      </c>
      <c r="F51" s="26" t="inlineStr">
        <is>
          <t>Material and Mechanical Engineering Technology</t>
        </is>
      </c>
      <c r="G51" s="26" t="inlineStr">
        <is>
          <t>Article</t>
        </is>
      </c>
      <c r="H51" s="26" t="inlineStr">
        <is>
          <t>10.52209/2706-977x_2026_2_25</t>
        </is>
      </c>
      <c r="I51" s="26" t="inlineStr">
        <is>
          <t>TA</t>
        </is>
      </c>
      <c r="J51" s="37" t="inlineStr">
        <is>
          <t>Include</t>
        </is>
      </c>
      <c r="K51" s="37" t="n"/>
      <c r="L51" s="28" t="inlineStr">
        <is>
          <t>Strong candidate: twin + supply chain + AI all in title/abstract</t>
        </is>
      </c>
      <c r="M51" s="37" t="inlineStr">
        <is>
          <t>[Make] Modelo digital de proceso productivo con "machine learning, multi-criteria analysis, and digital modeling"; encuadre explícito de logística intra-planta: "product flow routes, and intra-shop logistics" (título: optimización de flujos de materiales). Make.</t>
        </is>
      </c>
      <c r="N51" s="69" t="inlineStr">
        <is>
          <t>I</t>
        </is>
      </c>
      <c r="O51" s="69" t="n">
        <v>1</v>
      </c>
      <c r="P51" s="69" t="inlineStr">
        <is>
          <t>Include</t>
        </is>
      </c>
      <c r="Q51" s="69" t="inlineStr">
        <is>
          <t>I</t>
        </is>
      </c>
      <c r="R51" s="69" t="inlineStr">
        <is>
          <t>Modelo digital de proceso productivo con "machine learning, multi-criteria analysis, and digital modeling"; encuadre explícito de logística intra-planta: "product flow routes, and intra-shop logistics" (título: optimización de flujos de materiales). Make.</t>
        </is>
      </c>
      <c r="S51" s="69" t="inlineStr">
        <is>
          <t>Make</t>
        </is>
      </c>
    </row>
    <row r="52" ht="23.25" customHeight="1" s="17">
      <c r="A52" s="26" t="inlineStr">
        <is>
          <t>R0051</t>
        </is>
      </c>
      <c r="B52" s="26" t="inlineStr">
        <is>
          <t>Scopus</t>
        </is>
      </c>
      <c r="C52" s="26" t="inlineStr">
        <is>
          <t>Sayeed N.; Saha U.S.; Karim F.; Mustafizur Md.; Uddin S.M.M.; Chy M.A.R.</t>
        </is>
      </c>
      <c r="D52" s="26" t="n">
        <v>2026</v>
      </c>
      <c r="E52" s="27" t="inlineStr">
        <is>
          <t>Artificial Intelligence Models for End-to-End Supply Chain Optimization</t>
        </is>
      </c>
      <c r="F52" s="26" t="inlineStr">
        <is>
          <t>2026 IEEE International Conference for Convergence in Computing Technology, I3CTCON 2026</t>
        </is>
      </c>
      <c r="G52" s="26" t="inlineStr">
        <is>
          <t>Conference paper</t>
        </is>
      </c>
      <c r="H52" s="26" t="inlineStr">
        <is>
          <t>10.1109/i3ctcon68242.2026.11507407</t>
        </is>
      </c>
      <c r="I52" s="26" t="inlineStr">
        <is>
          <t>TA</t>
        </is>
      </c>
      <c r="J52" s="37" t="inlineStr">
        <is>
          <t>Include</t>
        </is>
      </c>
      <c r="K52" s="37" t="n"/>
      <c r="L52" s="28" t="inlineStr">
        <is>
          <t>Strong candidate: twin + supply chain + AI all in title/abstract</t>
        </is>
      </c>
      <c r="M52" s="37" t="inlineStr">
        <is>
          <t>Sistema de IA para optimización extremo a extremo de la cadena (ML, DL, RL) con gemelos como componente: "the framework facilitates real-time decision making through the combination of IoT-enabling data streams and digital twin models of supply chain networks". Verificar sustancia del gemelo en texto completo.</t>
        </is>
      </c>
      <c r="N52" s="69" t="inlineStr">
        <is>
          <t>I</t>
        </is>
      </c>
      <c r="O52" s="69" t="n">
        <v>2</v>
      </c>
      <c r="P52" s="69" t="inlineStr">
        <is>
          <t>Include</t>
        </is>
      </c>
      <c r="Q52" s="69" t="inlineStr">
        <is>
          <t>I</t>
        </is>
      </c>
      <c r="R52" s="69" t="inlineStr">
        <is>
          <t>Sistema de IA para optimización extremo a extremo de la cadena (ML, DL, RL) con gemelos como componente: "the framework facilitates real-time decision making through the combination of IoT-enabling data streams and digital twin models of supply chain networks". Verificar sustancia del gemelo en texto completo.</t>
        </is>
      </c>
      <c r="S52" s="69" t="n"/>
    </row>
    <row r="53" ht="23.25" customHeight="1" s="17">
      <c r="A53" s="26" t="inlineStr">
        <is>
          <t>R0052</t>
        </is>
      </c>
      <c r="B53" s="26" t="inlineStr">
        <is>
          <t>Scopus</t>
        </is>
      </c>
      <c r="C53" s="26" t="inlineStr">
        <is>
          <t>Taniguchi E.; Thompson R.G.; Qureshi A.G.</t>
        </is>
      </c>
      <c r="D53" s="26" t="n">
        <v>2026</v>
      </c>
      <c r="E53" s="27" t="inlineStr">
        <is>
          <t>Innovations in modelling city logistics</t>
        </is>
      </c>
      <c r="F53" s="26" t="inlineStr">
        <is>
          <t>Transportation Research Procedia</t>
        </is>
      </c>
      <c r="G53" s="26" t="inlineStr">
        <is>
          <t>Conference paper</t>
        </is>
      </c>
      <c r="H53" s="26" t="inlineStr">
        <is>
          <t>10.1016/j.trpro.2026.04.098</t>
        </is>
      </c>
      <c r="I53" s="26" t="inlineStr">
        <is>
          <t>TA</t>
        </is>
      </c>
      <c r="J53" s="37" t="inlineStr">
        <is>
          <t>Exclude</t>
        </is>
      </c>
      <c r="K53" s="37" t="inlineStr">
        <is>
          <t>Wrong publication type</t>
        </is>
      </c>
      <c r="L53" s="28" t="inlineStr">
        <is>
          <t>Strong candidate: twin + supply chain + AI all in title/abstract</t>
        </is>
      </c>
      <c r="M53" s="37" t="inlineStr">
        <is>
          <t>"This review paper presents recent innovations in modelling city logistics"; gemelos y ML entre los temas cubiertos. Valor para snowballing: medio.</t>
        </is>
      </c>
      <c r="N53" s="69" t="inlineStr">
        <is>
          <t>E4</t>
        </is>
      </c>
      <c r="O53" s="69" t="n">
        <v>2</v>
      </c>
      <c r="P53" s="69" t="inlineStr">
        <is>
          <t>Exclude</t>
        </is>
      </c>
      <c r="Q53" s="69" t="inlineStr">
        <is>
          <t>E4</t>
        </is>
      </c>
      <c r="R53" s="69" t="inlineStr">
        <is>
          <t>"This review paper presents recent innovations in modelling city logistics"; gemelos y ML entre los temas cubiertos. Valor para snowballing: medio.</t>
        </is>
      </c>
      <c r="S53" s="69" t="n"/>
    </row>
    <row r="54" ht="40.5" customHeight="1" s="17">
      <c r="A54" s="26" t="inlineStr">
        <is>
          <t>R0053</t>
        </is>
      </c>
      <c r="B54" s="26" t="inlineStr">
        <is>
          <t>Scopus + WoS</t>
        </is>
      </c>
      <c r="C54" s="26" t="inlineStr">
        <is>
          <t>Zhihong Q.; Yijun W.</t>
        </is>
      </c>
      <c r="D54" s="26" t="n">
        <v>2026</v>
      </c>
      <c r="E54" s="27" t="inlineStr">
        <is>
          <t>Intelligent Unmanned Aerial Vehicles for Low-altitude Economy: A Review of the Technology Framework and Future Prospects; [低空经济赋能者：智能无人机技术体系综述与展望]</t>
        </is>
      </c>
      <c r="F54" s="26" t="inlineStr">
        <is>
          <t>Dianzi Yu Xinxi Xuebao/Journal of Electronics and Information Technology</t>
        </is>
      </c>
      <c r="G54" s="26" t="inlineStr">
        <is>
          <t>Article</t>
        </is>
      </c>
      <c r="H54" s="26" t="inlineStr">
        <is>
          <t>10.11999/jeit251246</t>
        </is>
      </c>
      <c r="I54" s="26" t="inlineStr">
        <is>
          <t>TA</t>
        </is>
      </c>
      <c r="J54" s="37" t="inlineStr">
        <is>
          <t>Exclude</t>
        </is>
      </c>
      <c r="K54" s="37" t="inlineStr">
        <is>
          <t>Not in English</t>
        </is>
      </c>
      <c r="L54" s="28" t="inlineStr">
        <is>
          <t>Strong candidate: twin + supply chain + AI all in title/abstract</t>
        </is>
      </c>
      <c r="M54" s="37" t="inlineStr">
        <is>
          <t>Confirmado 2026-09-05: discrepancia entre bases (Scopus: artículo en inglés; WoS: Language = Chinese, revista Dianzi Yu Xinxi Xuebao, título bilingüe); criterio declarado de idioma. Además es revisión ("a systematic review and structured construction of an intelligent UAV technology framework is necessary").</t>
        </is>
      </c>
      <c r="N54" s="69" t="inlineStr">
        <is>
          <t>E5</t>
        </is>
      </c>
      <c r="O54" s="69" t="n">
        <v>2</v>
      </c>
      <c r="P54" s="69" t="inlineStr">
        <is>
          <t>Exclude</t>
        </is>
      </c>
      <c r="Q54" s="69" t="inlineStr">
        <is>
          <t>E5</t>
        </is>
      </c>
      <c r="R54" s="69" t="inlineStr">
        <is>
          <t>Idioma: WoS registra Language = Chinese (revista Dianzi Yu Xinxi Xuebao) y el título bilingüe lo confirma; además es revisión ("a systematic review and structured construction of an intelligent UAV technology framework is necessary"), con gemelos sólo en prospectiva. Criterio declarado: sólo inglés.</t>
        </is>
      </c>
      <c r="S54" s="69" t="n"/>
    </row>
    <row r="55" ht="34.5" customHeight="1" s="17">
      <c r="A55" s="26" t="inlineStr">
        <is>
          <t>R0054</t>
        </is>
      </c>
      <c r="B55" s="26" t="inlineStr">
        <is>
          <t>Scopus + WoS</t>
        </is>
      </c>
      <c r="C55" s="26" t="inlineStr">
        <is>
          <t>Iqbal T.</t>
        </is>
      </c>
      <c r="D55" s="26" t="n">
        <v>2026</v>
      </c>
      <c r="E55" s="27" t="inlineStr">
        <is>
          <t>MACHINE LEARNING–DRIVEN SMART SHARING PLATFORMS FOR OPTIMIZING LAST-MILE DELIVERY IN SAUDI ARABIA’S E-COMMERCE SECTOR</t>
        </is>
      </c>
      <c r="F55" s="26" t="inlineStr">
        <is>
          <t>Logforum</t>
        </is>
      </c>
      <c r="G55" s="26" t="inlineStr">
        <is>
          <t>Article</t>
        </is>
      </c>
      <c r="H55" s="26" t="inlineStr">
        <is>
          <t>10.17270/j.log.001371</t>
        </is>
      </c>
      <c r="I55" s="26" t="inlineStr">
        <is>
          <t>TA</t>
        </is>
      </c>
      <c r="J55" s="37" t="inlineStr">
        <is>
          <t>Include</t>
        </is>
      </c>
      <c r="K55" s="37" t="n"/>
      <c r="L55" s="28" t="inlineStr">
        <is>
          <t>Strong candidate: twin + supply chain + AI all in title/abstract</t>
        </is>
      </c>
      <c r="M55" s="37" t="inlineStr">
        <is>
          <t>Marco de ML para última milla (SARIMAX, LightGBM, CatBoost, VRP-TW) con gemelo de simulación: "A digital twin simulation built in SimPy is then used to stress test performance under peak demand conditions".</t>
        </is>
      </c>
      <c r="N55" s="69" t="inlineStr">
        <is>
          <t>I</t>
        </is>
      </c>
      <c r="O55" s="69" t="n">
        <v>2</v>
      </c>
      <c r="P55" s="69" t="inlineStr">
        <is>
          <t>Include</t>
        </is>
      </c>
      <c r="Q55" s="69" t="inlineStr">
        <is>
          <t>I</t>
        </is>
      </c>
      <c r="R55" s="69" t="inlineStr">
        <is>
          <t>Marco de ML para última milla (SARIMAX, LightGBM, CatBoost, VRP-TW) con gemelo de simulación: "A digital twin simulation built in SimPy is then used to stress test performance under peak demand conditions".</t>
        </is>
      </c>
      <c r="S55" s="69" t="n"/>
    </row>
    <row r="56" ht="23.25" customHeight="1" s="17">
      <c r="A56" s="26" t="inlineStr">
        <is>
          <t>R0055</t>
        </is>
      </c>
      <c r="B56" s="26" t="inlineStr">
        <is>
          <t>Scopus + WoS</t>
        </is>
      </c>
      <c r="C56" s="26" t="inlineStr">
        <is>
          <t>Singh D.; Sharma A.; Rana P.S.</t>
        </is>
      </c>
      <c r="D56" s="26" t="n">
        <v>2026</v>
      </c>
      <c r="E56" s="27" t="inlineStr">
        <is>
          <t>Machine Learning and Digital Twins-enabled Supply Chain Resilience: A Framework for the Indian FMCG Sector</t>
        </is>
      </c>
      <c r="F56" s="26" t="inlineStr">
        <is>
          <t>Global Business Review</t>
        </is>
      </c>
      <c r="G56" s="26" t="inlineStr">
        <is>
          <t>Article</t>
        </is>
      </c>
      <c r="H56" s="26" t="inlineStr">
        <is>
          <t>10.1177/09721509241275751</t>
        </is>
      </c>
      <c r="I56" s="26" t="inlineStr">
        <is>
          <t>TA</t>
        </is>
      </c>
      <c r="J56" s="37" t="inlineStr">
        <is>
          <t>Exclude</t>
        </is>
      </c>
      <c r="K56" s="37" t="inlineStr">
        <is>
          <t>No AI/ML component</t>
        </is>
      </c>
      <c r="L56" s="28" t="inlineStr">
        <is>
          <t>Strong candidate: twin + supply chain + AI all in title/abstract</t>
        </is>
      </c>
      <c r="M56" s="37" t="inlineStr">
        <is>
          <t>Estudio de percepción (regla C4): "conducting semi-structured interviews with 37 fast-moving consumer goods supply chain professionals" con codificación abierta, axial y selectiva; el gemelo con ML es el objeto, pero no se aplica ni propone método de IA. Si quieres admitir estudios cualitativos sobre la integración como evidencia Empirical case, C4 necesitaría una excepción.</t>
        </is>
      </c>
      <c r="N56" s="69" t="inlineStr">
        <is>
          <t>E3</t>
        </is>
      </c>
      <c r="O56" s="69" t="n">
        <v>2</v>
      </c>
      <c r="P56" s="69" t="inlineStr">
        <is>
          <t>Exclude</t>
        </is>
      </c>
      <c r="Q56" s="69" t="inlineStr">
        <is>
          <t>E3</t>
        </is>
      </c>
      <c r="R56" s="69" t="inlineStr">
        <is>
          <t>Estudio de percepción (regla C4): "conducting semi-structured interviews with 37 fast-moving consumer goods supply chain professionals" con codificación abierta, axial y selectiva; el gemelo con ML es el objeto, pero no se aplica ni propone método de IA. Si quieres admitir estudios cualitativos sobre la integración como evidencia Empirical case, C4 necesitaría una excepción.</t>
        </is>
      </c>
      <c r="S56" s="69" t="n"/>
    </row>
    <row r="57" ht="23.25" customHeight="1" s="17">
      <c r="A57" s="26" t="inlineStr">
        <is>
          <t>R0056</t>
        </is>
      </c>
      <c r="B57" s="26" t="inlineStr">
        <is>
          <t>Scopus</t>
        </is>
      </c>
      <c r="C57" s="26" t="inlineStr">
        <is>
          <t>Rajagopal S.; Karchi R.P.; Hatture S.M.; Bulla C.; Tamrakar P.K.; Golhar Y.; Hema K.</t>
        </is>
      </c>
      <c r="D57" s="26" t="n">
        <v>2026</v>
      </c>
      <c r="E57" s="27" t="inlineStr">
        <is>
          <t>Artificial Intelligence-Enabled Predictive Decision Support Systems for Smart Enterprise and Industrial Applications</t>
        </is>
      </c>
      <c r="F57" s="26" t="inlineStr">
        <is>
          <t>Journal of Intelligent Decision Making and Information Science</t>
        </is>
      </c>
      <c r="G57" s="26" t="inlineStr">
        <is>
          <t>Article</t>
        </is>
      </c>
      <c r="H57" s="26" t="inlineStr">
        <is>
          <t>10.59543/jidmis.v3.1164</t>
        </is>
      </c>
      <c r="I57" s="26" t="inlineStr">
        <is>
          <t>TA</t>
        </is>
      </c>
      <c r="J57" s="37" t="inlineStr">
        <is>
          <t>Exclude</t>
        </is>
      </c>
      <c r="K57" s="37" t="inlineStr">
        <is>
          <t>No digital twin/model</t>
        </is>
      </c>
      <c r="L57" s="28" t="inlineStr">
        <is>
          <t>Strong candidate: twin + supply chain + AI all in title/abstract</t>
        </is>
      </c>
      <c r="M57" s="37" t="inlineStr">
        <is>
          <t>Panorama de sistemas predictivos de soporte a la decisión; gemelo sólo en lista de tecnologías ("new technologies like the Internet of Things, Industrial Internet of Things, digital twins, cloud and edge computing"); también E2 (cadena sólo como área de aplicación).</t>
        </is>
      </c>
      <c r="N57" s="69" t="inlineStr">
        <is>
          <t>E1</t>
        </is>
      </c>
      <c r="O57" s="69" t="n">
        <v>2</v>
      </c>
      <c r="P57" s="69" t="inlineStr">
        <is>
          <t>Exclude</t>
        </is>
      </c>
      <c r="Q57" s="69" t="inlineStr">
        <is>
          <t>E1</t>
        </is>
      </c>
      <c r="R57" s="69" t="inlineStr">
        <is>
          <t>Panorama de sistemas predictivos de soporte a la decisión; gemelo sólo en lista de tecnologías ("new technologies like the Internet of Things, Industrial Internet of Things, digital twins, cloud and edge computing"); también E2 (cadena sólo como área de aplicación).</t>
        </is>
      </c>
      <c r="S57" s="69" t="n"/>
    </row>
    <row r="58" ht="34.5" customHeight="1" s="17">
      <c r="A58" s="26" t="inlineStr">
        <is>
          <t>R0057</t>
        </is>
      </c>
      <c r="B58" s="26" t="inlineStr">
        <is>
          <t>Scopus</t>
        </is>
      </c>
      <c r="C58" s="26" t="inlineStr">
        <is>
          <t>Sahu D.P.; Rathore B.; Iqbal R.S.; Jiang W.; Prakash S.; Singh V.K.</t>
        </is>
      </c>
      <c r="D58" s="26" t="n">
        <v>2026</v>
      </c>
      <c r="E58" s="27" t="inlineStr">
        <is>
          <t>A Hybrid Genetic Algorithm and Multi-Agent Reinforcement Learning Framework for Optimized Supply Chain Management Using Edge-Enabled Digital Twins</t>
        </is>
      </c>
      <c r="F58" s="26" t="inlineStr">
        <is>
          <t>IEEE Open Journal of the Communications Society</t>
        </is>
      </c>
      <c r="G58" s="26" t="inlineStr">
        <is>
          <t>Article</t>
        </is>
      </c>
      <c r="H58" s="26" t="inlineStr">
        <is>
          <t>10.1109/ojcoms.2026.3714979</t>
        </is>
      </c>
      <c r="I58" s="26" t="inlineStr">
        <is>
          <t>TA</t>
        </is>
      </c>
      <c r="J58" s="37" t="inlineStr">
        <is>
          <t>Include</t>
        </is>
      </c>
      <c r="K58" s="37" t="n"/>
      <c r="L58" s="28" t="inlineStr">
        <is>
          <t>Strong candidate: twin + supply chain + AI all in title/abstract</t>
        </is>
      </c>
      <c r="M58" s="37" t="inlineStr">
        <is>
          <t>"combines Genetic Algorithm (GA) and Multi-Agent Reinforcement Learning (MARL) in an Edge-Enabled Digital Twin (EEDT) setting" para SCM, con datos reales y sintéticos (fill rate, rotación de inventario, costos de transporte).</t>
        </is>
      </c>
      <c r="N58" s="69" t="inlineStr">
        <is>
          <t>I</t>
        </is>
      </c>
      <c r="O58" s="69" t="n">
        <v>2</v>
      </c>
      <c r="P58" s="69" t="inlineStr">
        <is>
          <t>Include</t>
        </is>
      </c>
      <c r="Q58" s="69" t="inlineStr">
        <is>
          <t>I</t>
        </is>
      </c>
      <c r="R58" s="69" t="inlineStr">
        <is>
          <t>"combines Genetic Algorithm (GA) and Multi-Agent Reinforcement Learning (MARL) in an Edge-Enabled Digital Twin (EEDT) setting" para SCM, con datos reales y sintéticos (fill rate, rotación de inventario, costos de transporte).</t>
        </is>
      </c>
      <c r="S58" s="69" t="n"/>
    </row>
    <row r="59" ht="23.25" customHeight="1" s="17">
      <c r="A59" s="26" t="inlineStr">
        <is>
          <t>R0058</t>
        </is>
      </c>
      <c r="B59" s="26" t="inlineStr">
        <is>
          <t>Scopus + WoS</t>
        </is>
      </c>
      <c r="C59" s="26" t="inlineStr">
        <is>
          <t>Mambetalin D.; Koshekov A.; Orazbayeva B.; Moldabekov A.; Keribayeva T.</t>
        </is>
      </c>
      <c r="D59" s="26" t="n">
        <v>2026</v>
      </c>
      <c r="E59" s="27" t="inlineStr">
        <is>
          <t>Application of machine learning to storage allocation decision making system within air cargo terminals</t>
        </is>
      </c>
      <c r="F59" s="26" t="inlineStr">
        <is>
          <t>Acta Logistica</t>
        </is>
      </c>
      <c r="G59" s="26" t="inlineStr">
        <is>
          <t>Article</t>
        </is>
      </c>
      <c r="H59" s="26" t="inlineStr">
        <is>
          <t>10.22306/al.v13i1.720</t>
        </is>
      </c>
      <c r="I59" s="26" t="inlineStr">
        <is>
          <t>TA</t>
        </is>
      </c>
      <c r="J59" s="37" t="inlineStr">
        <is>
          <t>Exclude</t>
        </is>
      </c>
      <c r="K59" s="37" t="inlineStr">
        <is>
          <t>No digital twin/model</t>
        </is>
      </c>
      <c r="L59" s="28" t="inlineStr">
        <is>
          <t>Strong candidate: twin + supply chain + AI all in title/abstract</t>
        </is>
      </c>
      <c r="M59" s="37" t="inlineStr">
        <is>
          <t>ML (Random Forest) con AHP y TOPSIS para asignación de almacenamiento en terminales de carga aérea; gemelo sólo como trabajo futuro: "Future studies may include adaptive learning, seasonal cargo flow modelling, and digital twin-based scenario testing".</t>
        </is>
      </c>
      <c r="N59" s="69" t="inlineStr">
        <is>
          <t>E1</t>
        </is>
      </c>
      <c r="O59" s="69" t="n">
        <v>2</v>
      </c>
      <c r="P59" s="69" t="inlineStr">
        <is>
          <t>Exclude</t>
        </is>
      </c>
      <c r="Q59" s="69" t="inlineStr">
        <is>
          <t>E1</t>
        </is>
      </c>
      <c r="R59" s="69" t="inlineStr">
        <is>
          <t>ML (Random Forest) con AHP y TOPSIS para asignación de almacenamiento en terminales de carga aérea; gemelo sólo como trabajo futuro: "Future studies may include adaptive learning, seasonal cargo flow modelling, and digital twin-based scenario testing".</t>
        </is>
      </c>
      <c r="S59" s="69" t="n"/>
    </row>
    <row r="60" ht="34.5" customHeight="1" s="17">
      <c r="A60" s="26" t="inlineStr">
        <is>
          <t>R0059</t>
        </is>
      </c>
      <c r="B60" s="26" t="inlineStr">
        <is>
          <t>Scopus</t>
        </is>
      </c>
      <c r="C60" s="26" t="inlineStr">
        <is>
          <t>Wu H.; Yang Q.; Zhang L.</t>
        </is>
      </c>
      <c r="D60" s="26" t="n">
        <v>2026</v>
      </c>
      <c r="E60" s="27" t="inlineStr">
        <is>
          <t>Machine-Learning-Driven Production Optimization in Automotive Closed-Loop Supply Chains under Remanufacturing Cost Disruptions</t>
        </is>
      </c>
      <c r="F60" s="26" t="inlineStr">
        <is>
          <t>IET Conference Proceedings</t>
        </is>
      </c>
      <c r="G60" s="26" t="inlineStr">
        <is>
          <t>Conference paper</t>
        </is>
      </c>
      <c r="H60" s="26" t="inlineStr">
        <is>
          <t>10.1049/icp.2025.4424</t>
        </is>
      </c>
      <c r="I60" s="26" t="inlineStr">
        <is>
          <t>TA</t>
        </is>
      </c>
      <c r="J60" s="37" t="inlineStr">
        <is>
          <t>Exclude</t>
        </is>
      </c>
      <c r="K60" s="37" t="inlineStr">
        <is>
          <t>No digital twin/model</t>
        </is>
      </c>
      <c r="L60" s="28" t="inlineStr">
        <is>
          <t>Strong candidate: twin + supply chain + AI all in title/abstract</t>
        </is>
      </c>
      <c r="M60" s="37" t="inlineStr">
        <is>
          <t>Modelo analítico de decisiones de producción en cadena cerrada automotriz; gemelo sólo como afirmación de facilitación ("facilitating digital twin implementations in smart manufacturing systems"), sin gemelo construido ni propuesto.</t>
        </is>
      </c>
      <c r="N60" s="69" t="inlineStr">
        <is>
          <t>E1</t>
        </is>
      </c>
      <c r="O60" s="69" t="n">
        <v>2</v>
      </c>
      <c r="P60" s="69" t="inlineStr">
        <is>
          <t>Exclude</t>
        </is>
      </c>
      <c r="Q60" s="69" t="inlineStr">
        <is>
          <t>E1</t>
        </is>
      </c>
      <c r="R60" s="69" t="inlineStr">
        <is>
          <t>Modelo analítico de decisiones de producción en cadena cerrada automotriz; gemelo sólo como afirmación de facilitación ("facilitating digital twin implementations in smart manufacturing systems"), sin gemelo construido ni propuesto.</t>
        </is>
      </c>
      <c r="S60" s="69" t="n"/>
    </row>
    <row r="61" ht="23.25" customHeight="1" s="17">
      <c r="A61" s="26" t="inlineStr">
        <is>
          <t>R0060</t>
        </is>
      </c>
      <c r="B61" s="26" t="inlineStr">
        <is>
          <t>Scopus</t>
        </is>
      </c>
      <c r="C61" s="26" t="inlineStr">
        <is>
          <t>Escobar S.; Reyes J.</t>
        </is>
      </c>
      <c r="D61" s="26" t="n">
        <v>2026</v>
      </c>
      <c r="E61" s="27" t="inlineStr">
        <is>
          <t>An integrative conceptual framework for the evolution of lean supply chains from industry 4.0 to industry 5.0</t>
        </is>
      </c>
      <c r="F61" s="26" t="inlineStr">
        <is>
          <t>International Journal of Production Management and Engineering</t>
        </is>
      </c>
      <c r="G61" s="26" t="inlineStr">
        <is>
          <t>Article</t>
        </is>
      </c>
      <c r="H61" s="26" t="inlineStr">
        <is>
          <t>10.4995/ijpme.2026.24523</t>
        </is>
      </c>
      <c r="I61" s="26" t="inlineStr">
        <is>
          <t>TA</t>
        </is>
      </c>
      <c r="J61" s="37" t="inlineStr">
        <is>
          <t>Exclude</t>
        </is>
      </c>
      <c r="K61" s="37" t="inlineStr">
        <is>
          <t>Wrong publication type</t>
        </is>
      </c>
      <c r="L61" s="28" t="inlineStr">
        <is>
          <t>Strong candidate: twin + supply chain + AI all in title/abstract</t>
        </is>
      </c>
      <c r="M61" s="37" t="inlineStr">
        <is>
          <t>"This research provides an integrative systematic literature review (SLR) for the evolution of lean supply chains (LSC) from industry 4.0 to industry 5.0"; gemelos en lista de habilitadores. Valor para snowballing: bajo.</t>
        </is>
      </c>
      <c r="N61" s="69" t="inlineStr">
        <is>
          <t>E4</t>
        </is>
      </c>
      <c r="O61" s="69" t="n">
        <v>2</v>
      </c>
      <c r="P61" s="69" t="inlineStr">
        <is>
          <t>Exclude</t>
        </is>
      </c>
      <c r="Q61" s="69" t="inlineStr">
        <is>
          <t>E4</t>
        </is>
      </c>
      <c r="R61" s="69" t="inlineStr">
        <is>
          <t>"This research provides an integrative systematic literature review (SLR) for the evolution of lean supply chains (LSC) from industry 4.0 to industry 5.0"; gemelos en lista de habilitadores. Valor para snowballing: bajo.</t>
        </is>
      </c>
      <c r="S61" s="69" t="n"/>
    </row>
    <row r="62" ht="23.25" customHeight="1" s="17">
      <c r="A62" s="26" t="inlineStr">
        <is>
          <t>R0061</t>
        </is>
      </c>
      <c r="B62" s="26" t="inlineStr">
        <is>
          <t>Scopus</t>
        </is>
      </c>
      <c r="C62" s="26" t="inlineStr">
        <is>
          <t>Karad M.; Gholap P.; Dhumal A.; Mane V.S.; Balaji N.A.; Ingole K.; Patil R.N.; Waware S.Y.; Kurhade A.S.</t>
        </is>
      </c>
      <c r="D62" s="26" t="n">
        <v>2026</v>
      </c>
      <c r="E62" s="27" t="inlineStr">
        <is>
          <t>AI Models for Life-Cycle Assessment of Bio-Energy Technologies and Pollution Quantification</t>
        </is>
      </c>
      <c r="F62" s="26" t="inlineStr">
        <is>
          <t>Applied Chemical Engineering</t>
        </is>
      </c>
      <c r="G62" s="26" t="inlineStr">
        <is>
          <t>Article</t>
        </is>
      </c>
      <c r="H62" s="26" t="inlineStr">
        <is>
          <t>10.59429/ace.v9i1.5855</t>
        </is>
      </c>
      <c r="I62" s="26" t="inlineStr">
        <is>
          <t>TA</t>
        </is>
      </c>
      <c r="J62" s="37" t="inlineStr">
        <is>
          <t>Exclude</t>
        </is>
      </c>
      <c r="K62" s="37" t="inlineStr">
        <is>
          <t>Wrong publication type</t>
        </is>
      </c>
      <c r="L62" s="28" t="inlineStr">
        <is>
          <t>Strong candidate: twin + supply chain + AI all in title/abstract</t>
        </is>
      </c>
      <c r="M62" s="37" t="inlineStr">
        <is>
          <t>"This review consolidates a summary of up-to-date studies on AI-enabled LCA approaches for bio-energy systems"; gemelo sólo al cierre. Valor para snowballing: bajo.</t>
        </is>
      </c>
      <c r="N62" s="69" t="inlineStr">
        <is>
          <t>E4</t>
        </is>
      </c>
      <c r="O62" s="69" t="n">
        <v>2</v>
      </c>
      <c r="P62" s="69" t="inlineStr">
        <is>
          <t>Exclude</t>
        </is>
      </c>
      <c r="Q62" s="69" t="inlineStr">
        <is>
          <t>E4</t>
        </is>
      </c>
      <c r="R62" s="69" t="inlineStr">
        <is>
          <t>"This review consolidates a summary of up-to-date studies on AI-enabled LCA approaches for bio-energy systems"; gemelo sólo al cierre. Valor para snowballing: bajo.</t>
        </is>
      </c>
      <c r="S62" s="69" t="n"/>
    </row>
    <row r="63" ht="23.25" customHeight="1" s="17">
      <c r="A63" s="26" t="inlineStr">
        <is>
          <t>R0062</t>
        </is>
      </c>
      <c r="B63" s="26" t="inlineStr">
        <is>
          <t>Scopus + WoS</t>
        </is>
      </c>
      <c r="C63" s="26" t="inlineStr">
        <is>
          <t>Tundys B.; Wiśniewski T.</t>
        </is>
      </c>
      <c r="D63" s="26" t="n">
        <v>2026</v>
      </c>
      <c r="E63" s="27" t="inlineStr">
        <is>
          <t>Who Wins the Energy Race? Artificial Intelligence for Smarter Energy Use in Logistics and Supply Chain Management</t>
        </is>
      </c>
      <c r="F63" s="26" t="inlineStr">
        <is>
          <t>Energies</t>
        </is>
      </c>
      <c r="G63" s="26" t="inlineStr">
        <is>
          <t>Article</t>
        </is>
      </c>
      <c r="H63" s="26" t="inlineStr">
        <is>
          <t>10.3390/en19020305</t>
        </is>
      </c>
      <c r="I63" s="26" t="inlineStr">
        <is>
          <t>TA</t>
        </is>
      </c>
      <c r="J63" s="37" t="inlineStr">
        <is>
          <t>Exclude</t>
        </is>
      </c>
      <c r="K63" s="37" t="inlineStr">
        <is>
          <t>No digital twin/model</t>
        </is>
      </c>
      <c r="L63" s="28" t="inlineStr">
        <is>
          <t>Strong candidate: twin + supply chain + AI all in title/abstract</t>
        </is>
      </c>
      <c r="M63" s="37" t="inlineStr">
        <is>
          <t>Síntesis conceptual sobre IA y energía en logística; gemelo sólo como tipo de aplicación mencionado ("predictive algorithms and digital twin applications facilitate demand forecasting, process optimization, and real-time adaptation to market fluctuations"), sin gemelo tratado.</t>
        </is>
      </c>
      <c r="N63" s="69" t="inlineStr">
        <is>
          <t>E1</t>
        </is>
      </c>
      <c r="O63" s="69" t="n">
        <v>2</v>
      </c>
      <c r="P63" s="69" t="inlineStr">
        <is>
          <t>Exclude</t>
        </is>
      </c>
      <c r="Q63" s="69" t="inlineStr">
        <is>
          <t>E1</t>
        </is>
      </c>
      <c r="R63" s="69" t="inlineStr">
        <is>
          <t>Síntesis conceptual sobre IA y energía en logística; gemelo sólo como tipo de aplicación mencionado ("predictive algorithms and digital twin applications facilitate demand forecasting, process optimization, and real-time adaptation to market fluctuations"), sin gemelo tratado.</t>
        </is>
      </c>
      <c r="S63" s="69" t="n"/>
    </row>
    <row r="64" ht="23.25" customHeight="1" s="17">
      <c r="A64" s="26" t="inlineStr">
        <is>
          <t>R0063</t>
        </is>
      </c>
      <c r="B64" s="26" t="inlineStr">
        <is>
          <t>Scopus</t>
        </is>
      </c>
      <c r="C64" s="26" t="inlineStr">
        <is>
          <t>Soares P.; Duarte F.J.; Charrão T.A.D.; Dias L.M.S.; Henriques M.F.N.</t>
        </is>
      </c>
      <c r="D64" s="26" t="n">
        <v>2026</v>
      </c>
      <c r="E64" s="27" t="inlineStr">
        <is>
          <t>A Review on Smart Warehouses: How Can Discrete-Event Simulation Improve Their Success</t>
        </is>
      </c>
      <c r="F64" s="26" t="inlineStr">
        <is>
          <t>Lecture Notes in Networks and Systems</t>
        </is>
      </c>
      <c r="G64" s="26" t="inlineStr">
        <is>
          <t>Conference paper</t>
        </is>
      </c>
      <c r="H64" s="26" t="inlineStr">
        <is>
          <t>10.1007/978-3-032-18878-6_30</t>
        </is>
      </c>
      <c r="I64" s="26" t="inlineStr">
        <is>
          <t>TA</t>
        </is>
      </c>
      <c r="J64" s="37" t="inlineStr">
        <is>
          <t>Exclude</t>
        </is>
      </c>
      <c r="K64" s="37" t="inlineStr">
        <is>
          <t>Wrong publication type</t>
        </is>
      </c>
      <c r="L64" s="28" t="inlineStr">
        <is>
          <t>Strong candidate: twin + supply chain + AI all in title/abstract</t>
        </is>
      </c>
      <c r="M64" s="37" t="inlineStr">
        <is>
          <t>"This work details a structured literature review, focused on smart warehouses" que cubre "Digital Twins of smart warehouses" e integración de IA. Valor para snowballing: alto (almacenes).</t>
        </is>
      </c>
      <c r="N64" s="69" t="inlineStr">
        <is>
          <t>E4</t>
        </is>
      </c>
      <c r="O64" s="69" t="n">
        <v>2</v>
      </c>
      <c r="P64" s="69" t="inlineStr">
        <is>
          <t>Exclude</t>
        </is>
      </c>
      <c r="Q64" s="69" t="inlineStr">
        <is>
          <t>E4</t>
        </is>
      </c>
      <c r="R64" s="69" t="inlineStr">
        <is>
          <t>"This work details a structured literature review, focused on smart warehouses" que cubre "Digital Twins of smart warehouses" e integración de IA. Valor para snowballing: alto (almacenes).</t>
        </is>
      </c>
      <c r="S64" s="69" t="n"/>
    </row>
    <row r="65" ht="23.25" customHeight="1" s="17">
      <c r="A65" s="26" t="inlineStr">
        <is>
          <t>R0064</t>
        </is>
      </c>
      <c r="B65" s="26" t="inlineStr">
        <is>
          <t>Scopus</t>
        </is>
      </c>
      <c r="C65" s="26" t="inlineStr">
        <is>
          <t>Yang L.</t>
        </is>
      </c>
      <c r="D65" s="26" t="n">
        <v>2026</v>
      </c>
      <c r="E65" s="27" t="inlineStr">
        <is>
          <t>Research on the application of digital twin technology in collaborative management of international trade supply chain</t>
        </is>
      </c>
      <c r="F65" s="26" t="inlineStr">
        <is>
          <t>Proceedings of SPIE - The International Society for Optical Engineering</t>
        </is>
      </c>
      <c r="G65" s="26" t="inlineStr">
        <is>
          <t>Conference paper</t>
        </is>
      </c>
      <c r="H65" s="26" t="inlineStr">
        <is>
          <t>10.1117/12.3107986</t>
        </is>
      </c>
      <c r="I65" s="26" t="inlineStr">
        <is>
          <t>TA</t>
        </is>
      </c>
      <c r="J65" s="37" t="inlineStr">
        <is>
          <t>Include</t>
        </is>
      </c>
      <c r="K65" s="37" t="n"/>
      <c r="L65" s="28" t="inlineStr">
        <is>
          <t>Strong candidate: twin + supply chain + AI all in title/abstract</t>
        </is>
      </c>
      <c r="M65" s="37" t="inlineStr">
        <is>
          <t>"constructs a supply chain collaborative management system driven by digital twins. A joint optimization mechanism of graph neural networks and reinforcement learning is introduced" para la cadena de comercio internacional; resultados experimentales.</t>
        </is>
      </c>
      <c r="N65" s="69" t="inlineStr">
        <is>
          <t>I</t>
        </is>
      </c>
      <c r="O65" s="69" t="n">
        <v>2</v>
      </c>
      <c r="P65" s="69" t="inlineStr">
        <is>
          <t>Include</t>
        </is>
      </c>
      <c r="Q65" s="69" t="inlineStr">
        <is>
          <t>I</t>
        </is>
      </c>
      <c r="R65" s="69" t="inlineStr">
        <is>
          <t>"constructs a supply chain collaborative management system driven by digital twins. A joint optimization mechanism of graph neural networks and reinforcement learning is introduced" para la cadena de comercio internacional; resultados experimentales.</t>
        </is>
      </c>
      <c r="S65" s="69" t="n"/>
    </row>
    <row r="66" ht="23.25" customHeight="1" s="17">
      <c r="A66" s="26" t="inlineStr">
        <is>
          <t>R0065</t>
        </is>
      </c>
      <c r="B66" s="26" t="inlineStr">
        <is>
          <t>Scopus</t>
        </is>
      </c>
      <c r="C66" s="26" t="inlineStr">
        <is>
          <t>Chrifi-Alaoui C.; Bouhaddou I.; Benabdellah A.C.; Zekhnini K.</t>
        </is>
      </c>
      <c r="D66" s="26" t="n">
        <v>2026</v>
      </c>
      <c r="E66" s="27" t="inlineStr">
        <is>
          <t>Data-Driven Technologies for Enhancing Sustainability Performance in Digital Circular Supply Chain</t>
        </is>
      </c>
      <c r="F66" s="26" t="inlineStr">
        <is>
          <t>Procedia Computer Science</t>
        </is>
      </c>
      <c r="G66" s="26" t="inlineStr">
        <is>
          <t>Conference paper</t>
        </is>
      </c>
      <c r="H66" s="26" t="inlineStr">
        <is>
          <t>10.1016/j.procs.2026.02.183</t>
        </is>
      </c>
      <c r="I66" s="26" t="inlineStr">
        <is>
          <t>TA</t>
        </is>
      </c>
      <c r="J66" s="37" t="inlineStr">
        <is>
          <t>Exclude</t>
        </is>
      </c>
      <c r="K66" s="37" t="inlineStr">
        <is>
          <t>Wrong publication type</t>
        </is>
      </c>
      <c r="L66" s="28" t="inlineStr">
        <is>
          <t>Strong candidate: twin + supply chain + AI all in title/abstract</t>
        </is>
      </c>
      <c r="M66" s="37" t="inlineStr">
        <is>
          <t>Recodificado 2026-09-06 en la auditoría final (E1→E4): Marco conceptual basado en revisión (C3): "Based on a structured literature review and an analysis of emerging digital practices, this study proposes a conceptual framework"; gemelo e IA sólo como tecnologías listadas ("IoT, artificial intelligence, blockchain, and digital twins"). Valor para snowballing: bajo. | Nota original (E1): Marco conceptual basado en revisión estructurada; gemelo sólo en lista de tecnologías ("advanced technologies such as IoT, artificial intelligence, blockchain, and digital twins support the implementation of circularity principles"); también E3.</t>
        </is>
      </c>
      <c r="N66" s="69" t="inlineStr">
        <is>
          <t>E4</t>
        </is>
      </c>
      <c r="O66" s="69" t="n">
        <v>2</v>
      </c>
      <c r="P66" s="69" t="inlineStr">
        <is>
          <t>Exclude</t>
        </is>
      </c>
      <c r="Q66" s="69" t="inlineStr">
        <is>
          <t>E1</t>
        </is>
      </c>
      <c r="R66" s="69" t="inlineStr">
        <is>
          <t>Marco conceptual basado en revisión estructurada; gemelo sólo en lista de tecnologías ("advanced technologies such as IoT, artificial intelligence, blockchain, and digital twins support the implementation of circularity principles"); también E3.</t>
        </is>
      </c>
      <c r="S66" s="69" t="n"/>
    </row>
    <row r="67" ht="34.5" customHeight="1" s="17">
      <c r="A67" s="26" t="inlineStr">
        <is>
          <t>R0066</t>
        </is>
      </c>
      <c r="B67" s="26" t="inlineStr">
        <is>
          <t>Scopus</t>
        </is>
      </c>
      <c r="C67" s="26" t="inlineStr">
        <is>
          <t>Pramanik M.T.; Reza S.A.; Kamal M.M.; Gomes S.S.; Faysal A.H.M.; Minto A.; Debnath P.; Hasan M.R.</t>
        </is>
      </c>
      <c r="D67" s="26" t="n">
        <v>2026</v>
      </c>
      <c r="E67" s="27" t="inlineStr">
        <is>
          <t>Modeling Resilient and Sustainable Supply Chain Networks with AI: A Comprehensive Approach to Designing Robust Supply Systems in the USA</t>
        </is>
      </c>
      <c r="F67" s="26" t="inlineStr">
        <is>
          <t>International Journal of Computer Information Systems and Industrial Management Applications</t>
        </is>
      </c>
      <c r="G67" s="26" t="inlineStr">
        <is>
          <t>Article</t>
        </is>
      </c>
      <c r="H67" s="26" t="inlineStr">
        <is>
          <t>10.70917/ijcisim-2026-2645</t>
        </is>
      </c>
      <c r="I67" s="26" t="inlineStr">
        <is>
          <t>TA</t>
        </is>
      </c>
      <c r="J67" s="37" t="inlineStr">
        <is>
          <t>Include</t>
        </is>
      </c>
      <c r="K67" s="37" t="n"/>
      <c r="L67" s="28" t="inlineStr">
        <is>
          <t>Strong candidate: twin + supply chain + AI all in title/abstract</t>
        </is>
      </c>
      <c r="M67" s="37" t="inlineStr">
        <is>
          <t>"AI-driven framework integrating Graph Neural Networks, Reinforcement Learning, digital twin simulation, and probabilistic forecasting across 14,800 U.S. supplier relationships". Nota: cifras y despliegues declarados por verificar; calidad de la revista a evaluar en texto completo.</t>
        </is>
      </c>
      <c r="N67" s="69" t="inlineStr">
        <is>
          <t>I</t>
        </is>
      </c>
      <c r="O67" s="69" t="n">
        <v>2</v>
      </c>
      <c r="P67" s="69" t="inlineStr">
        <is>
          <t>Include</t>
        </is>
      </c>
      <c r="Q67" s="69" t="inlineStr">
        <is>
          <t>I</t>
        </is>
      </c>
      <c r="R67" s="69" t="inlineStr">
        <is>
          <t>"AI-driven framework integrating Graph Neural Networks, Reinforcement Learning, digital twin simulation, and probabilistic forecasting across 14,800 U.S. supplier relationships". Nota: cifras y despliegues declarados por verificar; calidad de la revista a evaluar en texto completo.</t>
        </is>
      </c>
      <c r="S67" s="69" t="n"/>
    </row>
    <row r="68" ht="23.25" customHeight="1" s="17">
      <c r="A68" s="26" t="inlineStr">
        <is>
          <t>R0067</t>
        </is>
      </c>
      <c r="B68" s="26" t="inlineStr">
        <is>
          <t>Scopus</t>
        </is>
      </c>
      <c r="C68" s="26" t="inlineStr">
        <is>
          <t>Desai S.; Shirke S.; Kalunge V.V.; Koneru S.; Khobragade G.R.; Kadam V.R.; Thakur S.; Murali G.; Kurhade A.S.</t>
        </is>
      </c>
      <c r="D68" s="26" t="n">
        <v>2026</v>
      </c>
      <c r="E68" s="27" t="inlineStr">
        <is>
          <t>Machine Learning Approaches for Biomass Resource Mapping and Sustainable Energy Planning</t>
        </is>
      </c>
      <c r="F68" s="26" t="inlineStr">
        <is>
          <t>Applied Chemical Engineering</t>
        </is>
      </c>
      <c r="G68" s="26" t="inlineStr">
        <is>
          <t>Article</t>
        </is>
      </c>
      <c r="H68" s="26" t="inlineStr">
        <is>
          <t>10.59429/ace.v9i1.5843</t>
        </is>
      </c>
      <c r="I68" s="26" t="inlineStr">
        <is>
          <t>TA</t>
        </is>
      </c>
      <c r="J68" s="37" t="inlineStr">
        <is>
          <t>Exclude</t>
        </is>
      </c>
      <c r="K68" s="37" t="inlineStr">
        <is>
          <t>Wrong publication type</t>
        </is>
      </c>
      <c r="L68" s="28" t="inlineStr">
        <is>
          <t>Strong candidate: twin + supply chain + AI all in title/abstract</t>
        </is>
      </c>
      <c r="M68" s="37" t="inlineStr">
        <is>
          <t>"This paper surveys recent machine learning methods for AGB estimation" (biomasa); gemelo sólo como potencial futuro. Valor para snowballing: bajo.</t>
        </is>
      </c>
      <c r="N68" s="69" t="inlineStr">
        <is>
          <t>E4</t>
        </is>
      </c>
      <c r="O68" s="69" t="n">
        <v>2</v>
      </c>
      <c r="P68" s="69" t="inlineStr">
        <is>
          <t>Exclude</t>
        </is>
      </c>
      <c r="Q68" s="69" t="inlineStr">
        <is>
          <t>E4</t>
        </is>
      </c>
      <c r="R68" s="69" t="inlineStr">
        <is>
          <t>"This paper surveys recent machine learning methods for AGB estimation" (biomasa); gemelo sólo como potencial futuro. Valor para snowballing: bajo.</t>
        </is>
      </c>
      <c r="S68" s="69" t="n"/>
    </row>
    <row r="69" ht="23.25" customHeight="1" s="17">
      <c r="A69" s="26" t="inlineStr">
        <is>
          <t>R0068</t>
        </is>
      </c>
      <c r="B69" s="26" t="inlineStr">
        <is>
          <t>Scopus</t>
        </is>
      </c>
      <c r="C69" s="26" t="inlineStr">
        <is>
          <t>Sharma M.; Pundeer S.</t>
        </is>
      </c>
      <c r="D69" s="26" t="n">
        <v>2026</v>
      </c>
      <c r="E69" s="27" t="inlineStr">
        <is>
          <t>AI Driven Multi-Stage Modeling and Simulation Framework for Optimizing Healthcare Supply Chains</t>
        </is>
      </c>
      <c r="F69" s="26" t="inlineStr">
        <is>
          <t>Proceedings - 4th IEEE International Conference on Device Intelligence, Computing and Communication Technologies, DICCT 2026</t>
        </is>
      </c>
      <c r="G69" s="26" t="inlineStr">
        <is>
          <t>Conference paper</t>
        </is>
      </c>
      <c r="H69" s="26" t="inlineStr">
        <is>
          <t>10.1109/dicct69099.2026.11535970</t>
        </is>
      </c>
      <c r="I69" s="26" t="inlineStr">
        <is>
          <t>TA</t>
        </is>
      </c>
      <c r="J69" s="37" t="inlineStr">
        <is>
          <t>Include</t>
        </is>
      </c>
      <c r="K69" s="37" t="n"/>
      <c r="L69" s="28" t="inlineStr">
        <is>
          <t>Strong candidate: twin + supply chain + AI all in title/abstract</t>
        </is>
      </c>
      <c r="M69" s="37" t="inlineStr">
        <is>
          <t>Cadena de suministro sanitaria: "Advanced artificial intelligence and machine learning models are used for demand forecasting, inventory optimization, and risk mitigation, while digital twin simulations enable scenario testing under disruptions"; caso hipotético.</t>
        </is>
      </c>
      <c r="N69" s="69" t="inlineStr">
        <is>
          <t>I</t>
        </is>
      </c>
      <c r="O69" s="69" t="n">
        <v>2</v>
      </c>
      <c r="P69" s="69" t="inlineStr">
        <is>
          <t>Include</t>
        </is>
      </c>
      <c r="Q69" s="69" t="inlineStr">
        <is>
          <t>I</t>
        </is>
      </c>
      <c r="R69" s="69" t="inlineStr">
        <is>
          <t>Cadena de suministro sanitaria: "Advanced artificial intelligence and machine learning models are used for demand forecasting, inventory optimization, and risk mitigation, while digital twin simulations enable scenario testing under disruptions"; caso hipotético.</t>
        </is>
      </c>
      <c r="S69" s="69" t="n"/>
    </row>
    <row r="70" ht="23.25" customHeight="1" s="17">
      <c r="A70" s="26" t="inlineStr">
        <is>
          <t>R0069</t>
        </is>
      </c>
      <c r="B70" s="26" t="inlineStr">
        <is>
          <t>Scopus + WoS</t>
        </is>
      </c>
      <c r="C70" s="26" t="inlineStr">
        <is>
          <t>Bhatia M.; Malik V.</t>
        </is>
      </c>
      <c r="D70" s="26" t="n">
        <v>2026</v>
      </c>
      <c r="E70" s="27" t="inlineStr">
        <is>
          <t>Trends and Frontiers of Emerging Technologies in Oil and Gas: A Scientometric Perspective</t>
        </is>
      </c>
      <c r="F70" s="26" t="inlineStr">
        <is>
          <t>IEEE Internet of Things Journal</t>
        </is>
      </c>
      <c r="G70" s="26" t="inlineStr">
        <is>
          <t>Article</t>
        </is>
      </c>
      <c r="H70" s="26" t="inlineStr">
        <is>
          <t>10.1109/jiot.2025.3631090</t>
        </is>
      </c>
      <c r="I70" s="26" t="inlineStr">
        <is>
          <t>TA</t>
        </is>
      </c>
      <c r="J70" s="37" t="inlineStr">
        <is>
          <t>Exclude</t>
        </is>
      </c>
      <c r="K70" s="37" t="inlineStr">
        <is>
          <t>Wrong publication type</t>
        </is>
      </c>
      <c r="L70" s="28" t="inlineStr">
        <is>
          <t>Strong candidate: twin + supply chain + AI all in title/abstract</t>
        </is>
      </c>
      <c r="M70" s="37" t="inlineStr">
        <is>
          <t>"The study conducts a scientometric analysis of IoT-centric technological advancements in the oil and gas domain" con foco en gemelos; cadena como una categoría. Valor para snowballing: bajo.</t>
        </is>
      </c>
      <c r="N70" s="69" t="inlineStr">
        <is>
          <t>E4</t>
        </is>
      </c>
      <c r="O70" s="69" t="n">
        <v>2</v>
      </c>
      <c r="P70" s="69" t="inlineStr">
        <is>
          <t>Exclude</t>
        </is>
      </c>
      <c r="Q70" s="69" t="inlineStr">
        <is>
          <t>E4</t>
        </is>
      </c>
      <c r="R70" s="69" t="inlineStr">
        <is>
          <t>"The study conducts a scientometric analysis of IoT-centric technological advancements in the oil and gas domain" con foco en gemelos; cadena como una categoría. Valor para snowballing: bajo.</t>
        </is>
      </c>
      <c r="S70" s="69" t="n"/>
    </row>
    <row r="71" ht="34.5" customHeight="1" s="17">
      <c r="A71" s="26" t="inlineStr">
        <is>
          <t>R0070</t>
        </is>
      </c>
      <c r="B71" s="26" t="inlineStr">
        <is>
          <t>Scopus</t>
        </is>
      </c>
      <c r="C71" s="26" t="inlineStr">
        <is>
          <t>Wang D.; Zhang R.; Chai Y.</t>
        </is>
      </c>
      <c r="D71" s="26" t="n">
        <v>2026</v>
      </c>
      <c r="E71" s="27" t="inlineStr">
        <is>
          <t>Review of the Application of Artificial Intelligence Technology in the Intelligent Management of the Entire Production Line: Systematic Evolution from Perception to Decision-making</t>
        </is>
      </c>
      <c r="F71" s="26" t="inlineStr">
        <is>
          <t>Proceedings of 2025 6th International Conference on Computer Science and Management Technology, ICCSMT 2025</t>
        </is>
      </c>
      <c r="G71" s="26" t="inlineStr">
        <is>
          <t>Conference paper</t>
        </is>
      </c>
      <c r="H71" s="26" t="inlineStr">
        <is>
          <t>10.1145/3795154.3795310</t>
        </is>
      </c>
      <c r="I71" s="26" t="inlineStr">
        <is>
          <t>TA</t>
        </is>
      </c>
      <c r="J71" s="37" t="inlineStr">
        <is>
          <t>Exclude</t>
        </is>
      </c>
      <c r="K71" s="37" t="inlineStr">
        <is>
          <t>Wrong publication type</t>
        </is>
      </c>
      <c r="L71" s="28" t="inlineStr">
        <is>
          <t>Strong candidate: twin + supply chain + AI all in title/abstract</t>
        </is>
      </c>
      <c r="M71" s="37" t="inlineStr">
        <is>
          <t>"This paper systematically reviews artificial intelligence applications in intelligent whole-line management"; gemelos y cadenas inteligentes entre ocho elementos. Valor para snowballing: bajo.</t>
        </is>
      </c>
      <c r="N71" s="69" t="inlineStr">
        <is>
          <t>E4</t>
        </is>
      </c>
      <c r="O71" s="69" t="n">
        <v>2</v>
      </c>
      <c r="P71" s="69" t="inlineStr">
        <is>
          <t>Exclude</t>
        </is>
      </c>
      <c r="Q71" s="69" t="inlineStr">
        <is>
          <t>E4</t>
        </is>
      </c>
      <c r="R71" s="69" t="inlineStr">
        <is>
          <t>"This paper systematically reviews artificial intelligence applications in intelligent whole-line management"; gemelos y cadenas inteligentes entre ocho elementos. Valor para snowballing: bajo.</t>
        </is>
      </c>
      <c r="S71" s="69" t="n"/>
    </row>
    <row r="72" ht="23.25" customHeight="1" s="17">
      <c r="A72" s="26" t="inlineStr">
        <is>
          <t>R0071</t>
        </is>
      </c>
      <c r="B72" s="26" t="inlineStr">
        <is>
          <t>Scopus + WoS</t>
        </is>
      </c>
      <c r="C72" s="26" t="inlineStr">
        <is>
          <t>Kadum Al-Addal S.I.</t>
        </is>
      </c>
      <c r="D72" s="26" t="n">
        <v>2026</v>
      </c>
      <c r="E72" s="27" t="inlineStr">
        <is>
          <t>An AI- and IoT-Enabled intelligent transportation architecture for multimodal corridor Integration: A Port-Centric case study</t>
        </is>
      </c>
      <c r="F72" s="26" t="inlineStr">
        <is>
          <t>Transportation Research Interdisciplinary Perspectives</t>
        </is>
      </c>
      <c r="G72" s="26" t="inlineStr">
        <is>
          <t>Article</t>
        </is>
      </c>
      <c r="H72" s="26" t="inlineStr">
        <is>
          <t>10.1016/j.trip.2026.102173</t>
        </is>
      </c>
      <c r="I72" s="26" t="inlineStr">
        <is>
          <t>TA</t>
        </is>
      </c>
      <c r="J72" s="37" t="inlineStr">
        <is>
          <t>Exclude</t>
        </is>
      </c>
      <c r="K72" s="37" t="inlineStr">
        <is>
          <t>No digital twin/model</t>
        </is>
      </c>
      <c r="L72" s="28" t="inlineStr">
        <is>
          <t>Strong candidate: twin + supply chain + AI all in title/abstract</t>
        </is>
      </c>
      <c r="M72" s="37" t="inlineStr">
        <is>
          <t>Recodificado 2026-09-06 en la auditoría final (I→E1): El gemelo es sólo un componente listado de una arquitectura conceptual de corredor multimodal ("a layered digital architecture integrating Internet of Things (IoT) systems, Port Community Systems (PCS), Terminal Operating Systems (TOS), artificial intelligence–based predictive planning, blockchain-enabled documentation, digital twins"), sin gemelo diseñado ni implementado (C1); la IA también sólo listada (E3 secundario). El estudio es socio-técnico e institucional ("semi-quantitative benchmarking of leading smart ports, engineering and functional profiling, and conceptual systems modeling"). | Nota original (I): Arquitectura digital conceptual para corredor multimodal portuario con el gemelo como componente listado: "integrating Internet of Things (IoT) systems, Port Community Systems (PCS), Terminal Operating Systems (TOS), artificial intelligence–based predictive planning, blockchain-enabled documentation, digital twins"; regla de sensibilidad, mismo trato que R0093. Verificar en texto completo.</t>
        </is>
      </c>
      <c r="N72" s="69" t="inlineStr">
        <is>
          <t>E1</t>
        </is>
      </c>
      <c r="O72" s="69" t="n">
        <v>2</v>
      </c>
      <c r="P72" s="69" t="inlineStr">
        <is>
          <t>Include</t>
        </is>
      </c>
      <c r="Q72" s="69" t="inlineStr">
        <is>
          <t>I</t>
        </is>
      </c>
      <c r="R72" s="69" t="inlineStr">
        <is>
          <t>Arquitectura digital conceptual para corredor multimodal portuario con el gemelo como componente listado: "integrating Internet of Things (IoT) systems, Port Community Systems (PCS), Terminal Operating Systems (TOS), artificial intelligence–based predictive planning, blockchain-enabled documentation, digital twins"; regla de sensibilidad, mismo trato que R0093. Verificar en texto completo.</t>
        </is>
      </c>
      <c r="S72" s="69" t="n"/>
    </row>
    <row r="73" ht="23.25" customHeight="1" s="17">
      <c r="A73" s="26" t="inlineStr">
        <is>
          <t>R0072</t>
        </is>
      </c>
      <c r="B73" s="26" t="inlineStr">
        <is>
          <t>Scopus + WoS</t>
        </is>
      </c>
      <c r="C73" s="26" t="inlineStr">
        <is>
          <t>Zhou J.; Wang J.; Hryb M.; Kujawińska A.</t>
        </is>
      </c>
      <c r="D73" s="26" t="n">
        <v>2026</v>
      </c>
      <c r="E73" s="27" t="inlineStr">
        <is>
          <t>Digital Twins-Driven Sustainable Industrial Supply Chain Management: A Survey</t>
        </is>
      </c>
      <c r="F73" s="26" t="inlineStr">
        <is>
          <t>Lecture Notes in Mechanical Engineering</t>
        </is>
      </c>
      <c r="G73" s="26" t="inlineStr">
        <is>
          <t>Conference paper</t>
        </is>
      </c>
      <c r="H73" s="26" t="inlineStr">
        <is>
          <t>10.1007/978-3-032-01517-4_9</t>
        </is>
      </c>
      <c r="I73" s="26" t="inlineStr">
        <is>
          <t>TA</t>
        </is>
      </c>
      <c r="J73" s="37" t="inlineStr">
        <is>
          <t>Exclude</t>
        </is>
      </c>
      <c r="K73" s="37" t="inlineStr">
        <is>
          <t>Wrong publication type</t>
        </is>
      </c>
      <c r="L73" s="28" t="inlineStr">
        <is>
          <t>Strong candidate: twin + supply chain + AI all in title/abstract</t>
        </is>
      </c>
      <c r="M73" s="37" t="inlineStr">
        <is>
          <t>Survey: "This paper first introduces the application background and overall framework design of Digital Twins in sustainable supply chain management" y revisa "machine learning and predictive optimization" como habilitador. Valor para snowballing: alto.</t>
        </is>
      </c>
      <c r="N73" s="69" t="inlineStr">
        <is>
          <t>E4</t>
        </is>
      </c>
      <c r="O73" s="69" t="n">
        <v>2</v>
      </c>
      <c r="P73" s="69" t="inlineStr">
        <is>
          <t>Exclude</t>
        </is>
      </c>
      <c r="Q73" s="69" t="inlineStr">
        <is>
          <t>E4</t>
        </is>
      </c>
      <c r="R73" s="69" t="inlineStr">
        <is>
          <t>Survey: "This paper first introduces the application background and overall framework design of Digital Twins in sustainable supply chain management" y revisa "machine learning and predictive optimization" como habilitador. Valor para snowballing: alto.</t>
        </is>
      </c>
      <c r="S73" s="69" t="n"/>
    </row>
    <row r="74" ht="23.25" customHeight="1" s="17">
      <c r="A74" s="26" t="inlineStr">
        <is>
          <t>R0073</t>
        </is>
      </c>
      <c r="B74" s="26" t="inlineStr">
        <is>
          <t>Scopus</t>
        </is>
      </c>
      <c r="C74" s="26" t="inlineStr">
        <is>
          <t>Flores-Castañeda R.O.; Ledesma S.M.; Olaya-Cotera S.</t>
        </is>
      </c>
      <c r="D74" s="26" t="n">
        <v>2026</v>
      </c>
      <c r="E74" s="27" t="inlineStr">
        <is>
          <t>5G networks and their impact on the evolution of real-time monitoring and control systems for Industry 4.0: a systematic review</t>
        </is>
      </c>
      <c r="F74" s="26" t="inlineStr">
        <is>
          <t>Quality and Quantity</t>
        </is>
      </c>
      <c r="G74" s="26" t="inlineStr">
        <is>
          <t>Article</t>
        </is>
      </c>
      <c r="H74" s="26" t="inlineStr">
        <is>
          <t>10.1007/s11135-025-02476-1</t>
        </is>
      </c>
      <c r="I74" s="26" t="inlineStr">
        <is>
          <t>TA</t>
        </is>
      </c>
      <c r="J74" s="37" t="inlineStr">
        <is>
          <t>Exclude</t>
        </is>
      </c>
      <c r="K74" s="37" t="inlineStr">
        <is>
          <t>Wrong publication type</t>
        </is>
      </c>
      <c r="L74" s="28" t="inlineStr">
        <is>
          <t>Strong candidate: twin + supply chain + AI all in title/abstract</t>
        </is>
      </c>
      <c r="M74" s="37" t="inlineStr">
        <is>
          <t>"This systematic review analyses the impact of 5G networks on the evolution of real-time control and monitoring systems for Industry 4.0"; gemelos e IA como tecnologías de apoyo. Valor para snowballing: bajo.</t>
        </is>
      </c>
      <c r="N74" s="69" t="inlineStr">
        <is>
          <t>E4</t>
        </is>
      </c>
      <c r="O74" s="69" t="n">
        <v>2</v>
      </c>
      <c r="P74" s="69" t="inlineStr">
        <is>
          <t>Exclude</t>
        </is>
      </c>
      <c r="Q74" s="69" t="inlineStr">
        <is>
          <t>E4</t>
        </is>
      </c>
      <c r="R74" s="69" t="inlineStr">
        <is>
          <t>"This systematic review analyses the impact of 5G networks on the evolution of real-time control and monitoring systems for Industry 4.0"; gemelos e IA como tecnologías de apoyo. Valor para snowballing: bajo.</t>
        </is>
      </c>
      <c r="S74" s="69" t="n"/>
    </row>
    <row r="75" ht="23.25" customHeight="1" s="17">
      <c r="A75" s="26" t="inlineStr">
        <is>
          <t>R0074</t>
        </is>
      </c>
      <c r="B75" s="26" t="inlineStr">
        <is>
          <t>Scopus + WoS</t>
        </is>
      </c>
      <c r="C75" s="26" t="inlineStr">
        <is>
          <t>Abdulhussain R.; Muhamad H.; Fiza T.; Dereiah S.; Mawla N.; Patel K.; Adebisi A.; Asare-Addo K.</t>
        </is>
      </c>
      <c r="D75" s="26" t="n">
        <v>2026</v>
      </c>
      <c r="E75" s="27" t="inlineStr">
        <is>
          <t>The integration of artificial intelligence through quality by digital design for sustainable pharmaceutical manufacturing</t>
        </is>
      </c>
      <c r="F75" s="26" t="inlineStr">
        <is>
          <t>International Journal of Pharmaceutics</t>
        </is>
      </c>
      <c r="G75" s="26" t="inlineStr">
        <is>
          <t>Article</t>
        </is>
      </c>
      <c r="H75" s="26" t="inlineStr">
        <is>
          <t>10.1016/j.ijpharm.2026.126682</t>
        </is>
      </c>
      <c r="I75" s="26" t="inlineStr">
        <is>
          <t>TA</t>
        </is>
      </c>
      <c r="J75" s="37" t="inlineStr">
        <is>
          <t>Exclude</t>
        </is>
      </c>
      <c r="K75" s="37" t="inlineStr">
        <is>
          <t>Wrong publication type</t>
        </is>
      </c>
      <c r="L75" s="28" t="inlineStr">
        <is>
          <t>Strong candidate: twin + supply chain + AI all in title/abstract</t>
        </is>
      </c>
      <c r="M75" s="37" t="inlineStr">
        <is>
          <t>"This review explores the integration of artificial intelligence (AI) within the quality by digital design (QbDD) framework" (manufactura farmacéutica); gemelo en lista, cadena de paso. Valor para snowballing: bajo.</t>
        </is>
      </c>
      <c r="N75" s="69" t="inlineStr">
        <is>
          <t>E4</t>
        </is>
      </c>
      <c r="O75" s="69" t="n">
        <v>2</v>
      </c>
      <c r="P75" s="69" t="inlineStr">
        <is>
          <t>Exclude</t>
        </is>
      </c>
      <c r="Q75" s="69" t="inlineStr">
        <is>
          <t>E4</t>
        </is>
      </c>
      <c r="R75" s="69" t="inlineStr">
        <is>
          <t>"This review explores the integration of artificial intelligence (AI) within the quality by digital design (QbDD) framework" (manufactura farmacéutica); gemelo en lista, cadena de paso. Valor para snowballing: bajo.</t>
        </is>
      </c>
      <c r="S75" s="69" t="n"/>
    </row>
    <row r="76" ht="23.25" customHeight="1" s="17">
      <c r="A76" s="26" t="inlineStr">
        <is>
          <t>R0075</t>
        </is>
      </c>
      <c r="B76" s="26" t="inlineStr">
        <is>
          <t>Scopus</t>
        </is>
      </c>
      <c r="C76" s="26" t="inlineStr">
        <is>
          <t>El Kadmiri W.; Benghabrit A.; Moufaddal M.; Nait Sidi Moh A.</t>
        </is>
      </c>
      <c r="D76" s="26" t="n">
        <v>2026</v>
      </c>
      <c r="E76" s="27" t="inlineStr">
        <is>
          <t>Identifying Key Drivers of Supply Chain Resilience for Modeling Using AI and Hybrid Predictive Models</t>
        </is>
      </c>
      <c r="F76" s="26" t="inlineStr">
        <is>
          <t>Springer Proceedings in Mathematics and Statistics</t>
        </is>
      </c>
      <c r="G76" s="26" t="inlineStr">
        <is>
          <t>Conference paper</t>
        </is>
      </c>
      <c r="H76" s="26" t="inlineStr">
        <is>
          <t>10.1007/978-3-032-17079-8_12</t>
        </is>
      </c>
      <c r="I76" s="26" t="inlineStr">
        <is>
          <t>TA</t>
        </is>
      </c>
      <c r="J76" s="37" t="inlineStr">
        <is>
          <t>Exclude</t>
        </is>
      </c>
      <c r="K76" s="37" t="inlineStr">
        <is>
          <t>No digital twin/model</t>
        </is>
      </c>
      <c r="L76" s="28" t="inlineStr">
        <is>
          <t>Strong candidate: twin + supply chain + AI all in title/abstract</t>
        </is>
      </c>
      <c r="M76" s="37" t="inlineStr">
        <is>
          <t>Modelos predictivos (ML, DL, híbridos) de resiliencia de cadena; gemelo sólo como tecnología de contexto ("technologies such as Cyber-Physical Systems and Digital Twins enhance real-time visibility and scenario planning"), sin gemelo en el estudio.</t>
        </is>
      </c>
      <c r="N76" s="69" t="inlineStr">
        <is>
          <t>E1</t>
        </is>
      </c>
      <c r="O76" s="69" t="n">
        <v>2</v>
      </c>
      <c r="P76" s="69" t="inlineStr">
        <is>
          <t>Exclude</t>
        </is>
      </c>
      <c r="Q76" s="69" t="inlineStr">
        <is>
          <t>E1</t>
        </is>
      </c>
      <c r="R76" s="69" t="inlineStr">
        <is>
          <t>Modelos predictivos (ML, DL, híbridos) de resiliencia de cadena; gemelo sólo como tecnología de contexto ("technologies such as Cyber-Physical Systems and Digital Twins enhance real-time visibility and scenario planning"), sin gemelo en el estudio.</t>
        </is>
      </c>
      <c r="S76" s="69" t="n"/>
    </row>
    <row r="77" ht="34.5" customHeight="1" s="17">
      <c r="A77" s="26" t="inlineStr">
        <is>
          <t>R0076</t>
        </is>
      </c>
      <c r="B77" s="26" t="inlineStr">
        <is>
          <t>Scopus + WoS</t>
        </is>
      </c>
      <c r="C77" s="26" t="inlineStr">
        <is>
          <t>Fervorari M.; Gentilini L.; Marzano M.G.; Picone N.; Colledani M.; Marguglio A.; Rubattino C.; Rossi E.</t>
        </is>
      </c>
      <c r="D77" s="26" t="n">
        <v>2026</v>
      </c>
      <c r="E77" s="27" t="inlineStr">
        <is>
          <t>Convergence of AI, Data, and Robotics in Circular Manufacturing: The Circular TwAIn Platform for the Li-Ion Traction Batteries Value Chain</t>
        </is>
      </c>
      <c r="F77" s="26" t="inlineStr">
        <is>
          <t>Springer Proceedings in Mathematics and Statistics</t>
        </is>
      </c>
      <c r="G77" s="26" t="inlineStr">
        <is>
          <t>Conference paper</t>
        </is>
      </c>
      <c r="H77" s="26" t="inlineStr">
        <is>
          <t>10.1007/978-3-032-19167-0_15</t>
        </is>
      </c>
      <c r="I77" s="26" t="inlineStr">
        <is>
          <t>TA</t>
        </is>
      </c>
      <c r="J77" s="37" t="inlineStr">
        <is>
          <t>Include</t>
        </is>
      </c>
      <c r="K77" s="37" t="n"/>
      <c r="L77" s="28" t="inlineStr">
        <is>
          <t>Strong candidate: twin + supply chain + AI all in title/abstract</t>
        </is>
      </c>
      <c r="M77" s="37" t="inlineStr">
        <is>
          <t>Confirmado 2026-09-05 por Rodrigo: incluir para verificación en texto completo. Base explícita: "digital twin simulations" en el resumen, palabra clave de índice "Digital twin" y plataforma Circular TwAIn aplicada a una cadena de valor con "transport and logistics operators". Si el texto completo no describe un gemelo, se excluye en esa etapa por ausencia de gemelo.</t>
        </is>
      </c>
      <c r="N77" s="69" t="inlineStr">
        <is>
          <t>I</t>
        </is>
      </c>
      <c r="O77" s="69" t="n">
        <v>2</v>
      </c>
      <c r="P77" s="69" t="inlineStr">
        <is>
          <t>DUDA</t>
        </is>
      </c>
      <c r="Q77" s="69" t="inlineStr">
        <is>
          <t>DUDA</t>
        </is>
      </c>
      <c r="R77" s="69" t="inlineStr">
        <is>
          <t>Resultados del piloto Circular TwAIn en la cadena de valor de baterías, con "transport and logistics operators" y la IA como eje; el gemelo sólo aparece en antecedentes ("integrated into broader architectures such as digital twin simulations or data spaces") y como palabra clave de índice. C1 estricta da E1, pero el acrónimo TwAIn sugiere gemelo+IA (inferencia). Inclinación: I para verificar en texto completo.</t>
        </is>
      </c>
      <c r="S77" s="69" t="n"/>
    </row>
    <row r="78" ht="34.5" customHeight="1" s="17">
      <c r="A78" s="26" t="inlineStr">
        <is>
          <t>R0077</t>
        </is>
      </c>
      <c r="B78" s="26" t="inlineStr">
        <is>
          <t>Scopus + WoS</t>
        </is>
      </c>
      <c r="C78" s="26" t="inlineStr">
        <is>
          <t>Dogančić B.; Rožić J.; Jokić M.; Čeredar M.</t>
        </is>
      </c>
      <c r="D78" s="26" t="n">
        <v>2026</v>
      </c>
      <c r="E78" s="27" t="inlineStr">
        <is>
          <t>Decentralised Manufacturing as a Networked Cyber–Physical System: Formalising Free and Open-Source Software Governance and ML Adaptation for Distributed Robustness</t>
        </is>
      </c>
      <c r="F78" s="26" t="inlineStr">
        <is>
          <t>Systems</t>
        </is>
      </c>
      <c r="G78" s="26" t="inlineStr">
        <is>
          <t>Article</t>
        </is>
      </c>
      <c r="H78" s="26" t="inlineStr">
        <is>
          <t>10.3390/systems14050469</t>
        </is>
      </c>
      <c r="I78" s="26" t="inlineStr">
        <is>
          <t>TA</t>
        </is>
      </c>
      <c r="J78" s="37" t="inlineStr">
        <is>
          <t>Include</t>
        </is>
      </c>
      <c r="K78" s="37" t="n"/>
      <c r="L78" s="28" t="inlineStr">
        <is>
          <t>Strong candidate: twin + supply chain + AI all in title/abstract</t>
        </is>
      </c>
      <c r="M78" s="37" t="inlineStr">
        <is>
          <t>[Make] Confirmado 2026-09-05 por Rodrigo: gemelos locales con ML ("node-local digital twins—each hosting a machine learning (ML) disturbance estimator") cuyo marco se aplica a la perturbación de cadena como caso propio del estudio ("supply chain disruption"); encuadre de resiliencia de cadena aceptado bajo la regla Make (gemelos de nodos de fabricación). Rodrigo lo considera además antecedente relevante.</t>
        </is>
      </c>
      <c r="N78" s="69" t="inlineStr">
        <is>
          <t>I</t>
        </is>
      </c>
      <c r="O78" s="69" t="n">
        <v>2</v>
      </c>
      <c r="P78" s="69" t="inlineStr">
        <is>
          <t>Exclude</t>
        </is>
      </c>
      <c r="Q78" s="69" t="inlineStr">
        <is>
          <t>E2</t>
        </is>
      </c>
      <c r="R78" s="69" t="inlineStr">
        <is>
          <t>Gemelos locales con estimador ML en nodos de fabricación descentralizada ("node-local digital twins—each hosting a machine learning (ML) disturbance estimator"); la cadena aparece sólo como clase de perturbación analizada ("supply chain disruption"), sin encuadre de planeación ni logística. Límite regla Make.</t>
        </is>
      </c>
      <c r="S78" s="69" t="inlineStr">
        <is>
          <t>Make</t>
        </is>
      </c>
    </row>
    <row r="79" ht="23.25" customHeight="1" s="17">
      <c r="A79" s="26" t="inlineStr">
        <is>
          <t>R0078</t>
        </is>
      </c>
      <c r="B79" s="26" t="inlineStr">
        <is>
          <t>Scopus + WoS</t>
        </is>
      </c>
      <c r="C79" s="26" t="inlineStr">
        <is>
          <t>Zhang W.; Yu C.; Newman S.T.; Cheung Ho Kin D.; Zhong R.Y.</t>
        </is>
      </c>
      <c r="D79" s="26" t="n">
        <v>2026</v>
      </c>
      <c r="E79" s="27" t="inlineStr">
        <is>
          <t>A machine learning approach for forecasting resilient material delivery in the construction industry</t>
        </is>
      </c>
      <c r="F79" s="26" t="inlineStr">
        <is>
          <t>International Journal of Production Research</t>
        </is>
      </c>
      <c r="G79" s="26" t="inlineStr">
        <is>
          <t>Article</t>
        </is>
      </c>
      <c r="H79" s="26" t="inlineStr">
        <is>
          <t>10.1080/00207543.2025.2482733</t>
        </is>
      </c>
      <c r="I79" s="26" t="inlineStr">
        <is>
          <t>TA</t>
        </is>
      </c>
      <c r="J79" s="37" t="inlineStr">
        <is>
          <t>Include</t>
        </is>
      </c>
      <c r="K79" s="37" t="n"/>
      <c r="L79" s="28" t="inlineStr">
        <is>
          <t>Strong candidate: twin + supply chain + AI all in title/abstract</t>
        </is>
      </c>
      <c r="M79" s="37" t="inlineStr">
        <is>
          <t>"the authors propose a novel digital twin-enabled model for mapping delivery networks and monitoring supply chain risks" con el modelo M3HMM frente a LR, SVR, GMM y LSTM (construcción).</t>
        </is>
      </c>
      <c r="N79" s="69" t="inlineStr">
        <is>
          <t>I</t>
        </is>
      </c>
      <c r="O79" s="69" t="n">
        <v>2</v>
      </c>
      <c r="P79" s="69" t="inlineStr">
        <is>
          <t>Include</t>
        </is>
      </c>
      <c r="Q79" s="69" t="inlineStr">
        <is>
          <t>I</t>
        </is>
      </c>
      <c r="R79" s="69" t="inlineStr">
        <is>
          <t>"the authors propose a novel digital twin-enabled model for mapping delivery networks and monitoring supply chain risks" con el modelo M3HMM frente a LR, SVR, GMM y LSTM (construcción).</t>
        </is>
      </c>
      <c r="S79" s="69" t="n"/>
    </row>
    <row r="80" ht="34.5" customHeight="1" s="17">
      <c r="A80" s="26" t="inlineStr">
        <is>
          <t>R0079</t>
        </is>
      </c>
      <c r="B80" s="26" t="inlineStr">
        <is>
          <t>Scopus</t>
        </is>
      </c>
      <c r="C80" s="26" t="inlineStr">
        <is>
          <t>Valle-Lituma C.; Aguirre-Munizaga M.; Salous A.E.; Cardenas-Rodriguez M.</t>
        </is>
      </c>
      <c r="D80" s="26" t="n">
        <v>2026</v>
      </c>
      <c r="E80" s="27" t="inlineStr">
        <is>
          <t>Systematic Review of Artificial Intelligence Tools Applied to the Classification, Quality Control, and Shelf Life Prediction of Post-harvest Agricultural Products (2000–2025)</t>
        </is>
      </c>
      <c r="F80" s="26" t="inlineStr">
        <is>
          <t>Communications in Computer and Information Science</t>
        </is>
      </c>
      <c r="G80" s="26" t="inlineStr">
        <is>
          <t>Conference paper</t>
        </is>
      </c>
      <c r="H80" s="26" t="inlineStr">
        <is>
          <t>10.1007/978-3-032-11494-5_3</t>
        </is>
      </c>
      <c r="I80" s="26" t="inlineStr">
        <is>
          <t>TA</t>
        </is>
      </c>
      <c r="J80" s="37" t="inlineStr">
        <is>
          <t>Exclude</t>
        </is>
      </c>
      <c r="K80" s="37" t="inlineStr">
        <is>
          <t>Wrong publication type</t>
        </is>
      </c>
      <c r="L80" s="28" t="inlineStr">
        <is>
          <t>Strong candidate: twin + supply chain + AI all in title/abstract</t>
        </is>
      </c>
      <c r="M80" s="37" t="inlineStr">
        <is>
          <t>"This study presents a systematic review of artificial intelligence (AI) and Internet of Things (IoT) applications in post-harvest fruit management" (PRISMA 2020); gemelo–IoT para vida de anaquel en cadena de frío. Valor para snowballing: medio.</t>
        </is>
      </c>
      <c r="N80" s="69" t="inlineStr">
        <is>
          <t>E4</t>
        </is>
      </c>
      <c r="O80" s="69" t="n">
        <v>2</v>
      </c>
      <c r="P80" s="69" t="inlineStr">
        <is>
          <t>Exclude</t>
        </is>
      </c>
      <c r="Q80" s="69" t="inlineStr">
        <is>
          <t>E4</t>
        </is>
      </c>
      <c r="R80" s="69" t="inlineStr">
        <is>
          <t>"This study presents a systematic review of artificial intelligence (AI) and Internet of Things (IoT) applications in post-harvest fruit management" (PRISMA 2020); gemelo–IoT para vida de anaquel en cadena de frío. Valor para snowballing: medio.</t>
        </is>
      </c>
      <c r="S80" s="69" t="n"/>
    </row>
    <row r="81" ht="23.25" customHeight="1" s="17">
      <c r="A81" s="26" t="inlineStr">
        <is>
          <t>R0080</t>
        </is>
      </c>
      <c r="B81" s="26" t="inlineStr">
        <is>
          <t>Scopus + WoS</t>
        </is>
      </c>
      <c r="C81" s="26" t="inlineStr">
        <is>
          <t>Genetti S.; Scarton G.; Formentini M.; Iacca G.</t>
        </is>
      </c>
      <c r="D81" s="26" t="n">
        <v>2026</v>
      </c>
      <c r="E81" s="27" t="inlineStr">
        <is>
          <t>An intelligent Digital Twin based on machine learning for interpretable decision-making in manufacturing</t>
        </is>
      </c>
      <c r="F81" s="26" t="inlineStr">
        <is>
          <t>International Journal of Production Economics</t>
        </is>
      </c>
      <c r="G81" s="26" t="inlineStr">
        <is>
          <t>Article</t>
        </is>
      </c>
      <c r="H81" s="26" t="inlineStr">
        <is>
          <t>10.1016/j.ijpe.2025.109841</t>
        </is>
      </c>
      <c r="I81" s="26" t="inlineStr">
        <is>
          <t>TA</t>
        </is>
      </c>
      <c r="J81" s="37" t="inlineStr">
        <is>
          <t>Include</t>
        </is>
      </c>
      <c r="K81" s="37" t="n"/>
      <c r="L81" s="28" t="inlineStr">
        <is>
          <t>Strong candidate: twin + supply chain + AI all in title/abstract</t>
        </is>
      </c>
      <c r="M81" s="37" t="inlineStr">
        <is>
          <t>[Make] Gemelo inteligente con ML interpretable y LLM para programación de producción (investigación-acción en Adige Spa); encuadre de cadena: palabra clave de autor "Supply chain" y la frase "One of the main obstacles to the broad adoption of iDTs in operations and supply chain management is the reliance on opaque AI models". Make más débil del lote (bajo C5 estricta sería E2); relevante para HITL. | Auditoría final 2026-09-06: se mantiene I; Make más débil (C5): encuadre de cadena por palabra clave y una frase de gestión de operaciones y cadena ("adoption of iDTs in operations and supply chain management"); conservado por su relevancia HITL directa ("keeping humans at the core of the process", ML interpretable y LLM); veto posible.</t>
        </is>
      </c>
      <c r="N81" s="69" t="inlineStr">
        <is>
          <t>I</t>
        </is>
      </c>
      <c r="O81" s="69" t="n">
        <v>2</v>
      </c>
      <c r="P81" s="69" t="inlineStr">
        <is>
          <t>Include</t>
        </is>
      </c>
      <c r="Q81" s="69" t="inlineStr">
        <is>
          <t>I</t>
        </is>
      </c>
      <c r="R81" s="69" t="inlineStr">
        <is>
          <t>Gemelo inteligente con ML interpretable y LLM para programación de producción (investigación-acción en Adige Spa); encuadre de cadena: palabra clave de autor "Supply chain" y la frase "One of the main obstacles to the broad adoption of iDTs in operations and supply chain management is the reliance on opaque AI models". Make más débil del lote (bajo C5 estricta sería E2); relevante para HITL.</t>
        </is>
      </c>
      <c r="S81" s="69" t="inlineStr">
        <is>
          <t>Make</t>
        </is>
      </c>
    </row>
    <row r="82" ht="23.25" customHeight="1" s="17">
      <c r="A82" s="26" t="inlineStr">
        <is>
          <t>R0081</t>
        </is>
      </c>
      <c r="B82" s="26" t="inlineStr">
        <is>
          <t>Scopus + WoS</t>
        </is>
      </c>
      <c r="C82" s="26" t="inlineStr">
        <is>
          <t>Luo Y.; Ball P.</t>
        </is>
      </c>
      <c r="D82" s="26" t="n">
        <v>2026</v>
      </c>
      <c r="E82" s="27" t="inlineStr">
        <is>
          <t>Digital Twin-Enabled Conversion of Spent Mushroom Substrate for Circular Manufacturing</t>
        </is>
      </c>
      <c r="F82" s="26" t="inlineStr">
        <is>
          <t>Lecture Notes in Mechanical Engineering</t>
        </is>
      </c>
      <c r="G82" s="26" t="inlineStr">
        <is>
          <t>Conference paper</t>
        </is>
      </c>
      <c r="H82" s="26" t="inlineStr">
        <is>
          <t>10.1007/978-3-032-21157-6_47</t>
        </is>
      </c>
      <c r="I82" s="26" t="inlineStr">
        <is>
          <t>TA</t>
        </is>
      </c>
      <c r="J82" s="37" t="inlineStr">
        <is>
          <t>Include</t>
        </is>
      </c>
      <c r="K82" s="37" t="n"/>
      <c r="L82" s="28" t="inlineStr">
        <is>
          <t>Strong candidate: twin + supply chain + AI all in title/abstract</t>
        </is>
      </c>
      <c r="M82" s="37" t="inlineStr">
        <is>
          <t>[Make] Gemelo de proceso de conversión de residuo agrícola con "sensor networks and machine learning algorithms"; la cadena forma parte de las preguntas de investigación: "research questions on optimizing SMS conversion and enhancing supply chain management". Make; verificar el componente de cadena en texto completo. | Auditoría final 2026-09-06: se mantiene I; Make conservado tras la verificación independiente: el encuadre de cadena es una pregunta de investigación del propio estudio ("By addressing research questions on optimizing SMS conversion and enhancing supply chain management"), no una frase de cierre (C5), con gemelo piloto y ML ("Leveraging sensor networks and machine learning algorithms, the study presents a pilot implementation using historical data"); verificar en texto completo que el gemelo cubra el flujo de suministro del sustrato y no sólo la conversión.</t>
        </is>
      </c>
      <c r="N82" s="69" t="inlineStr">
        <is>
          <t>I</t>
        </is>
      </c>
      <c r="O82" s="69" t="n">
        <v>2</v>
      </c>
      <c r="P82" s="69" t="inlineStr">
        <is>
          <t>Include</t>
        </is>
      </c>
      <c r="Q82" s="69" t="inlineStr">
        <is>
          <t>I</t>
        </is>
      </c>
      <c r="R82" s="69" t="inlineStr">
        <is>
          <t>Gemelo de proceso de conversión de residuo agrícola con "sensor networks and machine learning algorithms"; la cadena forma parte de las preguntas de investigación: "research questions on optimizing SMS conversion and enhancing supply chain management". Make; verificar el componente de cadena en texto completo.</t>
        </is>
      </c>
      <c r="S82" s="69" t="inlineStr">
        <is>
          <t>Make</t>
        </is>
      </c>
    </row>
    <row r="83" ht="23.25" customHeight="1" s="17">
      <c r="A83" s="26" t="inlineStr">
        <is>
          <t>R0082</t>
        </is>
      </c>
      <c r="B83" s="26" t="inlineStr">
        <is>
          <t>Scopus</t>
        </is>
      </c>
      <c r="C83" s="26" t="inlineStr">
        <is>
          <t>Dhanalakshmi R.; Onkar S.; Vijayaraghavan N.; Baskar M.</t>
        </is>
      </c>
      <c r="D83" s="26" t="n">
        <v>2026</v>
      </c>
      <c r="E83" s="27" t="inlineStr">
        <is>
          <t>Digital Twin Framework for Supermarket Supply Chain Management Using Predictive Analytics</t>
        </is>
      </c>
      <c r="F83" s="26" t="inlineStr">
        <is>
          <t>2026 International Conference on System, Computation, Automation and Networking, ICSCAN 2026</t>
        </is>
      </c>
      <c r="G83" s="26" t="inlineStr">
        <is>
          <t>Conference paper</t>
        </is>
      </c>
      <c r="H83" s="26" t="inlineStr">
        <is>
          <t>10.1109/icscan66520.2026.11588493</t>
        </is>
      </c>
      <c r="I83" s="26" t="inlineStr">
        <is>
          <t>TA</t>
        </is>
      </c>
      <c r="J83" s="37" t="inlineStr">
        <is>
          <t>Include</t>
        </is>
      </c>
      <c r="K83" s="37" t="n"/>
      <c r="L83" s="28" t="inlineStr">
        <is>
          <t>Strong candidate: twin + supply chain + AI all in title/abstract</t>
        </is>
      </c>
      <c r="M83" s="37" t="inlineStr">
        <is>
          <t>"The Digital Twin Framework will create a virtual version of the supply chain in supermarkets" y "The use of predictive analysis and machine learning algorithms will help in the prediction of future demand" (RF, SVR). Conceptual, artículo breve.</t>
        </is>
      </c>
      <c r="N83" s="69" t="inlineStr">
        <is>
          <t>I</t>
        </is>
      </c>
      <c r="O83" s="69" t="n">
        <v>2</v>
      </c>
      <c r="P83" s="69" t="inlineStr">
        <is>
          <t>Include</t>
        </is>
      </c>
      <c r="Q83" s="69" t="inlineStr">
        <is>
          <t>I</t>
        </is>
      </c>
      <c r="R83" s="69" t="inlineStr">
        <is>
          <t>"The Digital Twin Framework will create a virtual version of the supply chain in supermarkets" y "The use of predictive analysis and machine learning algorithms will help in the prediction of future demand" (RF, SVR). Conceptual, artículo breve.</t>
        </is>
      </c>
      <c r="S83" s="69" t="n"/>
    </row>
    <row r="84" ht="34.5" customHeight="1" s="17">
      <c r="A84" s="26" t="inlineStr">
        <is>
          <t>R0083</t>
        </is>
      </c>
      <c r="B84" s="26" t="inlineStr">
        <is>
          <t>Scopus + WoS</t>
        </is>
      </c>
      <c r="C84" s="26" t="inlineStr">
        <is>
          <t>Kayhan B.M.; Yeni F.B.; Ozcelik G.; Ayyildiz E.</t>
        </is>
      </c>
      <c r="D84" s="26" t="n">
        <v>2026</v>
      </c>
      <c r="E84" s="27" t="inlineStr">
        <is>
          <t>A fuzzy optimization-oriented decision support model to examine key industry 4.0 strategies for building resilience against disruptions in a healthcare supply chain</t>
        </is>
      </c>
      <c r="F84" s="26" t="inlineStr">
        <is>
          <t>Annals of Operations Research</t>
        </is>
      </c>
      <c r="G84" s="26" t="inlineStr">
        <is>
          <t>Article</t>
        </is>
      </c>
      <c r="H84" s="26" t="inlineStr">
        <is>
          <t>10.1007/s10479-024-06441-3</t>
        </is>
      </c>
      <c r="I84" s="26" t="inlineStr">
        <is>
          <t>TA</t>
        </is>
      </c>
      <c r="J84" s="37" t="inlineStr">
        <is>
          <t>Exclude</t>
        </is>
      </c>
      <c r="K84" s="37" t="inlineStr">
        <is>
          <t>No digital twin/model</t>
        </is>
      </c>
      <c r="L84" s="28" t="inlineStr">
        <is>
          <t>Strong candidate: twin + supply chain + AI all in title/abstract</t>
        </is>
      </c>
      <c r="M84" s="37" t="inlineStr">
        <is>
          <t>Estudio de priorización (regla C4): estrategias de Industria 4.0 evaluadas por expertos con FF-BWM y programación por metas ("Industry 4.0 strategies are evaluated under these criteria, and the optimal strategy is identified using GP"); gemelo y ML como estrategias, no aplicados; también E3. Nota: usa SCOR.</t>
        </is>
      </c>
      <c r="N84" s="69" t="inlineStr">
        <is>
          <t>E1</t>
        </is>
      </c>
      <c r="O84" s="69" t="n">
        <v>2</v>
      </c>
      <c r="P84" s="69" t="inlineStr">
        <is>
          <t>Exclude</t>
        </is>
      </c>
      <c r="Q84" s="69" t="inlineStr">
        <is>
          <t>E1</t>
        </is>
      </c>
      <c r="R84" s="69" t="inlineStr">
        <is>
          <t>Estudio de priorización (regla C4): estrategias de Industria 4.0 evaluadas por expertos con FF-BWM y programación por metas ("Industry 4.0 strategies are evaluated under these criteria, and the optimal strategy is identified using GP"); gemelo y ML como estrategias, no aplicados; también E3. Nota: usa SCOR.</t>
        </is>
      </c>
      <c r="S84" s="69" t="n"/>
    </row>
    <row r="85" ht="34.5" customHeight="1" s="17">
      <c r="A85" s="26" t="inlineStr">
        <is>
          <t>R0084</t>
        </is>
      </c>
      <c r="B85" s="26" t="inlineStr">
        <is>
          <t>Scopus + WoS</t>
        </is>
      </c>
      <c r="C85" s="26" t="inlineStr">
        <is>
          <t>Ivanov D.</t>
        </is>
      </c>
      <c r="D85" s="26" t="n">
        <v>2026</v>
      </c>
      <c r="E85" s="27" t="inlineStr">
        <is>
          <t>Agentic digital twins: bridging model-based and AI-driven decision-making support for a new era of supply chain and operations management</t>
        </is>
      </c>
      <c r="F85" s="26" t="inlineStr">
        <is>
          <t>International Journal of Production Research</t>
        </is>
      </c>
      <c r="G85" s="26" t="inlineStr">
        <is>
          <t>Article</t>
        </is>
      </c>
      <c r="H85" s="26" t="inlineStr">
        <is>
          <t>10.1080/00207543.2026.2630277</t>
        </is>
      </c>
      <c r="I85" s="26" t="inlineStr">
        <is>
          <t>TA</t>
        </is>
      </c>
      <c r="J85" s="37" t="inlineStr">
        <is>
          <t>Include</t>
        </is>
      </c>
      <c r="K85" s="37" t="n"/>
      <c r="L85" s="28" t="inlineStr">
        <is>
          <t>Strong candidate: twin + supply chain + AI all in title/abstract</t>
        </is>
      </c>
      <c r="M85" s="37" t="inlineStr">
        <is>
          <t>Conceptual: "This paper conceptualises the notion of agentic supply chain digital twins (A-SCDT) triangulating the composition of agentic AI, digital twins, and model-based optimisation and simulation"; dos casos industriales.</t>
        </is>
      </c>
      <c r="N85" s="69" t="inlineStr">
        <is>
          <t>I</t>
        </is>
      </c>
      <c r="O85" s="69" t="n">
        <v>2</v>
      </c>
      <c r="P85" s="69" t="inlineStr">
        <is>
          <t>Include</t>
        </is>
      </c>
      <c r="Q85" s="69" t="inlineStr">
        <is>
          <t>I</t>
        </is>
      </c>
      <c r="R85" s="69" t="inlineStr">
        <is>
          <t>Conceptual: "This paper conceptualises the notion of agentic supply chain digital twins (A-SCDT) triangulating the composition of agentic AI, digital twins, and model-based optimisation and simulation"; dos casos industriales.</t>
        </is>
      </c>
      <c r="S85" s="69" t="n"/>
    </row>
    <row r="86" ht="23.25" customHeight="1" s="17">
      <c r="A86" s="26" t="inlineStr">
        <is>
          <t>R0085</t>
        </is>
      </c>
      <c r="B86" s="26" t="inlineStr">
        <is>
          <t>Scopus</t>
        </is>
      </c>
      <c r="C86" s="26" t="inlineStr">
        <is>
          <t>Raman R.; Gunasekaran A.; Suresh M.</t>
        </is>
      </c>
      <c r="D86" s="26" t="n">
        <v>2026</v>
      </c>
      <c r="E86" s="27" t="inlineStr">
        <is>
          <t>Enabling Flexible, Resilient, and Sustainable Supply Chains through Metaverse Technologies</t>
        </is>
      </c>
      <c r="F86" s="26" t="inlineStr">
        <is>
          <t>Global Journal of Flexible Systems Management</t>
        </is>
      </c>
      <c r="G86" s="26" t="inlineStr">
        <is>
          <t>Article</t>
        </is>
      </c>
      <c r="H86" s="26" t="inlineStr">
        <is>
          <t>10.1007/s40171-026-00490-2</t>
        </is>
      </c>
      <c r="I86" s="26" t="inlineStr">
        <is>
          <t>TA</t>
        </is>
      </c>
      <c r="J86" s="37" t="inlineStr">
        <is>
          <t>Exclude</t>
        </is>
      </c>
      <c r="K86" s="37" t="inlineStr">
        <is>
          <t>Wrong publication type</t>
        </is>
      </c>
      <c r="L86" s="28" t="inlineStr">
        <is>
          <t>Strong candidate: twin + supply chain + AI all in title/abstract</t>
        </is>
      </c>
      <c r="M86" s="37" t="inlineStr">
        <is>
          <t>Análisis temático de literatura con modelado de tópicos ("Using a mixed-method approach incorporating BERTopic modeling, the research identifies four thematic areas") que "applies the antecedents–decisions–outcomes (ADO) framework to propose an outline for further research avenues"; carácter de revisión. Valor para snowballing: medio.</t>
        </is>
      </c>
      <c r="N86" s="69" t="inlineStr">
        <is>
          <t>E4</t>
        </is>
      </c>
      <c r="O86" s="69" t="n">
        <v>2</v>
      </c>
      <c r="P86" s="69" t="inlineStr">
        <is>
          <t>Exclude</t>
        </is>
      </c>
      <c r="Q86" s="69" t="inlineStr">
        <is>
          <t>E4</t>
        </is>
      </c>
      <c r="R86" s="69" t="inlineStr">
        <is>
          <t>Análisis temático de literatura con modelado de tópicos ("Using a mixed-method approach incorporating BERTopic modeling, the research identifies four thematic areas") que "applies the antecedents–decisions–outcomes (ADO) framework to propose an outline for further research avenues"; carácter de revisión. Valor para snowballing: medio.</t>
        </is>
      </c>
      <c r="S86" s="69" t="n"/>
    </row>
    <row r="87" ht="23.25" customHeight="1" s="17">
      <c r="A87" s="26" t="inlineStr">
        <is>
          <t>R0086</t>
        </is>
      </c>
      <c r="B87" s="26" t="inlineStr">
        <is>
          <t>Scopus</t>
        </is>
      </c>
      <c r="C87" s="26" t="inlineStr">
        <is>
          <t>Sebti E.; Chen Y.</t>
        </is>
      </c>
      <c r="D87" s="26" t="n">
        <v>2026</v>
      </c>
      <c r="E87" s="27" t="inlineStr">
        <is>
          <t>Mining Hidden Ridesharing Patterns: A Data-Driven Gap Analysis of Chicago TNC Trips</t>
        </is>
      </c>
      <c r="F87" s="26" t="inlineStr">
        <is>
          <t>Data Science for Transportation</t>
        </is>
      </c>
      <c r="G87" s="26" t="inlineStr">
        <is>
          <t>Article</t>
        </is>
      </c>
      <c r="H87" s="26" t="inlineStr">
        <is>
          <t>10.1007/s42421-026-00149-5</t>
        </is>
      </c>
      <c r="I87" s="26" t="inlineStr">
        <is>
          <t>TA</t>
        </is>
      </c>
      <c r="J87" s="37" t="inlineStr">
        <is>
          <t>Exclude</t>
        </is>
      </c>
      <c r="K87" s="37" t="inlineStr">
        <is>
          <t>No digital twin/model</t>
        </is>
      </c>
      <c r="L87" s="28" t="inlineStr">
        <is>
          <t>Strong candidate: twin + supply chain + AI all in title/abstract</t>
        </is>
      </c>
      <c r="M87" s="37" t="inlineStr">
        <is>
          <t>Minería de datos y ML sobre viajes compartidos; gemelo sólo como fundamento futuro ("builds the foundation for early stage digital twins that can simulate, optimize, and inform decision-making in future smart mobility systems"); también E2 (movilidad de pasajeros, no logística).</t>
        </is>
      </c>
      <c r="N87" s="69" t="inlineStr">
        <is>
          <t>E1</t>
        </is>
      </c>
      <c r="O87" s="69" t="n">
        <v>2</v>
      </c>
      <c r="P87" s="69" t="inlineStr">
        <is>
          <t>Exclude</t>
        </is>
      </c>
      <c r="Q87" s="69" t="inlineStr">
        <is>
          <t>E1</t>
        </is>
      </c>
      <c r="R87" s="69" t="inlineStr">
        <is>
          <t>Minería de datos y ML sobre viajes compartidos; gemelo sólo como fundamento futuro ("builds the foundation for early stage digital twins that can simulate, optimize, and inform decision-making in future smart mobility systems"); también E2 (movilidad de pasajeros, no logística).</t>
        </is>
      </c>
      <c r="S87" s="69" t="n"/>
    </row>
    <row r="88" ht="23.25" customHeight="1" s="17">
      <c r="A88" s="26" t="inlineStr">
        <is>
          <t>R0087</t>
        </is>
      </c>
      <c r="B88" s="26" t="inlineStr">
        <is>
          <t>Scopus</t>
        </is>
      </c>
      <c r="C88" s="26" t="inlineStr">
        <is>
          <t>Patil S.</t>
        </is>
      </c>
      <c r="D88" s="26" t="n">
        <v>2026</v>
      </c>
      <c r="E88" s="27" t="inlineStr">
        <is>
          <t>Artificial Intelligence and Machine Learning Applications in the Textile Industry: A Review</t>
        </is>
      </c>
      <c r="F88" s="26" t="inlineStr">
        <is>
          <t>Journal of the Textile Association</t>
        </is>
      </c>
      <c r="G88" s="26" t="inlineStr">
        <is>
          <t>Article</t>
        </is>
      </c>
      <c r="H88" s="26" t="inlineStr">
        <is>
          <t>10.5281/zenodo.20554381</t>
        </is>
      </c>
      <c r="I88" s="26" t="inlineStr">
        <is>
          <t>TA</t>
        </is>
      </c>
      <c r="J88" s="37" t="inlineStr">
        <is>
          <t>Exclude</t>
        </is>
      </c>
      <c r="K88" s="37" t="inlineStr">
        <is>
          <t>Wrong publication type</t>
        </is>
      </c>
      <c r="L88" s="28" t="inlineStr">
        <is>
          <t>Strong candidate: twin + supply chain + AI all in title/abstract</t>
        </is>
      </c>
      <c r="M88" s="37" t="inlineStr">
        <is>
          <t>"In this review, a systematic evaluation is carried out for AI and ML applications across the textile lifecycle"; gemelo sólo como dirección futura. Valor para snowballing: bajo.</t>
        </is>
      </c>
      <c r="N88" s="69" t="inlineStr">
        <is>
          <t>E4</t>
        </is>
      </c>
      <c r="O88" s="69" t="n">
        <v>2</v>
      </c>
      <c r="P88" s="69" t="inlineStr">
        <is>
          <t>Exclude</t>
        </is>
      </c>
      <c r="Q88" s="69" t="inlineStr">
        <is>
          <t>E4</t>
        </is>
      </c>
      <c r="R88" s="69" t="inlineStr">
        <is>
          <t>"In this review, a systematic evaluation is carried out for AI and ML applications across the textile lifecycle"; gemelo sólo como dirección futura. Valor para snowballing: bajo.</t>
        </is>
      </c>
      <c r="S88" s="69" t="n"/>
    </row>
    <row r="89" ht="23.25" customHeight="1" s="17">
      <c r="A89" s="26" t="inlineStr">
        <is>
          <t>R0088</t>
        </is>
      </c>
      <c r="B89" s="26" t="inlineStr">
        <is>
          <t>Scopus</t>
        </is>
      </c>
      <c r="C89" s="26" t="inlineStr">
        <is>
          <t>Rojek I.; Naprstkova N.; Mikołajewski D.</t>
        </is>
      </c>
      <c r="D89" s="26" t="n">
        <v>2026</v>
      </c>
      <c r="E89" s="27" t="inlineStr">
        <is>
          <t>Possibilities of Using Generative AI in AI-Based Digital Twins for Industry 5.0/6.0</t>
        </is>
      </c>
      <c r="F89" s="26" t="inlineStr">
        <is>
          <t>Lecture Notes in Mechanical Engineering</t>
        </is>
      </c>
      <c r="G89" s="26" t="inlineStr">
        <is>
          <t>Conference paper</t>
        </is>
      </c>
      <c r="H89" s="26" t="inlineStr">
        <is>
          <t>10.1007/978-3-032-21654-0_3</t>
        </is>
      </c>
      <c r="I89" s="26" t="inlineStr">
        <is>
          <t>TA</t>
        </is>
      </c>
      <c r="J89" s="37" t="inlineStr">
        <is>
          <t>Exclude</t>
        </is>
      </c>
      <c r="K89" s="37" t="inlineStr">
        <is>
          <t>No supply chain scope</t>
        </is>
      </c>
      <c r="L89" s="28" t="inlineStr">
        <is>
          <t>Strong candidate: twin + supply chain + AI all in title/abstract</t>
        </is>
      </c>
      <c r="M89" s="37" t="inlineStr">
        <is>
          <t>Gemelos de producción con IA generativa e interfaz de operador; la cadena sólo como destino de documentos ("generate a variety of documents useful in automated production processes and the supply chain"), sin encuadre de planeación ni logística. Límite regla Make; relevante para HITL si se reconsidera.</t>
        </is>
      </c>
      <c r="N89" s="69" t="inlineStr">
        <is>
          <t>E2</t>
        </is>
      </c>
      <c r="O89" s="69" t="n">
        <v>2</v>
      </c>
      <c r="P89" s="69" t="inlineStr">
        <is>
          <t>Exclude</t>
        </is>
      </c>
      <c r="Q89" s="69" t="inlineStr">
        <is>
          <t>E2</t>
        </is>
      </c>
      <c r="R89" s="69" t="inlineStr">
        <is>
          <t>Gemelos de producción con IA generativa e interfaz de operador; la cadena sólo como destino de documentos ("generate a variety of documents useful in automated production processes and the supply chain"), sin encuadre de planeación ni logística. Límite regla Make; relevante para HITL si se reconsidera.</t>
        </is>
      </c>
      <c r="S89" s="69" t="n"/>
    </row>
    <row r="90" ht="23.25" customHeight="1" s="17">
      <c r="A90" s="26" t="inlineStr">
        <is>
          <t>R0089</t>
        </is>
      </c>
      <c r="B90" s="26" t="inlineStr">
        <is>
          <t>Scopus</t>
        </is>
      </c>
      <c r="C90" s="26" t="inlineStr">
        <is>
          <t>Zhenzhen X.</t>
        </is>
      </c>
      <c r="D90" s="26" t="n">
        <v>2026</v>
      </c>
      <c r="E90" s="27" t="inlineStr">
        <is>
          <t>Research on Coordinated Scheduling Optimization of Urban Transportation and Logistics Driven by Digital Twin</t>
        </is>
      </c>
      <c r="F90" s="26" t="inlineStr">
        <is>
          <t>Lecture Notes in Electrical Engineering</t>
        </is>
      </c>
      <c r="G90" s="26" t="inlineStr">
        <is>
          <t>Conference paper</t>
        </is>
      </c>
      <c r="H90" s="26" t="inlineStr">
        <is>
          <t>10.1007/978-981-95-8056-9_35</t>
        </is>
      </c>
      <c r="I90" s="26" t="inlineStr">
        <is>
          <t>TA</t>
        </is>
      </c>
      <c r="J90" s="37" t="inlineStr">
        <is>
          <t>Include</t>
        </is>
      </c>
      <c r="K90" s="37" t="n"/>
      <c r="L90" s="28" t="inlineStr">
        <is>
          <t>Strong candidate: twin + supply chain + AI all in title/abstract</t>
        </is>
      </c>
      <c r="M90" s="37" t="inlineStr">
        <is>
          <t>"constructing a digital twin framework that integrates multi-source data and high-fidelity models" con "agent-based modeling and reinforcement learning" para transporte urbano y logística (reserva de almacén, logística de emergencia).</t>
        </is>
      </c>
      <c r="N90" s="69" t="inlineStr">
        <is>
          <t>I</t>
        </is>
      </c>
      <c r="O90" s="69" t="n">
        <v>2</v>
      </c>
      <c r="P90" s="69" t="inlineStr">
        <is>
          <t>Include</t>
        </is>
      </c>
      <c r="Q90" s="69" t="inlineStr">
        <is>
          <t>I</t>
        </is>
      </c>
      <c r="R90" s="69" t="inlineStr">
        <is>
          <t>"constructing a digital twin framework that integrates multi-source data and high-fidelity models" con "agent-based modeling and reinforcement learning" para transporte urbano y logística (reserva de almacén, logística de emergencia).</t>
        </is>
      </c>
      <c r="S90" s="69" t="n"/>
    </row>
    <row r="91" ht="23.25" customHeight="1" s="17">
      <c r="A91" s="26" t="inlineStr">
        <is>
          <t>R0090</t>
        </is>
      </c>
      <c r="B91" s="26" t="inlineStr">
        <is>
          <t>Scopus + WoS</t>
        </is>
      </c>
      <c r="C91" s="26" t="inlineStr">
        <is>
          <t>Jin Y.; Liu J.</t>
        </is>
      </c>
      <c r="D91" s="26" t="n">
        <v>2026</v>
      </c>
      <c r="E91" s="27" t="inlineStr">
        <is>
          <t>Unveiling the future: A bibliometric review of emerging trends and hotspots in sustainable modern industrial chains</t>
        </is>
      </c>
      <c r="F91" s="26" t="inlineStr">
        <is>
          <t>Sustainable Futures</t>
        </is>
      </c>
      <c r="G91" s="26" t="inlineStr">
        <is>
          <t>Article</t>
        </is>
      </c>
      <c r="H91" s="26" t="inlineStr">
        <is>
          <t>10.1016/j.sftr.2026.102046</t>
        </is>
      </c>
      <c r="I91" s="26" t="inlineStr">
        <is>
          <t>TA</t>
        </is>
      </c>
      <c r="J91" s="37" t="inlineStr">
        <is>
          <t>Exclude</t>
        </is>
      </c>
      <c r="K91" s="37" t="inlineStr">
        <is>
          <t>Wrong publication type</t>
        </is>
      </c>
      <c r="L91" s="28" t="inlineStr">
        <is>
          <t>Strong candidate: twin + supply chain + AI all in title/abstract</t>
        </is>
      </c>
      <c r="M91" s="37" t="inlineStr">
        <is>
          <t>Revisión bibliométrica ("Based on scientometric methods, a systematic analysis was conducted on 1049 literatures") de cadenas industriales sostenibles; gemelo e IA como palabras clave emergentes. Valor para snowballing: bajo.</t>
        </is>
      </c>
      <c r="N91" s="69" t="inlineStr">
        <is>
          <t>E4</t>
        </is>
      </c>
      <c r="O91" s="69" t="n">
        <v>2</v>
      </c>
      <c r="P91" s="69" t="inlineStr">
        <is>
          <t>Exclude</t>
        </is>
      </c>
      <c r="Q91" s="69" t="inlineStr">
        <is>
          <t>E4</t>
        </is>
      </c>
      <c r="R91" s="69" t="inlineStr">
        <is>
          <t>Revisión bibliométrica ("Based on scientometric methods, a systematic analysis was conducted on 1049 literatures") de cadenas industriales sostenibles; gemelo e IA como palabras clave emergentes. Valor para snowballing: bajo.</t>
        </is>
      </c>
      <c r="S91" s="69" t="n"/>
    </row>
    <row r="92" ht="23.25" customHeight="1" s="17">
      <c r="A92" s="26" t="inlineStr">
        <is>
          <t>R0091</t>
        </is>
      </c>
      <c r="B92" s="26" t="inlineStr">
        <is>
          <t>Scopus + WoS</t>
        </is>
      </c>
      <c r="C92" s="26" t="inlineStr">
        <is>
          <t>Yang X.; Liu Y.; Wang R.</t>
        </is>
      </c>
      <c r="D92" s="26" t="n">
        <v>2026</v>
      </c>
      <c r="E92" s="27" t="inlineStr">
        <is>
          <t>The Sustainable Development of Industrial Production by Internet of Things Technology: Based on Bibliometric Analysis Methods</t>
        </is>
      </c>
      <c r="F92" s="26" t="inlineStr">
        <is>
          <t>Industrial Engineering and Management Systems</t>
        </is>
      </c>
      <c r="G92" s="26" t="inlineStr">
        <is>
          <t>Article</t>
        </is>
      </c>
      <c r="H92" s="26" t="inlineStr">
        <is>
          <t>10.7232/iems.2026.25.1.120</t>
        </is>
      </c>
      <c r="I92" s="26" t="inlineStr">
        <is>
          <t>TA</t>
        </is>
      </c>
      <c r="J92" s="37" t="inlineStr">
        <is>
          <t>Exclude</t>
        </is>
      </c>
      <c r="K92" s="37" t="inlineStr">
        <is>
          <t>Wrong publication type</t>
        </is>
      </c>
      <c r="L92" s="28" t="inlineStr">
        <is>
          <t>Strong candidate: twin + supply chain + AI all in title/abstract</t>
        </is>
      </c>
      <c r="M92" s="37" t="inlineStr">
        <is>
          <t>"This study employs bibliometric methods, utilizing tools such as CiteSpace, VOSviewer, and Bibliometrix" sobre IoT en producción industrial; gemelo y cadena como temas. Valor para snowballing: bajo.</t>
        </is>
      </c>
      <c r="N92" s="69" t="inlineStr">
        <is>
          <t>E4</t>
        </is>
      </c>
      <c r="O92" s="69" t="n">
        <v>2</v>
      </c>
      <c r="P92" s="69" t="inlineStr">
        <is>
          <t>Exclude</t>
        </is>
      </c>
      <c r="Q92" s="69" t="inlineStr">
        <is>
          <t>E4</t>
        </is>
      </c>
      <c r="R92" s="69" t="inlineStr">
        <is>
          <t>"This study employs bibliometric methods, utilizing tools such as CiteSpace, VOSviewer, and Bibliometrix" sobre IoT en producción industrial; gemelo y cadena como temas. Valor para snowballing: bajo.</t>
        </is>
      </c>
      <c r="S92" s="69" t="n"/>
    </row>
    <row r="93" ht="23.25" customHeight="1" s="17">
      <c r="A93" s="26" t="inlineStr">
        <is>
          <t>R0092</t>
        </is>
      </c>
      <c r="B93" s="26" t="inlineStr">
        <is>
          <t>WoS</t>
        </is>
      </c>
      <c r="C93" s="26" t="inlineStr">
        <is>
          <t>Borrás-Hidalgo, O; Ding, F; El Sheikha, A</t>
        </is>
      </c>
      <c r="D93" s="26" t="n">
        <v>2026</v>
      </c>
      <c r="E93" s="27" t="inlineStr">
        <is>
          <t>Artificial intelligence and digital twins: pathways to climate-resilient, traceable and equitable global food supply chains</t>
        </is>
      </c>
      <c r="F93" s="26" t="inlineStr">
        <is>
          <t>TRENDS IN FOOD SCIENCE &amp; TECHNOLOGY</t>
        </is>
      </c>
      <c r="G93" s="26" t="inlineStr">
        <is>
          <t>Article</t>
        </is>
      </c>
      <c r="H93" s="26" t="inlineStr">
        <is>
          <t>10.1016/j.tifs.2026.105973</t>
        </is>
      </c>
      <c r="I93" s="26" t="inlineStr">
        <is>
          <t>TA</t>
        </is>
      </c>
      <c r="J93" s="37" t="inlineStr">
        <is>
          <t>Exclude</t>
        </is>
      </c>
      <c r="K93" s="37" t="inlineStr">
        <is>
          <t>Wrong publication type</t>
        </is>
      </c>
      <c r="L93" s="28" t="inlineStr">
        <is>
          <t>Strong candidate: twin + supply chain + AI all in title/abstract</t>
        </is>
      </c>
      <c r="M93" s="37" t="inlineStr">
        <is>
          <t>Perspectiva que sintetiza evidencia ("Drawing on recent implementations in processing, cold-chain logistics, and post-harvest systems, we synthesize demonstrated benefits") y propone agenda, no un sistema; revisión narrativa sobre "integrated AI-digital-twin frameworks" en cadenas alimentarias. Valor para snowballing: alto.</t>
        </is>
      </c>
      <c r="N93" s="69" t="inlineStr">
        <is>
          <t>E4</t>
        </is>
      </c>
      <c r="O93" s="69" t="n">
        <v>2</v>
      </c>
      <c r="P93" s="69" t="inlineStr">
        <is>
          <t>Exclude</t>
        </is>
      </c>
      <c r="Q93" s="69" t="inlineStr">
        <is>
          <t>E4</t>
        </is>
      </c>
      <c r="R93" s="69" t="inlineStr">
        <is>
          <t>Perspectiva que sintetiza evidencia ("Drawing on recent implementations in processing, cold-chain logistics, and post-harvest systems, we synthesize demonstrated benefits") y propone agenda, no un sistema; revisión narrativa sobre "integrated AI-digital-twin frameworks" en cadenas alimentarias. Valor para snowballing: alto.</t>
        </is>
      </c>
      <c r="S93" s="69" t="n"/>
    </row>
    <row r="94" ht="23.25" customHeight="1" s="17">
      <c r="A94" s="26" t="inlineStr">
        <is>
          <t>R0093</t>
        </is>
      </c>
      <c r="B94" s="26" t="inlineStr">
        <is>
          <t>WoS</t>
        </is>
      </c>
      <c r="C94" s="26" t="inlineStr">
        <is>
          <t>Lignell, A; Sohrab, F; Gabbouj, M</t>
        </is>
      </c>
      <c r="D94" s="26" t="n">
        <v>2026</v>
      </c>
      <c r="E94" s="27" t="inlineStr">
        <is>
          <t>Optimizing Material Flow in Industrial Warehousing: A Human-Centric Industrial Metaverse</t>
        </is>
      </c>
      <c r="F94" s="26" t="inlineStr">
        <is>
          <t>IEEE ACCESS</t>
        </is>
      </c>
      <c r="G94" s="26" t="inlineStr">
        <is>
          <t>Article</t>
        </is>
      </c>
      <c r="H94" s="26" t="inlineStr">
        <is>
          <t>10.1109/access.2026.3676984</t>
        </is>
      </c>
      <c r="I94" s="26" t="inlineStr">
        <is>
          <t>TA</t>
        </is>
      </c>
      <c r="J94" s="37" t="inlineStr">
        <is>
          <t>Exclude</t>
        </is>
      </c>
      <c r="K94" s="37" t="inlineStr">
        <is>
          <t>Wrong publication type</t>
        </is>
      </c>
      <c r="L94" s="28" t="inlineStr">
        <is>
          <t>Strong candidate: twin + supply chain + AI all in title/abstract</t>
        </is>
      </c>
      <c r="M94" s="37" t="inlineStr">
        <is>
          <t>Recodificado 2026-09-06 en la auditoría final (I→E4): Marco conceptual derivado de revisión de literatura (C3): "this study employs a qualitative research methodology based on an extensive literature review and comparative analysis"; el marco propuesto sí está en la intersección exacta ("integrating AR wearables, digital twins, machine learning, and cyber-physical synchronization standards to optimize material flow processes") con eje humano-céntrico, por eso valor alto. Valor para snowballing: alto. | Nota original (I): Marco conceptual (basado en revisión) para almacenes: "integrating AR wearables, digital twins, machine learning, and cyber-physical synchronization standards to optimize material flow processes"; logística de almacén, enfoque humano-céntrico.</t>
        </is>
      </c>
      <c r="N94" s="69" t="inlineStr">
        <is>
          <t>E4</t>
        </is>
      </c>
      <c r="O94" s="69" t="n">
        <v>2</v>
      </c>
      <c r="P94" s="69" t="inlineStr">
        <is>
          <t>Include</t>
        </is>
      </c>
      <c r="Q94" s="69" t="inlineStr">
        <is>
          <t>I</t>
        </is>
      </c>
      <c r="R94" s="69" t="inlineStr">
        <is>
          <t>Marco conceptual (basado en revisión) para almacenes: "integrating AR wearables, digital twins, machine learning, and cyber-physical synchronization standards to optimize material flow processes"; logística de almacén, enfoque humano-céntrico.</t>
        </is>
      </c>
      <c r="S94" s="69" t="n"/>
    </row>
    <row r="95" ht="23.25" customHeight="1" s="17">
      <c r="A95" s="26" t="inlineStr">
        <is>
          <t>R0094</t>
        </is>
      </c>
      <c r="B95" s="26" t="inlineStr">
        <is>
          <t>WoS</t>
        </is>
      </c>
      <c r="C95" s="26" t="inlineStr">
        <is>
          <t>Ozturk, C; O'Sullivan, B</t>
        </is>
      </c>
      <c r="D95" s="26" t="n">
        <v>2026</v>
      </c>
      <c r="E95" s="27" t="inlineStr">
        <is>
          <t>An Adaptive Supply Chain Stress Testing Framework with Deep Learning</t>
        </is>
      </c>
      <c r="F95" s="26" t="inlineStr">
        <is>
          <t>TRANSPORT TRANSITIONS: ADVANCING SUSTAINABLE AND INCLUSIVE MOBILITY, TRA CONFERENCE 2024, VOL 5</t>
        </is>
      </c>
      <c r="G95" s="26" t="inlineStr">
        <is>
          <t>Proceedings Paper</t>
        </is>
      </c>
      <c r="H95" s="26" t="inlineStr">
        <is>
          <t>10.1007/978-3-032-04774-8_75</t>
        </is>
      </c>
      <c r="I95" s="26" t="inlineStr">
        <is>
          <t>TA</t>
        </is>
      </c>
      <c r="J95" s="37" t="inlineStr">
        <is>
          <t>Include</t>
        </is>
      </c>
      <c r="K95" s="37" t="n"/>
      <c r="L95" s="28" t="inlineStr">
        <is>
          <t>Strong candidate: twin + supply chain + AI all in title/abstract</t>
        </is>
      </c>
      <c r="M95" s="37" t="inlineStr">
        <is>
          <t>Conceptual: "The framework is based on a supply chain digital twin that will be formed with the industrial Internet of Things technology for accessing field data, machine learning models for disruption prediction" y un "deep learning-based surrogate model of the digital supply chain twin".</t>
        </is>
      </c>
      <c r="N95" s="69" t="inlineStr">
        <is>
          <t>I</t>
        </is>
      </c>
      <c r="O95" s="69" t="n">
        <v>2</v>
      </c>
      <c r="P95" s="69" t="inlineStr">
        <is>
          <t>Include</t>
        </is>
      </c>
      <c r="Q95" s="69" t="inlineStr">
        <is>
          <t>I</t>
        </is>
      </c>
      <c r="R95" s="69" t="inlineStr">
        <is>
          <t>Conceptual: "The framework is based on a supply chain digital twin that will be formed with the industrial Internet of Things technology for accessing field data, machine learning models for disruption prediction" y un "deep learning-based surrogate model of the digital supply chain twin".</t>
        </is>
      </c>
      <c r="S95" s="69" t="n"/>
    </row>
    <row r="96" ht="23.25" customHeight="1" s="17">
      <c r="A96" s="26" t="inlineStr">
        <is>
          <t>R0095</t>
        </is>
      </c>
      <c r="B96" s="26" t="inlineStr">
        <is>
          <t>WoS</t>
        </is>
      </c>
      <c r="C96" s="26" t="inlineStr">
        <is>
          <t>Pakdel, J; Erol, I; Oztel, A; Kanbak, N</t>
        </is>
      </c>
      <c r="D96" s="26" t="n">
        <v>2026</v>
      </c>
      <c r="E96" s="27" t="inlineStr">
        <is>
          <t>A systematic mapping of artificial intelligence, digital twins, and blockchain applications in nuclear plants</t>
        </is>
      </c>
      <c r="F96" s="26" t="inlineStr">
        <is>
          <t>ENGINEERING APPLICATIONS OF ARTIFICIAL INTELLIGENCE</t>
        </is>
      </c>
      <c r="G96" s="26" t="inlineStr">
        <is>
          <t>Article</t>
        </is>
      </c>
      <c r="H96" s="26" t="inlineStr">
        <is>
          <t>10.1016/j.engappai.2026.115051</t>
        </is>
      </c>
      <c r="I96" s="26" t="inlineStr">
        <is>
          <t>TA</t>
        </is>
      </c>
      <c r="J96" s="37" t="inlineStr">
        <is>
          <t>Exclude</t>
        </is>
      </c>
      <c r="K96" s="37" t="inlineStr">
        <is>
          <t>Wrong publication type</t>
        </is>
      </c>
      <c r="L96" s="28" t="inlineStr">
        <is>
          <t>Strong candidate: twin + supply chain + AI all in title/abstract</t>
        </is>
      </c>
      <c r="M96" s="37" t="inlineStr">
        <is>
          <t>"This systematic review, employing Preferred Reporting Items for Systematic Reviews and Meta-Analyses (PRISMA) 2020 methodology, synthesizes 161 studies" sobre IA, gemelos y blockchain en plantas nucleares. Valor para snowballing: bajo.</t>
        </is>
      </c>
      <c r="N96" s="69" t="inlineStr">
        <is>
          <t>E4</t>
        </is>
      </c>
      <c r="O96" s="69" t="n">
        <v>2</v>
      </c>
      <c r="P96" s="69" t="inlineStr">
        <is>
          <t>Exclude</t>
        </is>
      </c>
      <c r="Q96" s="69" t="inlineStr">
        <is>
          <t>E4</t>
        </is>
      </c>
      <c r="R96" s="69" t="inlineStr">
        <is>
          <t>"This systematic review, employing Preferred Reporting Items for Systematic Reviews and Meta-Analyses (PRISMA) 2020 methodology, synthesizes 161 studies" sobre IA, gemelos y blockchain en plantas nucleares. Valor para snowballing: bajo.</t>
        </is>
      </c>
      <c r="S96" s="69" t="n"/>
    </row>
    <row r="97" ht="23.25" customHeight="1" s="17">
      <c r="A97" s="26" t="inlineStr">
        <is>
          <t>R0096</t>
        </is>
      </c>
      <c r="B97" s="26" t="inlineStr">
        <is>
          <t>WoS</t>
        </is>
      </c>
      <c r="C97" s="26" t="inlineStr">
        <is>
          <t>Seuring, S; Neuberger, J; Qazi, SA; Schilling, L; Patrucco, AS</t>
        </is>
      </c>
      <c r="D97" s="26" t="n">
        <v>2026</v>
      </c>
      <c r="E97" s="27" t="inlineStr">
        <is>
          <t>Bridging digital and sustainable supply chains: insights from a podcast analysis</t>
        </is>
      </c>
      <c r="F97" s="26" t="inlineStr">
        <is>
          <t>INTERNATIONAL JOURNAL OF PHYSICAL DISTRIBUTION &amp; LOGISTICS MANAGEMENT</t>
        </is>
      </c>
      <c r="G97" s="26" t="inlineStr">
        <is>
          <t>Article; Early Access</t>
        </is>
      </c>
      <c r="H97" s="26" t="inlineStr">
        <is>
          <t>10.1108/ijpdlm-05-2025-0256</t>
        </is>
      </c>
      <c r="I97" s="26" t="inlineStr">
        <is>
          <t>TA</t>
        </is>
      </c>
      <c r="J97" s="37" t="inlineStr">
        <is>
          <t>Exclude</t>
        </is>
      </c>
      <c r="K97" s="37" t="inlineStr">
        <is>
          <t>No digital twin/model</t>
        </is>
      </c>
      <c r="L97" s="28" t="inlineStr">
        <is>
          <t>Strong candidate: twin + supply chain + AI all in title/abstract</t>
        </is>
      </c>
      <c r="M97" s="37" t="inlineStr">
        <is>
          <t>Análisis de contenido de un pódcast sobre tecnologías digitales para SSCM (aquí "DTs" son digital technologies); gemelo sólo en un hallazgo ("AI supports predictive analytics, digital twins and decision-making"), sin gemelo tratado.</t>
        </is>
      </c>
      <c r="N97" s="69" t="inlineStr">
        <is>
          <t>E1</t>
        </is>
      </c>
      <c r="O97" s="69" t="n">
        <v>2</v>
      </c>
      <c r="P97" s="69" t="inlineStr">
        <is>
          <t>Exclude</t>
        </is>
      </c>
      <c r="Q97" s="69" t="inlineStr">
        <is>
          <t>E1</t>
        </is>
      </c>
      <c r="R97" s="69" t="inlineStr">
        <is>
          <t>Análisis de contenido de un pódcast sobre tecnologías digitales para SSCM (aquí "DTs" son digital technologies); gemelo sólo en un hallazgo ("AI supports predictive analytics, digital twins and decision-making"), sin gemelo tratado.</t>
        </is>
      </c>
      <c r="S97" s="69" t="n"/>
    </row>
    <row r="98" ht="23.25" customHeight="1" s="17">
      <c r="A98" s="26" t="inlineStr">
        <is>
          <t>R0097</t>
        </is>
      </c>
      <c r="B98" s="26" t="inlineStr">
        <is>
          <t>Scopus</t>
        </is>
      </c>
      <c r="C98" s="26" t="inlineStr">
        <is>
          <t>Keshvarinia M.; MacKenzie C.A.; Zhao Z.</t>
        </is>
      </c>
      <c r="D98" s="26" t="n">
        <v>2025</v>
      </c>
      <c r="E98" s="27" t="inlineStr">
        <is>
          <t>A simulation-based digital twin model for data-driven decision optimization</t>
        </is>
      </c>
      <c r="F98" s="26" t="inlineStr">
        <is>
          <t>Decision Analytics Journal</t>
        </is>
      </c>
      <c r="G98" s="26" t="inlineStr">
        <is>
          <t>Article</t>
        </is>
      </c>
      <c r="H98" s="26" t="inlineStr">
        <is>
          <t>10.1016/j.dajour.2025.100646</t>
        </is>
      </c>
      <c r="I98" s="26" t="inlineStr">
        <is>
          <t>TA</t>
        </is>
      </c>
      <c r="J98" s="37" t="inlineStr">
        <is>
          <t>Include</t>
        </is>
      </c>
      <c r="K98" s="37" t="n"/>
      <c r="L98" s="28" t="inlineStr">
        <is>
          <t>Strong candidate: twin + supply chain + AI all in title/abstract</t>
        </is>
      </c>
      <c r="M98" s="37" t="inlineStr">
        <is>
          <t>[Make] Gemelo de simulación de manufactura (DES) con ML que "supports dynamic manufacturing decision making during a supply chain disruption by combining real-time data with predictive machine learning algorithms"; estrategias de mitigación con políticas de inventario y cantidad de reorden. Make.</t>
        </is>
      </c>
      <c r="N98" s="69" t="inlineStr">
        <is>
          <t>I</t>
        </is>
      </c>
      <c r="O98" s="69" t="n">
        <v>2</v>
      </c>
      <c r="P98" s="69" t="inlineStr">
        <is>
          <t>Include</t>
        </is>
      </c>
      <c r="Q98" s="69" t="inlineStr">
        <is>
          <t>I</t>
        </is>
      </c>
      <c r="R98" s="69" t="inlineStr">
        <is>
          <t>Gemelo de simulación de manufactura (DES) con ML que "supports dynamic manufacturing decision making during a supply chain disruption by combining real-time data with predictive machine learning algorithms"; estrategias de mitigación con políticas de inventario y cantidad de reorden. Make.</t>
        </is>
      </c>
      <c r="S98" s="69" t="inlineStr">
        <is>
          <t>Make</t>
        </is>
      </c>
    </row>
    <row r="99" ht="23.25" customHeight="1" s="17">
      <c r="A99" s="26" t="inlineStr">
        <is>
          <t>R0098</t>
        </is>
      </c>
      <c r="B99" s="26" t="inlineStr">
        <is>
          <t>Scopus</t>
        </is>
      </c>
      <c r="C99" s="26" t="inlineStr">
        <is>
          <t>Li R.; Wang Z.; Wang Y.; Zhang J.; Song S.; Fu J.</t>
        </is>
      </c>
      <c r="D99" s="26" t="n">
        <v>2025</v>
      </c>
      <c r="E99" s="27" t="inlineStr">
        <is>
          <t>Research on Optimization of Multi-load AGV Picking System Operation Process</t>
        </is>
      </c>
      <c r="F99" s="26" t="inlineStr">
        <is>
          <t>Proceedings of the 15th International Conference on Logistics and Systems Engineering</t>
        </is>
      </c>
      <c r="G99" s="26" t="inlineStr">
        <is>
          <t>Conference paper</t>
        </is>
      </c>
      <c r="H99" s="26" t="inlineStr">
        <is>
          <t>10.52202/083767-0001</t>
        </is>
      </c>
      <c r="I99" s="26" t="inlineStr">
        <is>
          <t>TA</t>
        </is>
      </c>
      <c r="J99" s="37" t="inlineStr">
        <is>
          <t>Exclude</t>
        </is>
      </c>
      <c r="K99" s="37" t="inlineStr">
        <is>
          <t>No digital twin/model</t>
        </is>
      </c>
      <c r="L99" s="28" t="inlineStr">
        <is>
          <t>Strong candidate: twin + supply chain + AI all in title/abstract</t>
        </is>
      </c>
      <c r="M99" s="37" t="inlineStr">
        <is>
          <t>MAPPO con currículo para AGV multicarga en almacén; gemelo sólo como trabajo futuro ("combining it with other advanced techniques like digital twin technology or machine learning models").</t>
        </is>
      </c>
      <c r="N99" s="69" t="inlineStr">
        <is>
          <t>E1</t>
        </is>
      </c>
      <c r="O99" s="69" t="n">
        <v>2</v>
      </c>
      <c r="P99" s="69" t="inlineStr">
        <is>
          <t>Exclude</t>
        </is>
      </c>
      <c r="Q99" s="69" t="inlineStr">
        <is>
          <t>E1</t>
        </is>
      </c>
      <c r="R99" s="69" t="inlineStr">
        <is>
          <t>MAPPO con currículo para AGV multicarga en almacén; gemelo sólo como trabajo futuro ("combining it with other advanced techniques like digital twin technology or machine learning models").</t>
        </is>
      </c>
      <c r="S99" s="69" t="n"/>
    </row>
    <row r="100" ht="23.25" customHeight="1" s="17">
      <c r="A100" s="26" t="inlineStr">
        <is>
          <t>R0099</t>
        </is>
      </c>
      <c r="B100" s="26" t="inlineStr">
        <is>
          <t>Scopus</t>
        </is>
      </c>
      <c r="C100" s="26" t="inlineStr">
        <is>
          <t>Oliinyk V.; Kononchuk R.; Kobelchuk O.; Tugay A.; Dubynka O.</t>
        </is>
      </c>
      <c r="D100" s="26" t="n">
        <v>2025</v>
      </c>
      <c r="E100" s="27" t="inlineStr">
        <is>
          <t>Optimising the construction process through digitalisation: Case studies of projects under unstable resource supply</t>
        </is>
      </c>
      <c r="F100" s="26" t="inlineStr">
        <is>
          <t>Architectural Studies</t>
        </is>
      </c>
      <c r="G100" s="26" t="inlineStr">
        <is>
          <t>Article</t>
        </is>
      </c>
      <c r="H100" s="26" t="inlineStr">
        <is>
          <t>10.56318/as/1.2025.92</t>
        </is>
      </c>
      <c r="I100" s="26" t="inlineStr">
        <is>
          <t>TA</t>
        </is>
      </c>
      <c r="J100" s="37" t="inlineStr">
        <is>
          <t>Exclude</t>
        </is>
      </c>
      <c r="K100" s="37" t="inlineStr">
        <is>
          <t>Wrong publication type</t>
        </is>
      </c>
      <c r="L100" s="28" t="inlineStr">
        <is>
          <t>Strong candidate: twin + supply chain + AI all in title/abstract</t>
        </is>
      </c>
      <c r="M100" s="37" t="inlineStr">
        <is>
          <t>Recodificado 2026-09-06 en la auditoría final (E2→E4): Análisis de tendencias con síntesis de casos (C3): "The research methodology included an analysis of current trends in the field of digital solutions" y "An analysis of real-world case studies was conducted"; dominio de construcción, gemelo sólo como una tecnología más ("digital twins in Singapore, which are used for the management of urban resources"). Valor para snowballing: bajo. | Nota original (E2): Panorama de digitalización en construcción con casos ("digital twins in Singapore, which are used for the management of urban resources"); el objeto es el proceso constructivo y la cadena aparece sólo como condición ("under conditions of unstable resource supply"), sin encuadre de cadena ni logística. Gemelo tratado sólo a nivel panorámico.</t>
        </is>
      </c>
      <c r="N100" s="69" t="inlineStr">
        <is>
          <t>E4</t>
        </is>
      </c>
      <c r="O100" s="69" t="n">
        <v>2</v>
      </c>
      <c r="P100" s="69" t="inlineStr">
        <is>
          <t>Exclude</t>
        </is>
      </c>
      <c r="Q100" s="69" t="inlineStr">
        <is>
          <t>E2</t>
        </is>
      </c>
      <c r="R100" s="69" t="inlineStr">
        <is>
          <t>Panorama de digitalización en construcción con casos ("digital twins in Singapore, which are used for the management of urban resources"); el objeto es el proceso constructivo y la cadena aparece sólo como condición ("under conditions of unstable resource supply"), sin encuadre de cadena ni logística. Gemelo tratado sólo a nivel panorámico.</t>
        </is>
      </c>
      <c r="S100" s="69" t="n"/>
    </row>
    <row r="101" ht="34.5" customHeight="1" s="17">
      <c r="A101" s="26" t="inlineStr">
        <is>
          <t>R0100</t>
        </is>
      </c>
      <c r="B101" s="26" t="inlineStr">
        <is>
          <t>Scopus</t>
        </is>
      </c>
      <c r="C101" s="26" t="inlineStr">
        <is>
          <t>Lu X.; Su Y.</t>
        </is>
      </c>
      <c r="D101" s="26" t="n">
        <v>2025</v>
      </c>
      <c r="E101" s="27" t="inlineStr">
        <is>
          <t>Research on Automatic Deployment and Intelligent Testing Framework of Autonomous Controllable Operating System for Power Energy System</t>
        </is>
      </c>
      <c r="F101" s="26" t="inlineStr">
        <is>
          <t>Proceedings - 2025 Asia Conference on Energy Conversion Systems and Power Electronics, AECSPE 2025</t>
        </is>
      </c>
      <c r="G101" s="26" t="inlineStr">
        <is>
          <t>Conference paper</t>
        </is>
      </c>
      <c r="H101" s="26" t="inlineStr">
        <is>
          <t>10.1109/aecspe66597.2025.00090</t>
        </is>
      </c>
      <c r="I101" s="26" t="inlineStr">
        <is>
          <t>TA</t>
        </is>
      </c>
      <c r="J101" s="37" t="inlineStr">
        <is>
          <t>Exclude</t>
        </is>
      </c>
      <c r="K101" s="37" t="inlineStr">
        <is>
          <t>No supply chain scope</t>
        </is>
      </c>
      <c r="L101" s="28" t="inlineStr">
        <is>
          <t>Strong candidate: twin + supply chain + AI all in title/abstract</t>
        </is>
      </c>
      <c r="M101" s="37" t="inlineStr">
        <is>
          <t>Gemelo de entorno de pruebas y RL (PPO) para el sistema operativo de sistemas eléctricos; "supply chain" sólo como riesgo de seguridad de dependencia tecnológica ("facing the security risks of supply chain"), sin encuadre de cadena ni logística.</t>
        </is>
      </c>
      <c r="N101" s="69" t="inlineStr">
        <is>
          <t>E2</t>
        </is>
      </c>
      <c r="O101" s="69" t="n">
        <v>2</v>
      </c>
      <c r="P101" s="69" t="inlineStr">
        <is>
          <t>Exclude</t>
        </is>
      </c>
      <c r="Q101" s="69" t="inlineStr">
        <is>
          <t>E2</t>
        </is>
      </c>
      <c r="R101" s="69" t="inlineStr">
        <is>
          <t>Gemelo de entorno de pruebas y RL (PPO) para el sistema operativo de sistemas eléctricos; "supply chain" sólo como riesgo de seguridad de dependencia tecnológica ("facing the security risks of supply chain"), sin encuadre de cadena ni logística.</t>
        </is>
      </c>
      <c r="S101" s="69" t="n"/>
    </row>
    <row r="102" ht="23.25" customHeight="1" s="17">
      <c r="A102" s="26" t="inlineStr">
        <is>
          <t>R0101</t>
        </is>
      </c>
      <c r="B102" s="26" t="inlineStr">
        <is>
          <t>Scopus</t>
        </is>
      </c>
      <c r="C102" s="26" t="inlineStr">
        <is>
          <t>Araya-Martinez J.M.; Kannanthodath Induchoodan A.M.; Kalpathy Sundaram S.K.; Görzig D.; Diemer J.; Lambrecht J.; Krüger J.</t>
        </is>
      </c>
      <c r="D102" s="26" t="n">
        <v>2025</v>
      </c>
      <c r="E102" s="27" t="inlineStr">
        <is>
          <t>Data-Sovereign Architecture for Quality-As-A-Service Across Industrial Supply Chain Partners</t>
        </is>
      </c>
      <c r="F102" s="26" t="inlineStr">
        <is>
          <t>Procedia CIRP</t>
        </is>
      </c>
      <c r="G102" s="26" t="inlineStr">
        <is>
          <t>Conference paper</t>
        </is>
      </c>
      <c r="H102" s="26" t="inlineStr">
        <is>
          <t>10.1016/j.procir.2025.08.140</t>
        </is>
      </c>
      <c r="I102" s="26" t="inlineStr">
        <is>
          <t>TA</t>
        </is>
      </c>
      <c r="J102" s="37" t="inlineStr">
        <is>
          <t>Exclude</t>
        </is>
      </c>
      <c r="K102" s="37" t="inlineStr">
        <is>
          <t>No digital twin/model</t>
        </is>
      </c>
      <c r="L102" s="28" t="inlineStr">
        <is>
          <t>Strong candidate: twin + supply chain + AI all in title/abstract</t>
        </is>
      </c>
      <c r="M102" s="37" t="inlineStr">
        <is>
          <t>Arquitectura QaaS con aprendizaje profundo (sim-to-real) para calidad "in industrial supply chains"; el gemelo es sólo un estándar de datos de producto, no un modelo de operaciones: "standardized according to Industrial Digital Twin Association (IDTA) submodels and securely stored within an Asset Administration Shell (AAS)". Depende de la regla C6 (gemelo de operaciones); confirmar.</t>
        </is>
      </c>
      <c r="N102" s="69" t="inlineStr">
        <is>
          <t>E1</t>
        </is>
      </c>
      <c r="O102" s="69" t="n">
        <v>3</v>
      </c>
      <c r="P102" s="69" t="inlineStr">
        <is>
          <t>Exclude</t>
        </is>
      </c>
      <c r="Q102" s="69" t="inlineStr">
        <is>
          <t>E1</t>
        </is>
      </c>
      <c r="R102" s="69" t="inlineStr">
        <is>
          <t>Arquitectura QaaS con aprendizaje profundo (sim-to-real) para calidad "in industrial supply chains"; el gemelo es sólo un estándar de datos de producto, no un modelo de operaciones: "standardized according to Industrial Digital Twin Association (IDTA) submodels and securely stored within an Asset Administration Shell (AAS)". Depende de la regla C6 (gemelo de operaciones); confirmar.</t>
        </is>
      </c>
      <c r="S102" s="69" t="n"/>
    </row>
    <row r="103" ht="23.25" customHeight="1" s="17">
      <c r="A103" s="26" t="inlineStr">
        <is>
          <t>R0102</t>
        </is>
      </c>
      <c r="B103" s="26" t="inlineStr">
        <is>
          <t>Scopus + WoS</t>
        </is>
      </c>
      <c r="C103" s="26" t="inlineStr">
        <is>
          <t>Sun Y.; Ban R.; Zhong Z.; Nan Z.; Chen X.; Guo H.; Wang J.</t>
        </is>
      </c>
      <c r="D103" s="26" t="n">
        <v>2025</v>
      </c>
      <c r="E103" s="27" t="inlineStr">
        <is>
          <t>Demo: Immersive Digital Twin Networks for Industrial Internet of Things</t>
        </is>
      </c>
      <c r="F103" s="26" t="inlineStr">
        <is>
          <t>ACM MobiCom 2025 - Proceedings of the 2025 the 31st Annual International Conference on Mobile Computing and Networking</t>
        </is>
      </c>
      <c r="G103" s="26" t="inlineStr">
        <is>
          <t>Conference paper</t>
        </is>
      </c>
      <c r="H103" s="26" t="inlineStr">
        <is>
          <t>10.1145/3680207.3765584</t>
        </is>
      </c>
      <c r="I103" s="26" t="inlineStr">
        <is>
          <t>TA</t>
        </is>
      </c>
      <c r="J103" s="37" t="inlineStr">
        <is>
          <t>Exclude</t>
        </is>
      </c>
      <c r="K103" s="37" t="inlineStr">
        <is>
          <t>No digital twin/model</t>
        </is>
      </c>
      <c r="L103" s="28" t="inlineStr">
        <is>
          <t>Strong candidate: twin + supply chain + AI all in title/abstract</t>
        </is>
      </c>
      <c r="M103" s="37" t="inlineStr">
        <is>
          <t>Gemelo de propagación radio (Digital Twin Networks) para "path loss prediction", no de operaciones: "the 3D scenes reflecting varying stacking rates are generated for Ray Tracing (RT)-based channel modeling"; la logística sólo como escenario físico. Aplica la definición del Codebook (gemelo de operaciones); mismo criterio que habría que aplicar a R0030.</t>
        </is>
      </c>
      <c r="N103" s="69" t="inlineStr">
        <is>
          <t>E1</t>
        </is>
      </c>
      <c r="O103" s="69" t="n">
        <v>3</v>
      </c>
      <c r="P103" s="69" t="inlineStr">
        <is>
          <t>Exclude</t>
        </is>
      </c>
      <c r="Q103" s="69" t="inlineStr">
        <is>
          <t>E1</t>
        </is>
      </c>
      <c r="R103" s="69" t="inlineStr">
        <is>
          <t>Gemelo de propagación radio (Digital Twin Networks) para "path loss prediction", no de operaciones: "the 3D scenes reflecting varying stacking rates are generated for Ray Tracing (RT)-based channel modeling"; la logística sólo como escenario físico. Aplica la definición del Codebook (gemelo de operaciones); mismo criterio que habría que aplicar a R0030.</t>
        </is>
      </c>
      <c r="S103" s="69" t="n"/>
    </row>
    <row r="104" ht="23.25" customHeight="1" s="17">
      <c r="A104" s="26" t="inlineStr">
        <is>
          <t>R0103</t>
        </is>
      </c>
      <c r="B104" s="26" t="inlineStr">
        <is>
          <t>Scopus + WoS</t>
        </is>
      </c>
      <c r="C104" s="26" t="inlineStr">
        <is>
          <t>Raman R.; Gunasekaran A.; Mandal S.</t>
        </is>
      </c>
      <c r="D104" s="26" t="n">
        <v>2025</v>
      </c>
      <c r="E104" s="27" t="inlineStr">
        <is>
          <t>Advancing net-zero supply chain management: a machine learning driven review aligned with the sustainable development goals</t>
        </is>
      </c>
      <c r="F104" s="26" t="inlineStr">
        <is>
          <t>International Journal of Logistics Research and Applications</t>
        </is>
      </c>
      <c r="G104" s="26" t="inlineStr">
        <is>
          <t>Article</t>
        </is>
      </c>
      <c r="H104" s="26" t="inlineStr">
        <is>
          <t>10.1080/13675567.2025.2552754</t>
        </is>
      </c>
      <c r="I104" s="26" t="inlineStr">
        <is>
          <t>TA</t>
        </is>
      </c>
      <c r="J104" s="37" t="inlineStr">
        <is>
          <t>Exclude</t>
        </is>
      </c>
      <c r="K104" s="37" t="inlineStr">
        <is>
          <t>Wrong publication type</t>
        </is>
      </c>
      <c r="L104" s="28" t="inlineStr">
        <is>
          <t>Strong candidate: twin + supply chain + AI all in title/abstract</t>
        </is>
      </c>
      <c r="M104" s="37" t="inlineStr">
        <is>
          <t>Revisión con modelado de tópicos ("This study uses the TCCM framework and BERTopic modelling to map its theoretical, contextual, and methodological evolution") sobre cadenas net-zero; gemelo sólo como investigación futura. Valor para snowballing: bajo.</t>
        </is>
      </c>
      <c r="N104" s="69" t="inlineStr">
        <is>
          <t>E4</t>
        </is>
      </c>
      <c r="O104" s="69" t="n">
        <v>3</v>
      </c>
      <c r="P104" s="69" t="inlineStr">
        <is>
          <t>Exclude</t>
        </is>
      </c>
      <c r="Q104" s="69" t="inlineStr">
        <is>
          <t>E4</t>
        </is>
      </c>
      <c r="R104" s="69" t="inlineStr">
        <is>
          <t>Revisión con modelado de tópicos ("This study uses the TCCM framework and BERTopic modelling to map its theoretical, contextual, and methodological evolution") sobre cadenas net-zero; gemelo sólo como investigación futura. Valor para snowballing: bajo.</t>
        </is>
      </c>
      <c r="S104" s="69" t="n"/>
    </row>
    <row r="105" ht="23.25" customHeight="1" s="17">
      <c r="A105" s="26" t="inlineStr">
        <is>
          <t>R0104</t>
        </is>
      </c>
      <c r="B105" s="26" t="inlineStr">
        <is>
          <t>Scopus + WoS</t>
        </is>
      </c>
      <c r="C105" s="26" t="inlineStr">
        <is>
          <t>Vaidya S.; Jethava G.</t>
        </is>
      </c>
      <c r="D105" s="26" t="n">
        <v>2025</v>
      </c>
      <c r="E105" s="27" t="inlineStr">
        <is>
          <t>Elevating manufacturing excellence with multilevel optimization in smart factory cloud computing using hybrid model</t>
        </is>
      </c>
      <c r="F105" s="26" t="inlineStr">
        <is>
          <t>Cluster Computing</t>
        </is>
      </c>
      <c r="G105" s="26" t="inlineStr">
        <is>
          <t>Article</t>
        </is>
      </c>
      <c r="H105" s="26" t="inlineStr">
        <is>
          <t>10.1007/s10586-024-05074-2</t>
        </is>
      </c>
      <c r="I105" s="26" t="inlineStr">
        <is>
          <t>TA</t>
        </is>
      </c>
      <c r="J105" s="37" t="inlineStr">
        <is>
          <t>Exclude</t>
        </is>
      </c>
      <c r="K105" s="37" t="inlineStr">
        <is>
          <t>No digital twin/model</t>
        </is>
      </c>
      <c r="L105" s="28" t="inlineStr">
        <is>
          <t>Strong candidate: twin + supply chain + AI all in title/abstract</t>
        </is>
      </c>
      <c r="M105" s="37" t="inlineStr">
        <is>
          <t>Arquitectura nube-borde con programación PSO-GA de tareas; el gemelo sólo como afirmación de integración sin desarrollo ("integrates AI-driven optimization, IoT, and digital twins to enhance real-time decision-making"); también E2 (cadena sólo en "for machines and supply chain processes").</t>
        </is>
      </c>
      <c r="N105" s="69" t="inlineStr">
        <is>
          <t>E1</t>
        </is>
      </c>
      <c r="O105" s="69" t="n">
        <v>3</v>
      </c>
      <c r="P105" s="69" t="inlineStr">
        <is>
          <t>Exclude</t>
        </is>
      </c>
      <c r="Q105" s="69" t="inlineStr">
        <is>
          <t>E1</t>
        </is>
      </c>
      <c r="R105" s="69" t="inlineStr">
        <is>
          <t>Arquitectura nube-borde con programación PSO-GA de tareas; el gemelo sólo como afirmación de integración sin desarrollo ("integrates AI-driven optimization, IoT, and digital twins to enhance real-time decision-making"); también E2 (cadena sólo en "for machines and supply chain processes").</t>
        </is>
      </c>
      <c r="S105" s="69" t="n"/>
    </row>
    <row r="106" ht="23.25" customHeight="1" s="17">
      <c r="A106" s="26" t="inlineStr">
        <is>
          <t>R0105</t>
        </is>
      </c>
      <c r="B106" s="26" t="inlineStr">
        <is>
          <t>Scopus</t>
        </is>
      </c>
      <c r="C106" s="26" t="inlineStr">
        <is>
          <t>Rizkia I.; Yulianto H.D.</t>
        </is>
      </c>
      <c r="D106" s="26" t="n">
        <v>2025</v>
      </c>
      <c r="E106" s="27" t="inlineStr">
        <is>
          <t>Smart Supply Chain Management with Artificial Intelligence: Toward Resilient and Sustainable Industrial Automation in Industry 4.0</t>
        </is>
      </c>
      <c r="F106" s="26" t="inlineStr">
        <is>
          <t>2025 International Conference on ICT for Smart Society, ICISS 2025</t>
        </is>
      </c>
      <c r="G106" s="26" t="inlineStr">
        <is>
          <t>Conference paper</t>
        </is>
      </c>
      <c r="H106" s="26" t="inlineStr">
        <is>
          <t>10.1109/iciss66954.2025.11389384</t>
        </is>
      </c>
      <c r="I106" s="26" t="inlineStr">
        <is>
          <t>TA</t>
        </is>
      </c>
      <c r="J106" s="37" t="inlineStr">
        <is>
          <t>Include</t>
        </is>
      </c>
      <c r="K106" s="37" t="n"/>
      <c r="L106" s="28" t="inlineStr">
        <is>
          <t>Strong candidate: twin + supply chain + AI all in title/abstract</t>
        </is>
      </c>
      <c r="M106" s="37" t="inlineStr">
        <is>
          <t>DSS habilitado por IA para resiliencia de cadena (DSRM): "we present a system composed of predictive analytics, real-time optimization, and digital twin simulation modules"; caso simulado en FMCG de Indonesia.</t>
        </is>
      </c>
      <c r="N106" s="69" t="inlineStr">
        <is>
          <t>I</t>
        </is>
      </c>
      <c r="O106" s="69" t="n">
        <v>3</v>
      </c>
      <c r="P106" s="69" t="inlineStr">
        <is>
          <t>Include</t>
        </is>
      </c>
      <c r="Q106" s="69" t="inlineStr">
        <is>
          <t>I</t>
        </is>
      </c>
      <c r="R106" s="69" t="inlineStr">
        <is>
          <t>DSS habilitado por IA para resiliencia de cadena (DSRM): "we present a system composed of predictive analytics, real-time optimization, and digital twin simulation modules"; caso simulado en FMCG de Indonesia.</t>
        </is>
      </c>
      <c r="S106" s="69" t="n"/>
    </row>
    <row r="107" ht="23.25" customHeight="1" s="17">
      <c r="A107" s="26" t="inlineStr">
        <is>
          <t>R0106</t>
        </is>
      </c>
      <c r="B107" s="26" t="inlineStr">
        <is>
          <t>Scopus</t>
        </is>
      </c>
      <c r="C107" s="26" t="inlineStr">
        <is>
          <t>Huddar V.; Jaiswal R.; Kachave P.S.; Al Said N.; Annavarapu B.J.; Parida P.K.</t>
        </is>
      </c>
      <c r="D107" s="26" t="n">
        <v>2025</v>
      </c>
      <c r="E107" s="27" t="inlineStr">
        <is>
          <t>IoT Data Analytics Driving Digital Twin Systems for Sustainable Operations Management</t>
        </is>
      </c>
      <c r="F107" s="26" t="inlineStr">
        <is>
          <t>Proceedings of 2025 10th International Conference on Science Technology, Engineering and Mathematics, ICONSTEM 2025</t>
        </is>
      </c>
      <c r="G107" s="26" t="inlineStr">
        <is>
          <t>Conference paper</t>
        </is>
      </c>
      <c r="H107" s="26" t="inlineStr">
        <is>
          <t>10.1109/iconstem65670.2025.11374358</t>
        </is>
      </c>
      <c r="I107" s="26" t="inlineStr">
        <is>
          <t>TA</t>
        </is>
      </c>
      <c r="J107" s="37" t="inlineStr">
        <is>
          <t>Exclude</t>
        </is>
      </c>
      <c r="K107" s="37" t="inlineStr">
        <is>
          <t>No supply chain scope</t>
        </is>
      </c>
      <c r="L107" s="28" t="inlineStr">
        <is>
          <t>Strong candidate: twin + supply chain + AI all in title/abstract</t>
        </is>
      </c>
      <c r="M107" s="37" t="inlineStr">
        <is>
          <t>Panorama de gemelos en gestión de operaciones; la logística y la cadena sólo como elementos de lista ("case studies from the industrial, logistics, and smart city industries are examined", "supply chain transparency"); también E3 (IA sólo como ingrediente genérico: "fusing data analytics, artificial intelligence, and Internet of Things (IoT) sensors").</t>
        </is>
      </c>
      <c r="N107" s="69" t="inlineStr">
        <is>
          <t>E2</t>
        </is>
      </c>
      <c r="O107" s="69" t="n">
        <v>3</v>
      </c>
      <c r="P107" s="69" t="inlineStr">
        <is>
          <t>Exclude</t>
        </is>
      </c>
      <c r="Q107" s="69" t="inlineStr">
        <is>
          <t>E2</t>
        </is>
      </c>
      <c r="R107" s="69" t="inlineStr">
        <is>
          <t>Panorama de gemelos en gestión de operaciones; la logística y la cadena sólo como elementos de lista ("case studies from the industrial, logistics, and smart city industries are examined", "supply chain transparency"); también E3 (IA sólo como ingrediente genérico: "fusing data analytics, artificial intelligence, and Internet of Things (IoT) sensors").</t>
        </is>
      </c>
      <c r="S107" s="69" t="n"/>
    </row>
    <row r="108" ht="23.25" customHeight="1" s="17">
      <c r="A108" s="26" t="inlineStr">
        <is>
          <t>R0107</t>
        </is>
      </c>
      <c r="B108" s="26" t="inlineStr">
        <is>
          <t>Scopus</t>
        </is>
      </c>
      <c r="C108" s="26" t="inlineStr">
        <is>
          <t>Jacha H.R.B.; Acuña E.H.A.; Acosta A.K.N.; Becerra Felipe J.L.; Rivas J.R.R.; Carrizales Navarro J.A.</t>
        </is>
      </c>
      <c r="D108" s="26" t="n">
        <v>2025</v>
      </c>
      <c r="E108" s="27" t="inlineStr">
        <is>
          <t>Digital Twin-Enabled IoT Architecture for Early Fault Detection and Integrated Forklift Monitoring Using an ESP32 Platform</t>
        </is>
      </c>
      <c r="F108" s="26" t="inlineStr">
        <is>
          <t>Proceedings of the 2025 IEEE 32nd International Conference on Electronics, Electrical Engineering and Computing, INTERCON 2025</t>
        </is>
      </c>
      <c r="G108" s="26" t="inlineStr">
        <is>
          <t>Conference paper</t>
        </is>
      </c>
      <c r="H108" s="26" t="inlineStr">
        <is>
          <t>10.1109/intercon67304.2025.11244693</t>
        </is>
      </c>
      <c r="I108" s="26" t="inlineStr">
        <is>
          <t>TA</t>
        </is>
      </c>
      <c r="J108" s="37" t="inlineStr">
        <is>
          <t>Include</t>
        </is>
      </c>
      <c r="K108" s="37" t="n"/>
      <c r="L108" s="28" t="inlineStr">
        <is>
          <t>Strong candidate: twin + supply chain + AI all in title/abstract</t>
        </is>
      </c>
      <c r="M108" s="37" t="inlineStr">
        <is>
          <t>Gemelo de bajo costo de montacargas para "fleet management in heavy equipment rental companies" y "demanding logistics contexts"; la IA sólo propuesta: "integration with machine learning algorithms is proposed for failure prediction". Regla de sensibilidad; gemelo a nivel de activo. | Auditoría final 2026-09-06: se mantiene I; gemelo implementado ("implementation of a low-cost Digital Twin using an ESP32 microcontroller") en contexto logístico ("fleet management in heavy equipment rental companies"), con el ML como componente propuesto de la arquitectura ("integration with machine learning algorithms is proposed for failure prediction"); se mantiene bajo la tercera precisión de C8 (el Codebook registra que R0107 se sostiene); el texto completo decide si el ML se implementa.</t>
        </is>
      </c>
      <c r="N108" s="69" t="inlineStr">
        <is>
          <t>I</t>
        </is>
      </c>
      <c r="O108" s="69" t="n">
        <v>3</v>
      </c>
      <c r="P108" s="69" t="inlineStr">
        <is>
          <t>Include</t>
        </is>
      </c>
      <c r="Q108" s="69" t="inlineStr">
        <is>
          <t>I</t>
        </is>
      </c>
      <c r="R108" s="69" t="inlineStr">
        <is>
          <t>Gemelo de bajo costo de montacargas para "fleet management in heavy equipment rental companies" y "demanding logistics contexts"; la IA sólo propuesta: "integration with machine learning algorithms is proposed for failure prediction". Regla de sensibilidad; gemelo a nivel de activo.</t>
        </is>
      </c>
      <c r="S108" s="69" t="n"/>
    </row>
    <row r="109" ht="23.25" customHeight="1" s="17">
      <c r="A109" s="26" t="inlineStr">
        <is>
          <t>R0108</t>
        </is>
      </c>
      <c r="B109" s="26" t="inlineStr">
        <is>
          <t>Scopus</t>
        </is>
      </c>
      <c r="C109" s="26" t="inlineStr">
        <is>
          <t>Rathnavel P.</t>
        </is>
      </c>
      <c r="D109" s="26" t="n">
        <v>2025</v>
      </c>
      <c r="E109" s="27" t="inlineStr">
        <is>
          <t>Symbiotic Artificial Intelligence Twin Framework for Circular Manufacturing: A Sustainability-Led Industry 5.0 Framework</t>
        </is>
      </c>
      <c r="F109" s="26" t="inlineStr">
        <is>
          <t>2025 IEEE 7th International Conference on Computing, Communication and Automation, ICCCA 2025</t>
        </is>
      </c>
      <c r="G109" s="26" t="inlineStr">
        <is>
          <t>Conference paper</t>
        </is>
      </c>
      <c r="H109" s="26" t="inlineStr">
        <is>
          <t>10.1109/iccca66364.2025.11325651</t>
        </is>
      </c>
      <c r="I109" s="26" t="inlineStr">
        <is>
          <t>TA</t>
        </is>
      </c>
      <c r="J109" s="37" t="inlineStr">
        <is>
          <t>Include</t>
        </is>
      </c>
      <c r="K109" s="37" t="n"/>
      <c r="L109" s="28" t="inlineStr">
        <is>
          <t>Strong candidate: twin + supply chain + AI all in title/abstract</t>
        </is>
      </c>
      <c r="M109" s="37" t="inlineStr">
        <is>
          <t>[Make] Marco SATF: "combines one or more cognitive digital twins for the real-time mirroring of systems with edge artificial intelligence (AI) employing federated learning for distributed decision-making, while involving a human-in-the-loop (HITL)"; encuadre de cadena en el propio marco ("bio-inspired optimization methods in combination with supply chain mapping"). Make; relevante para HITL.</t>
        </is>
      </c>
      <c r="N109" s="69" t="inlineStr">
        <is>
          <t>I</t>
        </is>
      </c>
      <c r="O109" s="69" t="n">
        <v>3</v>
      </c>
      <c r="P109" s="69" t="inlineStr">
        <is>
          <t>Include</t>
        </is>
      </c>
      <c r="Q109" s="69" t="inlineStr">
        <is>
          <t>I</t>
        </is>
      </c>
      <c r="R109" s="69" t="inlineStr">
        <is>
          <t>Marco SATF: "combines one or more cognitive digital twins for the real-time mirroring of systems with edge artificial intelligence (AI) employing federated learning for distributed decision-making, while involving a human-in-the-loop (HITL)"; encuadre de cadena en el propio marco ("bio-inspired optimization methods in combination with supply chain mapping"). Make; relevante para HITL.</t>
        </is>
      </c>
      <c r="S109" s="69" t="inlineStr">
        <is>
          <t>Make</t>
        </is>
      </c>
    </row>
    <row r="110" ht="34.5" customHeight="1" s="17">
      <c r="A110" s="26" t="inlineStr">
        <is>
          <t>R0109</t>
        </is>
      </c>
      <c r="B110" s="26" t="inlineStr">
        <is>
          <t>Scopus</t>
        </is>
      </c>
      <c r="C110" s="26" t="inlineStr">
        <is>
          <t>Abed A.M.; Gaafar T.S.</t>
        </is>
      </c>
      <c r="D110" s="26" t="n">
        <v>2025</v>
      </c>
      <c r="E110" s="27" t="inlineStr">
        <is>
          <t>Hybridize Machine Learning Methods and Optimization Techniques to Analyze and Repair Welding Defects via Digital Twin of Jidoka Simulator</t>
        </is>
      </c>
      <c r="F110" s="26" t="inlineStr">
        <is>
          <t>IEEE Access</t>
        </is>
      </c>
      <c r="G110" s="26" t="inlineStr">
        <is>
          <t>Article</t>
        </is>
      </c>
      <c r="H110" s="26" t="inlineStr">
        <is>
          <t>10.1109/access.2025.3533377</t>
        </is>
      </c>
      <c r="I110" s="26" t="inlineStr">
        <is>
          <t>TA</t>
        </is>
      </c>
      <c r="J110" s="37" t="inlineStr">
        <is>
          <t>Exclude</t>
        </is>
      </c>
      <c r="K110" s="37" t="inlineStr">
        <is>
          <t>No supply chain scope</t>
        </is>
      </c>
      <c r="L110" s="28" t="inlineStr">
        <is>
          <t>Strong candidate: twin + supply chain + AI all in title/abstract</t>
        </is>
      </c>
      <c r="M110" s="37" t="inlineStr">
        <is>
          <t>Gemelo Jidoka con ML (RRF, CatBAS) para defectos de soldadura en tuberías de refrigeración: el gemelo es de un proceso de control de calidad, no de una operación logística; la logística aparece como contexto y métrica de resultado ("The SQ(R/I/E) increased parcel rescues by 38.2%"), y la única palabra clave afín es "Logistic regression methods". Límite; depende de C6.</t>
        </is>
      </c>
      <c r="N110" s="69" t="inlineStr">
        <is>
          <t>E2</t>
        </is>
      </c>
      <c r="O110" s="69" t="n">
        <v>3</v>
      </c>
      <c r="P110" s="69" t="inlineStr">
        <is>
          <t>Exclude</t>
        </is>
      </c>
      <c r="Q110" s="69" t="inlineStr">
        <is>
          <t>E2</t>
        </is>
      </c>
      <c r="R110" s="69" t="inlineStr">
        <is>
          <t>Gemelo Jidoka con ML (RRF, CatBAS) para defectos de soldadura en tuberías de refrigeración: el gemelo es de un proceso de control de calidad, no de una operación logística; la logística aparece como contexto y métrica de resultado ("The SQ(R/I/E) increased parcel rescues by 38.2%"), y la única palabra clave afín es "Logistic regression methods". Límite; depende de C6.</t>
        </is>
      </c>
      <c r="S110" s="69" t="n"/>
    </row>
    <row r="111" ht="23.25" customHeight="1" s="17">
      <c r="A111" s="26" t="inlineStr">
        <is>
          <t>R0110</t>
        </is>
      </c>
      <c r="B111" s="26" t="inlineStr">
        <is>
          <t>Scopus</t>
        </is>
      </c>
      <c r="C111" s="26" t="inlineStr">
        <is>
          <t>Pandey R.; Billore M.; Rao A.K.; Bhandari A.; Yadav A.K.; Kushwaha R.; Shrivastava A.</t>
        </is>
      </c>
      <c r="D111" s="26" t="n">
        <v>2025</v>
      </c>
      <c r="E111" s="27" t="inlineStr">
        <is>
          <t>A systematic review of industry 4.0 technologies in the production and manufacturing sector</t>
        </is>
      </c>
      <c r="F111" s="26" t="inlineStr">
        <is>
          <t>Materials Research Proceedings</t>
        </is>
      </c>
      <c r="G111" s="26" t="inlineStr">
        <is>
          <t>Conference paper</t>
        </is>
      </c>
      <c r="H111" s="26" t="inlineStr">
        <is>
          <t>10.21741/9781644903438-20</t>
        </is>
      </c>
      <c r="I111" s="26" t="inlineStr">
        <is>
          <t>TA</t>
        </is>
      </c>
      <c r="J111" s="37" t="inlineStr">
        <is>
          <t>Exclude</t>
        </is>
      </c>
      <c r="K111" s="37" t="inlineStr">
        <is>
          <t>Wrong publication type</t>
        </is>
      </c>
      <c r="L111" s="28" t="inlineStr">
        <is>
          <t>Strong candidate: twin + supply chain + AI all in title/abstract</t>
        </is>
      </c>
      <c r="M111" s="37" t="inlineStr">
        <is>
          <t>"The objectives of this study are to review the corpus of literature on Industry 4.0"; gemelos y cadenas sólo en listas. Valor para snowballing: bajo.</t>
        </is>
      </c>
      <c r="N111" s="69" t="inlineStr">
        <is>
          <t>E4</t>
        </is>
      </c>
      <c r="O111" s="69" t="n">
        <v>3</v>
      </c>
      <c r="P111" s="69" t="inlineStr">
        <is>
          <t>Exclude</t>
        </is>
      </c>
      <c r="Q111" s="69" t="inlineStr">
        <is>
          <t>E4</t>
        </is>
      </c>
      <c r="R111" s="69" t="inlineStr">
        <is>
          <t>"The objectives of this study are to review the corpus of literature on Industry 4.0"; gemelos y cadenas sólo en listas. Valor para snowballing: bajo.</t>
        </is>
      </c>
      <c r="S111" s="69" t="n"/>
    </row>
    <row r="112" ht="23.25" customHeight="1" s="17">
      <c r="A112" s="26" t="inlineStr">
        <is>
          <t>R0111</t>
        </is>
      </c>
      <c r="B112" s="26" t="inlineStr">
        <is>
          <t>Scopus</t>
        </is>
      </c>
      <c r="C112" s="26" t="inlineStr">
        <is>
          <t>He J.</t>
        </is>
      </c>
      <c r="D112" s="26" t="n">
        <v>2025</v>
      </c>
      <c r="E112" s="27" t="inlineStr">
        <is>
          <t>Real-Time Assessment and Dynamic Optimization Model for Supply Chain Resilience Based on Digital Twins</t>
        </is>
      </c>
      <c r="F112" s="26" t="inlineStr">
        <is>
          <t>Proceedings - 2025 3rd International Conference on Logistics Engineering, Supply Chain and Digital Transformation, LESCDT 2025</t>
        </is>
      </c>
      <c r="G112" s="26" t="inlineStr">
        <is>
          <t>Conference paper</t>
        </is>
      </c>
      <c r="H112" s="26" t="inlineStr">
        <is>
          <t>10.1109/lescdt66758.2025.00025</t>
        </is>
      </c>
      <c r="I112" s="26" t="inlineStr">
        <is>
          <t>TA</t>
        </is>
      </c>
      <c r="J112" s="37" t="inlineStr">
        <is>
          <t>Exclude</t>
        </is>
      </c>
      <c r="K112" s="37" t="inlineStr">
        <is>
          <t>No AI/ML component</t>
        </is>
      </c>
      <c r="L112" s="28" t="inlineStr">
        <is>
          <t>Strong candidate: twin + supply chain + AI all in title/abstract</t>
        </is>
      </c>
      <c r="M112" s="37" t="inlineStr">
        <is>
          <t>[Antecedente C8: alto] Gemelo de cadena para evaluación de resiliencia con optimización multiobjetivo ("a multi-objective optimization model integrates resilience enhancement goals with engineering constraints"); la IA sólo en antecedentes ("The continuous evolution of artificial intelligence, intelligent algorithms, and data-driven modeling technologies provides crucial technical support"), sin método de IA declarado. Límite: candidato si quieres más sensibilidad.</t>
        </is>
      </c>
      <c r="N112" s="69" t="inlineStr">
        <is>
          <t>E3</t>
        </is>
      </c>
      <c r="O112" s="69" t="n">
        <v>3</v>
      </c>
      <c r="P112" s="69" t="inlineStr">
        <is>
          <t>Exclude</t>
        </is>
      </c>
      <c r="Q112" s="69" t="inlineStr">
        <is>
          <t>E3</t>
        </is>
      </c>
      <c r="R112" s="69" t="inlineStr">
        <is>
          <t>Gemelo de cadena para evaluación de resiliencia con optimización multiobjetivo ("a multi-objective optimization model integrates resilience enhancement goals with engineering constraints"); la IA sólo en antecedentes ("The continuous evolution of artificial intelligence, intelligent algorithms, and data-driven modeling technologies provides crucial technical support"), sin método de IA declarado. Límite: candidato si quieres más sensibilidad.</t>
        </is>
      </c>
      <c r="S112" s="69" t="n"/>
    </row>
    <row r="113" ht="23.25" customHeight="1" s="17">
      <c r="A113" s="26" t="inlineStr">
        <is>
          <t>R0112</t>
        </is>
      </c>
      <c r="B113" s="26" t="inlineStr">
        <is>
          <t>Scopus</t>
        </is>
      </c>
      <c r="C113" s="26" t="inlineStr">
        <is>
          <t>Nsunba P.; Isingizwe Nturambirwe J.F.; Nyirenda C.N.</t>
        </is>
      </c>
      <c r="D113" s="26" t="n">
        <v>2025</v>
      </c>
      <c r="E113" s="27" t="inlineStr">
        <is>
          <t>Streamlining Real-Time Sensor Data Collection and Querying Processes From Environmental Parameters in a Food Cold Store</t>
        </is>
      </c>
      <c r="F113" s="26" t="inlineStr">
        <is>
          <t>IST-Africa</t>
        </is>
      </c>
      <c r="G113" s="26" t="inlineStr">
        <is>
          <t>Conference paper</t>
        </is>
      </c>
      <c r="H113" s="26" t="inlineStr">
        <is>
          <t>10.23919/ist-africa67297.2025.11060485</t>
        </is>
      </c>
      <c r="I113" s="26" t="inlineStr">
        <is>
          <t>TA</t>
        </is>
      </c>
      <c r="J113" s="37" t="inlineStr">
        <is>
          <t>Exclude</t>
        </is>
      </c>
      <c r="K113" s="37" t="inlineStr">
        <is>
          <t>No AI/ML component</t>
        </is>
      </c>
      <c r="L113" s="28" t="inlineStr">
        <is>
          <t>Strong candidate: twin + supply chain + AI all in title/abstract</t>
        </is>
      </c>
      <c r="M113" s="37" t="inlineStr">
        <is>
          <t>[Antecedente C8: alto] Gemelo (Actor Model) de sensores de cámara fría en "Cold Chain Logistics"; el ML sólo como extensión futura: "with potential extensions to refrigerated transportation, predictive analysis and machine learning applications".</t>
        </is>
      </c>
      <c r="N113" s="69" t="inlineStr">
        <is>
          <t>E3</t>
        </is>
      </c>
      <c r="O113" s="69" t="n">
        <v>3</v>
      </c>
      <c r="P113" s="69" t="inlineStr">
        <is>
          <t>Exclude</t>
        </is>
      </c>
      <c r="Q113" s="69" t="inlineStr">
        <is>
          <t>E3</t>
        </is>
      </c>
      <c r="R113" s="69" t="inlineStr">
        <is>
          <t>Gemelo (Actor Model) de sensores de cámara fría en "Cold Chain Logistics"; el ML sólo como extensión futura: "with potential extensions to refrigerated transportation, predictive analysis and machine learning applications".</t>
        </is>
      </c>
      <c r="S113" s="69" t="n"/>
    </row>
    <row r="114" ht="23.25" customHeight="1" s="17">
      <c r="A114" s="26" t="inlineStr">
        <is>
          <t>R0113</t>
        </is>
      </c>
      <c r="B114" s="26" t="inlineStr">
        <is>
          <t>Scopus + WoS</t>
        </is>
      </c>
      <c r="C114" s="26" t="inlineStr">
        <is>
          <t>Fatorachian H.; Kazemi H.; Pawar K.</t>
        </is>
      </c>
      <c r="D114" s="26" t="n">
        <v>2025</v>
      </c>
      <c r="E114" s="27" t="inlineStr">
        <is>
          <t>Enhancing Smart City Logistics Through IoT-Enabled Predictive Analytics: A Digital Twin and Cybernetic Feedback Approach</t>
        </is>
      </c>
      <c r="F114" s="26" t="inlineStr">
        <is>
          <t>Smart Cities</t>
        </is>
      </c>
      <c r="G114" s="26" t="inlineStr">
        <is>
          <t>Article</t>
        </is>
      </c>
      <c r="H114" s="26" t="inlineStr">
        <is>
          <t>10.3390/smartcities8020056</t>
        </is>
      </c>
      <c r="I114" s="26" t="inlineStr">
        <is>
          <t>TA</t>
        </is>
      </c>
      <c r="J114" s="37" t="inlineStr">
        <is>
          <t>Include</t>
        </is>
      </c>
      <c r="K114" s="37" t="n"/>
      <c r="L114" s="28" t="inlineStr">
        <is>
          <t>Strong candidate: twin + supply chain + AI all in title/abstract</t>
        </is>
      </c>
      <c r="M114" s="37" t="inlineStr">
        <is>
          <t>"This study presents a predictive analytics framework integrating digital twin technology, IoT-enabled logistics data, and cybernetic feedback loops to improve last-mile delivery accuracy" con "machine learning-driven predictive analytics".</t>
        </is>
      </c>
      <c r="N114" s="69" t="inlineStr">
        <is>
          <t>I</t>
        </is>
      </c>
      <c r="O114" s="69" t="n">
        <v>3</v>
      </c>
      <c r="P114" s="69" t="inlineStr">
        <is>
          <t>Include</t>
        </is>
      </c>
      <c r="Q114" s="69" t="inlineStr">
        <is>
          <t>I</t>
        </is>
      </c>
      <c r="R114" s="69" t="inlineStr">
        <is>
          <t>"This study presents a predictive analytics framework integrating digital twin technology, IoT-enabled logistics data, and cybernetic feedback loops to improve last-mile delivery accuracy" con "machine learning-driven predictive analytics".</t>
        </is>
      </c>
      <c r="S114" s="69" t="n"/>
    </row>
    <row r="115" ht="23.25" customHeight="1" s="17">
      <c r="A115" s="26" t="inlineStr">
        <is>
          <t>R0114</t>
        </is>
      </c>
      <c r="B115" s="26" t="inlineStr">
        <is>
          <t>Scopus</t>
        </is>
      </c>
      <c r="C115" s="26" t="inlineStr">
        <is>
          <t>Golsorkhi S.; Poshdar M.</t>
        </is>
      </c>
      <c r="D115" s="26" t="n">
        <v>2025</v>
      </c>
      <c r="E115" s="27" t="inlineStr">
        <is>
          <t>How Digital Twin Technology Can Support Value Stream Mapping, a Renewed Method in Lean Construction</t>
        </is>
      </c>
      <c r="F115" s="26" t="inlineStr">
        <is>
          <t>Lecture Notes in Civil Engineering</t>
        </is>
      </c>
      <c r="G115" s="26" t="inlineStr">
        <is>
          <t>Conference paper</t>
        </is>
      </c>
      <c r="H115" s="26" t="inlineStr">
        <is>
          <t>10.1007/978-981-96-4051-5_92</t>
        </is>
      </c>
      <c r="I115" s="26" t="inlineStr">
        <is>
          <t>TA</t>
        </is>
      </c>
      <c r="J115" s="37" t="inlineStr">
        <is>
          <t>Exclude</t>
        </is>
      </c>
      <c r="K115" s="37" t="inlineStr">
        <is>
          <t>Wrong publication type</t>
        </is>
      </c>
      <c r="L115" s="28" t="inlineStr">
        <is>
          <t>Strong candidate: twin + supply chain + AI all in title/abstract</t>
        </is>
      </c>
      <c r="M115" s="37" t="inlineStr">
        <is>
          <t>Recodificado 2026-09-06 en la auditoría final (E2→E4): Marco basado en revisión (C3): "This paper, by employing a literature review, introduces a framework that capitalizes on the synergies between VSM and cutting-edge digital twin technology"; dominio de construcción lean, cadena sólo como motivación ("evaluate the efficiency of their value-creation processes and supply chains"). Valor para snowballing: bajo. | Nota original (E2): Gemelo con VSM para eficiencia en proyectos de construcción; la cadena sólo como motivación genérica ("evaluate the efficiency of their value-creation processes and supply chains"), sin encuadre de cadena ni logística; también E3 (IA sólo "leveraging automated data acquisition and artificial intelligence").</t>
        </is>
      </c>
      <c r="N115" s="69" t="inlineStr">
        <is>
          <t>E4</t>
        </is>
      </c>
      <c r="O115" s="69" t="n">
        <v>3</v>
      </c>
      <c r="P115" s="69" t="inlineStr">
        <is>
          <t>Exclude</t>
        </is>
      </c>
      <c r="Q115" s="69" t="inlineStr">
        <is>
          <t>E2</t>
        </is>
      </c>
      <c r="R115" s="69" t="inlineStr">
        <is>
          <t>Gemelo con VSM para eficiencia en proyectos de construcción; la cadena sólo como motivación genérica ("evaluate the efficiency of their value-creation processes and supply chains"), sin encuadre de cadena ni logística; también E3 (IA sólo "leveraging automated data acquisition and artificial intelligence").</t>
        </is>
      </c>
      <c r="S115" s="69" t="n"/>
    </row>
    <row r="116" ht="23.25" customHeight="1" s="17">
      <c r="A116" s="26" t="inlineStr">
        <is>
          <t>R0115</t>
        </is>
      </c>
      <c r="B116" s="26" t="inlineStr">
        <is>
          <t>Scopus + WoS</t>
        </is>
      </c>
      <c r="C116" s="26" t="inlineStr">
        <is>
          <t>Tamás P.</t>
        </is>
      </c>
      <c r="D116" s="26" t="n">
        <v>2025</v>
      </c>
      <c r="E116" s="27" t="inlineStr">
        <is>
          <t>New Dimensions in the Study of Outsourcing Logistics Services: The Role of Digitalization in Enhancing Efficiency</t>
        </is>
      </c>
      <c r="F116" s="26" t="inlineStr">
        <is>
          <t>Logistics</t>
        </is>
      </c>
      <c r="G116" s="26" t="inlineStr">
        <is>
          <t>Article</t>
        </is>
      </c>
      <c r="H116" s="26" t="inlineStr">
        <is>
          <t>10.3390/logistics9020044</t>
        </is>
      </c>
      <c r="I116" s="26" t="inlineStr">
        <is>
          <t>TA</t>
        </is>
      </c>
      <c r="J116" s="37" t="inlineStr">
        <is>
          <t>Exclude</t>
        </is>
      </c>
      <c r="K116" s="37" t="inlineStr">
        <is>
          <t>No digital twin/model</t>
        </is>
      </c>
      <c r="L116" s="28" t="inlineStr">
        <is>
          <t>Strong candidate: twin + supply chain + AI all in title/abstract</t>
        </is>
      </c>
      <c r="M116" s="37" t="inlineStr">
        <is>
          <t>Marco de evaluación de outsourcing logístico; gemelo e IA sólo como ejemplos de tecnologías ("Modern digitalization technologies (e.g., digital twins, artificial intelligence, etc.)"); también E3.</t>
        </is>
      </c>
      <c r="N116" s="69" t="inlineStr">
        <is>
          <t>E1</t>
        </is>
      </c>
      <c r="O116" s="69" t="n">
        <v>3</v>
      </c>
      <c r="P116" s="69" t="inlineStr">
        <is>
          <t>Exclude</t>
        </is>
      </c>
      <c r="Q116" s="69" t="inlineStr">
        <is>
          <t>E1</t>
        </is>
      </c>
      <c r="R116" s="69" t="inlineStr">
        <is>
          <t>Marco de evaluación de outsourcing logístico; gemelo e IA sólo como ejemplos de tecnologías ("Modern digitalization technologies (e.g., digital twins, artificial intelligence, etc.)"); también E3.</t>
        </is>
      </c>
      <c r="S116" s="69" t="n"/>
    </row>
    <row r="117" ht="23.25" customHeight="1" s="17">
      <c r="A117" s="26" t="inlineStr">
        <is>
          <t>R0116</t>
        </is>
      </c>
      <c r="B117" s="26" t="inlineStr">
        <is>
          <t>Scopus + WoS</t>
        </is>
      </c>
      <c r="C117" s="26" t="inlineStr">
        <is>
          <t>Fedorin D.V.; Nastenko S.K.; Polyanichenko D.S.; Sukhanov A.V.; Grishaev S.Y.; Butakova M.A.</t>
        </is>
      </c>
      <c r="D117" s="26" t="n">
        <v>2025</v>
      </c>
      <c r="E117" s="27" t="inlineStr">
        <is>
          <t>Method for Rrecognizing and Generating Three-Dimensional Objects to Create Digital Twins</t>
        </is>
      </c>
      <c r="F117" s="26" t="inlineStr">
        <is>
          <t>International Journal of Fuzzy Logic and Intelligent Systems</t>
        </is>
      </c>
      <c r="G117" s="26" t="inlineStr">
        <is>
          <t>Article</t>
        </is>
      </c>
      <c r="H117" s="26" t="inlineStr">
        <is>
          <t>10.5391/ijfis.2025.25.1.97</t>
        </is>
      </c>
      <c r="I117" s="26" t="inlineStr">
        <is>
          <t>TA</t>
        </is>
      </c>
      <c r="J117" s="37" t="inlineStr">
        <is>
          <t>Include</t>
        </is>
      </c>
      <c r="K117" s="37" t="n"/>
      <c r="L117" s="28" t="inlineStr">
        <is>
          <t>Strong candidate: twin + supply chain + AI all in title/abstract</t>
        </is>
      </c>
      <c r="M117" s="37" t="inlineStr">
        <is>
          <t>Visión por computadora (U-Net, YOLOv8) para reconstruir la topología de patios de contenedores y crear gemelos de "marine and river logistics enterprises"; "digital twin technologies, which enable real-time visualization of all processes, are being used". Nota: IA para construir el gemelo (nivel descriptivo).</t>
        </is>
      </c>
      <c r="N117" s="69" t="inlineStr">
        <is>
          <t>I</t>
        </is>
      </c>
      <c r="O117" s="69" t="n">
        <v>3</v>
      </c>
      <c r="P117" s="69" t="inlineStr">
        <is>
          <t>Include</t>
        </is>
      </c>
      <c r="Q117" s="69" t="inlineStr">
        <is>
          <t>I</t>
        </is>
      </c>
      <c r="R117" s="69" t="inlineStr">
        <is>
          <t>Visión por computadora (U-Net, YOLOv8) para reconstruir la topología de patios de contenedores y crear gemelos de "marine and river logistics enterprises"; "digital twin technologies, which enable real-time visualization of all processes, are being used". Nota: IA para construir el gemelo (nivel descriptivo).</t>
        </is>
      </c>
      <c r="S117" s="69" t="n"/>
    </row>
    <row r="118" ht="34.5" customHeight="1" s="17">
      <c r="A118" s="26" t="inlineStr">
        <is>
          <t>R0117</t>
        </is>
      </c>
      <c r="B118" s="26" t="inlineStr">
        <is>
          <t>Scopus + WoS</t>
        </is>
      </c>
      <c r="C118" s="26" t="inlineStr">
        <is>
          <t>Meena R.; Sahoo S.; Malik A.; Kumar S.; Nguyen M.</t>
        </is>
      </c>
      <c r="D118" s="26" t="n">
        <v>2025</v>
      </c>
      <c r="E118" s="27" t="inlineStr">
        <is>
          <t>Artificial intelligence and circular supply chains: framework for applications and deployment from the triple bottom line model perspective</t>
        </is>
      </c>
      <c r="F118" s="26" t="inlineStr">
        <is>
          <t>Annals of Operations Research</t>
        </is>
      </c>
      <c r="G118" s="26" t="inlineStr">
        <is>
          <t>Article</t>
        </is>
      </c>
      <c r="H118" s="26" t="inlineStr">
        <is>
          <t>10.1007/s10479-025-06510-1</t>
        </is>
      </c>
      <c r="I118" s="26" t="inlineStr">
        <is>
          <t>TA</t>
        </is>
      </c>
      <c r="J118" s="37" t="inlineStr">
        <is>
          <t>Exclude</t>
        </is>
      </c>
      <c r="K118" s="37" t="inlineStr">
        <is>
          <t>Wrong publication type</t>
        </is>
      </c>
      <c r="L118" s="28" t="inlineStr">
        <is>
          <t>Strong candidate: twin + supply chain + AI all in title/abstract</t>
        </is>
      </c>
      <c r="M118" s="37" t="inlineStr">
        <is>
          <t>Recodificado 2026-09-06 en la auditoría final (E1→E4): Síntesis de literatura (C3): "this study compiles and organizes AI in CSC research by identifying the enablers of AI"; cadena circular e IA como objetos, gemelo sólo listado ("technologies such as Digital Twins, Industrial Internet of Things, and Blockchain provide frameworks for cyber-physical systems"). Valor para snowballing: medio. | Nota original (E1): Marco conceptual de IA en cadenas circulares (TBL) que "compiles and organizes AI in CSC research"; gemelo sólo en lista ("technologies such as Digital Twins, Industrial Internet of Things, and Blockchain provide frameworks for cyber-physical systems"). Carácter de revisión conceptual, sin valor para snowballing.</t>
        </is>
      </c>
      <c r="N118" s="69" t="inlineStr">
        <is>
          <t>E4</t>
        </is>
      </c>
      <c r="O118" s="69" t="n">
        <v>3</v>
      </c>
      <c r="P118" s="69" t="inlineStr">
        <is>
          <t>Exclude</t>
        </is>
      </c>
      <c r="Q118" s="69" t="inlineStr">
        <is>
          <t>E1</t>
        </is>
      </c>
      <c r="R118" s="69" t="inlineStr">
        <is>
          <t>Marco conceptual de IA en cadenas circulares (TBL) que "compiles and organizes AI in CSC research"; gemelo sólo en lista ("technologies such as Digital Twins, Industrial Internet of Things, and Blockchain provide frameworks for cyber-physical systems"). Carácter de revisión conceptual, sin valor para snowballing.</t>
        </is>
      </c>
      <c r="S118" s="69" t="n"/>
    </row>
    <row r="119" ht="34.5" customHeight="1" s="17">
      <c r="A119" s="26" t="inlineStr">
        <is>
          <t>R0118</t>
        </is>
      </c>
      <c r="B119" s="26" t="inlineStr">
        <is>
          <t>Scopus</t>
        </is>
      </c>
      <c r="C119" s="26" t="inlineStr">
        <is>
          <t>Bhoite T.D.; Buktar R.B.; Mahalle P.N.; Khond M.P.; Pise G.S.; More Y.</t>
        </is>
      </c>
      <c r="D119" s="26" t="n">
        <v>2025</v>
      </c>
      <c r="E119" s="27" t="inlineStr">
        <is>
          <t>Productivity Enhancement in the Indian Auto Component Manufacturing Supply Chain Through IoT, Digital Twins with Generative AI, and Stacked Encoder-Enhanced Neural Networks</t>
        </is>
      </c>
      <c r="F119" s="26" t="inlineStr">
        <is>
          <t>Operations Research Forum</t>
        </is>
      </c>
      <c r="G119" s="26" t="inlineStr">
        <is>
          <t>Article</t>
        </is>
      </c>
      <c r="H119" s="26" t="inlineStr">
        <is>
          <t>10.1007/s43069-025-00522-0</t>
        </is>
      </c>
      <c r="I119" s="26" t="inlineStr">
        <is>
          <t>TA</t>
        </is>
      </c>
      <c r="J119" s="37" t="inlineStr">
        <is>
          <t>Include</t>
        </is>
      </c>
      <c r="K119" s="37" t="n"/>
      <c r="L119" s="28" t="inlineStr">
        <is>
          <t>Strong candidate: twin + supply chain + AI all in title/abstract</t>
        </is>
      </c>
      <c r="M119" s="37" t="inlineStr">
        <is>
          <t>[Make] Cadena de autopartes india: "the Internet of Things (IoT), digital twins, generative artificial intelligence, and advanced neural networks can revolutionize this sector"; gemelos de activos de producción ("Digital twins replicate physical assets virtually, aiding scenario simulation and process improvement") encuadrados en "supply chain efficiency in the Indian auto component industry". Make. Verificar en texto completo que el gemelo exista (los resultados se atribuyen a "IoT-based systems"). | Auditoría final 2026-09-06: se mantiene I; modelo de IA nombrado ("Bayesian Network-Stacked Encoder-Puma Optimizer (BN-SE-PO) model") y cadena en el título; confirmar en texto completo que el gemelo exista más allá de la descripción genérica.</t>
        </is>
      </c>
      <c r="N119" s="69" t="inlineStr">
        <is>
          <t>I</t>
        </is>
      </c>
      <c r="O119" s="69" t="n">
        <v>3</v>
      </c>
      <c r="P119" s="69" t="inlineStr">
        <is>
          <t>Include</t>
        </is>
      </c>
      <c r="Q119" s="69" t="inlineStr">
        <is>
          <t>I</t>
        </is>
      </c>
      <c r="R119" s="69" t="inlineStr">
        <is>
          <t>Cadena de autopartes india: "the Internet of Things (IoT), digital twins, generative artificial intelligence, and advanced neural networks can revolutionize this sector"; gemelos de activos de producción ("Digital twins replicate physical assets virtually, aiding scenario simulation and process improvement") encuadrados en "supply chain efficiency in the Indian auto component industry". Make. Verificar en texto completo que el gemelo exista (los resultados se atribuyen a "IoT-based systems").</t>
        </is>
      </c>
      <c r="S119" s="69" t="inlineStr">
        <is>
          <t>Make</t>
        </is>
      </c>
    </row>
    <row r="120" ht="23.25" customHeight="1" s="17">
      <c r="A120" s="26" t="inlineStr">
        <is>
          <t>R0119</t>
        </is>
      </c>
      <c r="B120" s="26" t="inlineStr">
        <is>
          <t>Scopus + WoS</t>
        </is>
      </c>
      <c r="C120" s="26" t="inlineStr">
        <is>
          <t>Zou Y.; Wu J.; Meng X.; Wang X.; Manzardo A.</t>
        </is>
      </c>
      <c r="D120" s="26" t="n">
        <v>2025</v>
      </c>
      <c r="E120" s="27" t="inlineStr">
        <is>
          <t>Digital twin integration for dynamic quality loss control in fruit supply chains</t>
        </is>
      </c>
      <c r="F120" s="26" t="inlineStr">
        <is>
          <t>Journal of Food Engineering</t>
        </is>
      </c>
      <c r="G120" s="26" t="inlineStr">
        <is>
          <t>Article</t>
        </is>
      </c>
      <c r="H120" s="26" t="inlineStr">
        <is>
          <t>10.1016/j.jfoodeng.2025.112577</t>
        </is>
      </c>
      <c r="I120" s="26" t="inlineStr">
        <is>
          <t>TA</t>
        </is>
      </c>
      <c r="J120" s="37" t="inlineStr">
        <is>
          <t>Include</t>
        </is>
      </c>
      <c r="K120" s="37" t="n"/>
      <c r="L120" s="28" t="inlineStr">
        <is>
          <t>Strong candidate: twin + supply chain + AI all in title/abstract</t>
        </is>
      </c>
      <c r="M120" s="37" t="inlineStr">
        <is>
          <t>Cadena de frío de fruta: "a long short-term memory (LSTM) based model" y "applying our box-level digital twin model" para estimar vida de anaquel; reducción de pérdida de alimentos simulada.</t>
        </is>
      </c>
      <c r="N120" s="69" t="inlineStr">
        <is>
          <t>I</t>
        </is>
      </c>
      <c r="O120" s="69" t="n">
        <v>3</v>
      </c>
      <c r="P120" s="69" t="inlineStr">
        <is>
          <t>Include</t>
        </is>
      </c>
      <c r="Q120" s="69" t="inlineStr">
        <is>
          <t>I</t>
        </is>
      </c>
      <c r="R120" s="69" t="inlineStr">
        <is>
          <t>Cadena de frío de fruta: "a long short-term memory (LSTM) based model" y "applying our box-level digital twin model" para estimar vida de anaquel; reducción de pérdida de alimentos simulada.</t>
        </is>
      </c>
      <c r="S120" s="69" t="n"/>
    </row>
    <row r="121" ht="23.25" customHeight="1" s="17">
      <c r="A121" s="26" t="inlineStr">
        <is>
          <t>R0120</t>
        </is>
      </c>
      <c r="B121" s="26" t="inlineStr">
        <is>
          <t>Scopus + WoS</t>
        </is>
      </c>
      <c r="C121" s="26" t="inlineStr">
        <is>
          <t>Hu Y.; Ghadimi P.</t>
        </is>
      </c>
      <c r="D121" s="26" t="n">
        <v>2025</v>
      </c>
      <c r="E121" s="27" t="inlineStr">
        <is>
          <t>Developing Supply Chain Resilience with Advanced Digital Technology: A Review</t>
        </is>
      </c>
      <c r="F121" s="26" t="inlineStr">
        <is>
          <t>IFAC-PapersOnLine</t>
        </is>
      </c>
      <c r="G121" s="26" t="inlineStr">
        <is>
          <t>Conference paper</t>
        </is>
      </c>
      <c r="H121" s="26" t="inlineStr">
        <is>
          <t>10.1016/j.ifacol.2025.09.484</t>
        </is>
      </c>
      <c r="I121" s="26" t="inlineStr">
        <is>
          <t>TA</t>
        </is>
      </c>
      <c r="J121" s="37" t="inlineStr">
        <is>
          <t>Exclude</t>
        </is>
      </c>
      <c r="K121" s="37" t="inlineStr">
        <is>
          <t>Wrong publication type</t>
        </is>
      </c>
      <c r="L121" s="28" t="inlineStr">
        <is>
          <t>Strong candidate: twin + supply chain + AI all in title/abstract</t>
        </is>
      </c>
      <c r="M121" s="37" t="inlineStr">
        <is>
          <t>Revisión de 29 artículos sobre IA, BDA, blockchain y gemelos/simulación en resiliencia de cadena ("By performing a comprehensive literature assessment of supply chain resilience research published in impact-factored journals from 2014 to 2024"). Valor para snowballing: alto.</t>
        </is>
      </c>
      <c r="N121" s="69" t="inlineStr">
        <is>
          <t>E4</t>
        </is>
      </c>
      <c r="O121" s="69" t="n">
        <v>3</v>
      </c>
      <c r="P121" s="69" t="inlineStr">
        <is>
          <t>Exclude</t>
        </is>
      </c>
      <c r="Q121" s="69" t="inlineStr">
        <is>
          <t>E4</t>
        </is>
      </c>
      <c r="R121" s="69" t="inlineStr">
        <is>
          <t>Revisión de 29 artículos sobre IA, BDA, blockchain y gemelos/simulación en resiliencia de cadena ("By performing a comprehensive literature assessment of supply chain resilience research published in impact-factored journals from 2014 to 2024"). Valor para snowballing: alto.</t>
        </is>
      </c>
      <c r="S121" s="69" t="n"/>
    </row>
    <row r="122" ht="23.25" customHeight="1" s="17">
      <c r="A122" s="26" t="inlineStr">
        <is>
          <t>R0121</t>
        </is>
      </c>
      <c r="B122" s="26" t="inlineStr">
        <is>
          <t>Scopus</t>
        </is>
      </c>
      <c r="C122" s="26" t="inlineStr">
        <is>
          <t>Joshi A.; Pandey D.; Bisht D.; Kumar R.; Bhandari K.</t>
        </is>
      </c>
      <c r="D122" s="26" t="n">
        <v>2025</v>
      </c>
      <c r="E122" s="27" t="inlineStr">
        <is>
          <t>A Sequential Roadmap of Industry 5.0: Exploring Challenges and Opportunities</t>
        </is>
      </c>
      <c r="F122" s="26" t="inlineStr">
        <is>
          <t>Proceedings - 2025 2nd International Conference on Electronic Circuits and Signaling Technologies, ICECST 2025</t>
        </is>
      </c>
      <c r="G122" s="26" t="inlineStr">
        <is>
          <t>Conference paper</t>
        </is>
      </c>
      <c r="H122" s="26" t="inlineStr">
        <is>
          <t>10.1109/icecst66106.2025.11307487</t>
        </is>
      </c>
      <c r="I122" s="26" t="inlineStr">
        <is>
          <t>TA</t>
        </is>
      </c>
      <c r="J122" s="37" t="inlineStr">
        <is>
          <t>Exclude</t>
        </is>
      </c>
      <c r="K122" s="37" t="inlineStr">
        <is>
          <t>No digital twin/model</t>
        </is>
      </c>
      <c r="L122" s="28" t="inlineStr">
        <is>
          <t>Strong candidate: twin + supply chain + AI all in title/abstract</t>
        </is>
      </c>
      <c r="M122" s="37" t="inlineStr">
        <is>
          <t>Hoja de ruta de Industria 5.0; gemelo y cadena sólo en lista de tecnologías ("Cobots, Internet of everything cloud manufacturing, supply chain management, edge computing, digital twins, IoT, blockchain, and 6G networks"); también E2.</t>
        </is>
      </c>
      <c r="N122" s="69" t="inlineStr">
        <is>
          <t>E1</t>
        </is>
      </c>
      <c r="O122" s="69" t="n">
        <v>3</v>
      </c>
      <c r="P122" s="69" t="inlineStr">
        <is>
          <t>Exclude</t>
        </is>
      </c>
      <c r="Q122" s="69" t="inlineStr">
        <is>
          <t>E1</t>
        </is>
      </c>
      <c r="R122" s="69" t="inlineStr">
        <is>
          <t>Hoja de ruta de Industria 5.0; gemelo y cadena sólo en lista de tecnologías ("Cobots, Internet of everything cloud manufacturing, supply chain management, edge computing, digital twins, IoT, blockchain, and 6G networks"); también E2.</t>
        </is>
      </c>
      <c r="S122" s="69" t="n"/>
    </row>
    <row r="123" ht="23.25" customHeight="1" s="17">
      <c r="A123" s="26" t="inlineStr">
        <is>
          <t>R0122</t>
        </is>
      </c>
      <c r="B123" s="26" t="inlineStr">
        <is>
          <t>Scopus</t>
        </is>
      </c>
      <c r="C123" s="26" t="inlineStr">
        <is>
          <t>Bonvicini A.; Cangelosi D.; Ingargiola R.; Marchese A.; Previti G.</t>
        </is>
      </c>
      <c r="D123" s="26" t="n">
        <v>2025</v>
      </c>
      <c r="E123" s="27" t="inlineStr">
        <is>
          <t>Digital Twin Approach for Ship Energy Management</t>
        </is>
      </c>
      <c r="F123" s="26" t="inlineStr">
        <is>
          <t>Progress in Marine Science and Technology</t>
        </is>
      </c>
      <c r="G123" s="26" t="inlineStr">
        <is>
          <t>Conference paper</t>
        </is>
      </c>
      <c r="H123" s="26" t="inlineStr">
        <is>
          <t>10.3233/pmst250138</t>
        </is>
      </c>
      <c r="I123" s="26" t="inlineStr">
        <is>
          <t>TA</t>
        </is>
      </c>
      <c r="J123" s="37" t="inlineStr">
        <is>
          <t>Exclude</t>
        </is>
      </c>
      <c r="K123" s="37" t="inlineStr">
        <is>
          <t>No supply chain scope</t>
        </is>
      </c>
      <c r="L123" s="28" t="inlineStr">
        <is>
          <t>Strong candidate: twin + supply chain + AI all in title/abstract</t>
        </is>
      </c>
      <c r="M123" s="37" t="inlineStr">
        <is>
          <t>Gemelo de gestión energética de buque (ASSIST ENERGY) con ML; la logística marítima sólo como proyecto asociado ("integrating ship systems with port operations") y contexto ("sustainability of maritime logistics"), sin encuadre de cadena en el sistema propuesto. Mismo trato que R0043 (camión FCEV). Límite.</t>
        </is>
      </c>
      <c r="N123" s="69" t="inlineStr">
        <is>
          <t>E2</t>
        </is>
      </c>
      <c r="O123" s="69" t="n">
        <v>3</v>
      </c>
      <c r="P123" s="69" t="inlineStr">
        <is>
          <t>Exclude</t>
        </is>
      </c>
      <c r="Q123" s="69" t="inlineStr">
        <is>
          <t>E2</t>
        </is>
      </c>
      <c r="R123" s="69" t="inlineStr">
        <is>
          <t>Gemelo de gestión energética de buque (ASSIST ENERGY) con ML; la logística marítima sólo como proyecto asociado ("integrating ship systems with port operations") y contexto ("sustainability of maritime logistics"), sin encuadre de cadena en el sistema propuesto. Mismo trato que R0043 (camión FCEV). Límite.</t>
        </is>
      </c>
      <c r="S123" s="69" t="n"/>
    </row>
    <row r="124" ht="23.25" customHeight="1" s="17">
      <c r="A124" s="26" t="inlineStr">
        <is>
          <t>R0123</t>
        </is>
      </c>
      <c r="B124" s="26" t="inlineStr">
        <is>
          <t>Scopus</t>
        </is>
      </c>
      <c r="C124" s="26" t="inlineStr">
        <is>
          <t>Carlo D.</t>
        </is>
      </c>
      <c r="D124" s="26" t="n">
        <v>2025</v>
      </c>
      <c r="E124" s="27" t="inlineStr">
        <is>
          <t>Smart Robotics in Shipbuilding Process</t>
        </is>
      </c>
      <c r="F124" s="26" t="inlineStr">
        <is>
          <t>Progress in Marine Science and Technology</t>
        </is>
      </c>
      <c r="G124" s="26" t="inlineStr">
        <is>
          <t>Conference paper</t>
        </is>
      </c>
      <c r="H124" s="26" t="inlineStr">
        <is>
          <t>10.3233/pmst250134</t>
        </is>
      </c>
      <c r="I124" s="26" t="inlineStr">
        <is>
          <t>TA</t>
        </is>
      </c>
      <c r="J124" s="37" t="inlineStr">
        <is>
          <t>Exclude</t>
        </is>
      </c>
      <c r="K124" s="37" t="inlineStr">
        <is>
          <t>No digital twin/model</t>
        </is>
      </c>
      <c r="L124" s="28" t="inlineStr">
        <is>
          <t>Strong candidate: twin + supply chain + AI all in title/abstract</t>
        </is>
      </c>
      <c r="M124" s="37" t="inlineStr">
        <is>
          <t>Robótica inteligente en astilleros con logística intra-planta (AMR, picking); el gemelo sólo mencionado ("The adoption of digital twins and their interconnection with digital systems that monitor production further enhances these capabilities"), sin gemelo desarrollado.</t>
        </is>
      </c>
      <c r="N124" s="69" t="inlineStr">
        <is>
          <t>E1</t>
        </is>
      </c>
      <c r="O124" s="69" t="n">
        <v>3</v>
      </c>
      <c r="P124" s="69" t="inlineStr">
        <is>
          <t>Exclude</t>
        </is>
      </c>
      <c r="Q124" s="69" t="inlineStr">
        <is>
          <t>E1</t>
        </is>
      </c>
      <c r="R124" s="69" t="inlineStr">
        <is>
          <t>Robótica inteligente en astilleros con logística intra-planta (AMR, picking); el gemelo sólo mencionado ("The adoption of digital twins and their interconnection with digital systems that monitor production further enhances these capabilities"), sin gemelo desarrollado.</t>
        </is>
      </c>
      <c r="S124" s="69" t="n"/>
    </row>
    <row r="125" ht="23.25" customHeight="1" s="17">
      <c r="A125" s="26" t="inlineStr">
        <is>
          <t>R0124</t>
        </is>
      </c>
      <c r="B125" s="26" t="inlineStr">
        <is>
          <t>Scopus + WoS</t>
        </is>
      </c>
      <c r="C125" s="26" t="inlineStr">
        <is>
          <t>Çali S.; Ekren B.Y.; Toy A.Ö.</t>
        </is>
      </c>
      <c r="D125" s="26" t="n">
        <v>2025</v>
      </c>
      <c r="E125" s="27" t="inlineStr">
        <is>
          <t>Quantitative Methods for Agri-Food Supply Chain Resilience: A Systematic Literature Review Using Text Mining</t>
        </is>
      </c>
      <c r="F125" s="26" t="inlineStr">
        <is>
          <t>IFAC-PapersOnLine</t>
        </is>
      </c>
      <c r="G125" s="26" t="inlineStr">
        <is>
          <t>Conference paper</t>
        </is>
      </c>
      <c r="H125" s="26" t="inlineStr">
        <is>
          <t>10.1016/j.ifacol.2025.09.044</t>
        </is>
      </c>
      <c r="I125" s="26" t="inlineStr">
        <is>
          <t>TA</t>
        </is>
      </c>
      <c r="J125" s="37" t="inlineStr">
        <is>
          <t>Exclude</t>
        </is>
      </c>
      <c r="K125" s="37" t="inlineStr">
        <is>
          <t>Wrong publication type</t>
        </is>
      </c>
      <c r="L125" s="28" t="inlineStr">
        <is>
          <t>Strong candidate: twin + supply chain + AI all in title/abstract</t>
        </is>
      </c>
      <c r="M125" s="37" t="inlineStr">
        <is>
          <t>"This study conducts a Systematic Literature Review (SLR) using text mining and Latent Dirichlet Allocation (LDA)" sobre resiliencia agroalimentaria; gemelo sólo como recomendación. Valor para snowballing: medio.</t>
        </is>
      </c>
      <c r="N125" s="69" t="inlineStr">
        <is>
          <t>E4</t>
        </is>
      </c>
      <c r="O125" s="69" t="n">
        <v>3</v>
      </c>
      <c r="P125" s="69" t="inlineStr">
        <is>
          <t>Exclude</t>
        </is>
      </c>
      <c r="Q125" s="69" t="inlineStr">
        <is>
          <t>E4</t>
        </is>
      </c>
      <c r="R125" s="69" t="inlineStr">
        <is>
          <t>"This study conducts a Systematic Literature Review (SLR) using text mining and Latent Dirichlet Allocation (LDA)" sobre resiliencia agroalimentaria; gemelo sólo como recomendación. Valor para snowballing: medio.</t>
        </is>
      </c>
      <c r="S125" s="69" t="n"/>
    </row>
    <row r="126" ht="23.25" customHeight="1" s="17">
      <c r="A126" s="26" t="inlineStr">
        <is>
          <t>R0125</t>
        </is>
      </c>
      <c r="B126" s="26" t="inlineStr">
        <is>
          <t>Scopus</t>
        </is>
      </c>
      <c r="C126" s="26" t="inlineStr">
        <is>
          <t>Li Y.; Yang J.; Zhang S.; Li Y.; Ye S.; Qin Z.; Guan Y.</t>
        </is>
      </c>
      <c r="D126" s="26" t="n">
        <v>2025</v>
      </c>
      <c r="E126" s="27" t="inlineStr">
        <is>
          <t>Semantic Digital Twin Modeling of Urban Elements: Methods and Applications in Smart Cities</t>
        </is>
      </c>
      <c r="F126" s="26" t="inlineStr">
        <is>
          <t>Transactions in GIS</t>
        </is>
      </c>
      <c r="G126" s="26" t="inlineStr">
        <is>
          <t>Article</t>
        </is>
      </c>
      <c r="H126" s="26" t="inlineStr">
        <is>
          <t>10.1111/tgis.70144</t>
        </is>
      </c>
      <c r="I126" s="26" t="inlineStr">
        <is>
          <t>TA</t>
        </is>
      </c>
      <c r="J126" s="37" t="inlineStr">
        <is>
          <t>Exclude</t>
        </is>
      </c>
      <c r="K126" s="37" t="inlineStr">
        <is>
          <t>No supply chain scope</t>
        </is>
      </c>
      <c r="L126" s="28" t="inlineStr">
        <is>
          <t>Strong candidate: twin + supply chain + AI all in title/abstract</t>
        </is>
      </c>
      <c r="M126" s="37" t="inlineStr">
        <is>
          <t>Gemelo urbano semántico con segmentación por IA (fotogrametría); la logística sólo como aplicación mencionada ("low-altitude economic activities such as drone logistics"), sin encuadre de cadena ni logística.</t>
        </is>
      </c>
      <c r="N126" s="69" t="inlineStr">
        <is>
          <t>E2</t>
        </is>
      </c>
      <c r="O126" s="69" t="n">
        <v>3</v>
      </c>
      <c r="P126" s="69" t="inlineStr">
        <is>
          <t>Exclude</t>
        </is>
      </c>
      <c r="Q126" s="69" t="inlineStr">
        <is>
          <t>E2</t>
        </is>
      </c>
      <c r="R126" s="69" t="inlineStr">
        <is>
          <t>Gemelo urbano semántico con segmentación por IA (fotogrametría); la logística sólo como aplicación mencionada ("low-altitude economic activities such as drone logistics"), sin encuadre de cadena ni logística.</t>
        </is>
      </c>
      <c r="S126" s="69" t="n"/>
    </row>
    <row r="127" ht="34.5" customHeight="1" s="17">
      <c r="A127" s="26" t="inlineStr">
        <is>
          <t>R0126</t>
        </is>
      </c>
      <c r="B127" s="26" t="inlineStr">
        <is>
          <t>Scopus + WoS</t>
        </is>
      </c>
      <c r="C127" s="26" t="inlineStr">
        <is>
          <t>Schrimpsher V.A.; Pham H.; Wooley A.</t>
        </is>
      </c>
      <c r="D127" s="26" t="n">
        <v>2025</v>
      </c>
      <c r="E127" s="27" t="inlineStr">
        <is>
          <t>ANTICIPATORY SYSTEMS IN SUPPLY CHAIN MANAGEMENT: THE ROLE OF ARTIFICIAL INTELLIGENCE AND PREDICTIVE ANALYTICS</t>
        </is>
      </c>
      <c r="F127" s="26" t="inlineStr">
        <is>
          <t>Proceedings of the 2025 International Annual Conference and 46th Annual Meeting: Powering the Future of Engineering Management, ASEM 2025</t>
        </is>
      </c>
      <c r="G127" s="26" t="inlineStr">
        <is>
          <t>Conference paper</t>
        </is>
      </c>
      <c r="H127" s="26" t="n"/>
      <c r="I127" s="26" t="inlineStr">
        <is>
          <t>TA</t>
        </is>
      </c>
      <c r="J127" s="37" t="inlineStr">
        <is>
          <t>Exclude</t>
        </is>
      </c>
      <c r="K127" s="37" t="inlineStr">
        <is>
          <t>No digital twin/model</t>
        </is>
      </c>
      <c r="L127" s="28" t="inlineStr">
        <is>
          <t>Strong candidate: twin + supply chain + AI all in title/abstract</t>
        </is>
      </c>
      <c r="M127" s="37" t="inlineStr">
        <is>
          <t>Artículo conceptual sobre sistemas anticipatorios con IA en SCM; gemelo sólo como potencial futuro ("It also examines the future potential of digital twins, AI-driven automation, self-healing networks, and blockchain-integrated predictive models").</t>
        </is>
      </c>
      <c r="N127" s="69" t="inlineStr">
        <is>
          <t>E1</t>
        </is>
      </c>
      <c r="O127" s="69" t="n">
        <v>3</v>
      </c>
      <c r="P127" s="69" t="inlineStr">
        <is>
          <t>Exclude</t>
        </is>
      </c>
      <c r="Q127" s="69" t="inlineStr">
        <is>
          <t>E1</t>
        </is>
      </c>
      <c r="R127" s="69" t="inlineStr">
        <is>
          <t>Artículo conceptual sobre sistemas anticipatorios con IA en SCM; gemelo sólo como potencial futuro ("It also examines the future potential of digital twins, AI-driven automation, self-healing networks, and blockchain-integrated predictive models").</t>
        </is>
      </c>
      <c r="S127" s="69" t="n"/>
    </row>
    <row r="128" ht="23.25" customHeight="1" s="17">
      <c r="A128" s="26" t="inlineStr">
        <is>
          <t>R0127</t>
        </is>
      </c>
      <c r="B128" s="26" t="inlineStr">
        <is>
          <t>Scopus + WoS</t>
        </is>
      </c>
      <c r="C128" s="26" t="inlineStr">
        <is>
          <t>Dubey A.</t>
        </is>
      </c>
      <c r="D128" s="26" t="n">
        <v>2025</v>
      </c>
      <c r="E128" s="27" t="inlineStr">
        <is>
          <t>Generative AI-Powered Digital Twins in Aviation: A Framework for Intelligent Simulation and Decision Making</t>
        </is>
      </c>
      <c r="F128" s="26" t="inlineStr">
        <is>
          <t>Proceedings - 2025 IEEE International Symposium on Emerging Metaverse, ISEMV 2025</t>
        </is>
      </c>
      <c r="G128" s="26" t="inlineStr">
        <is>
          <t>Conference paper</t>
        </is>
      </c>
      <c r="H128" s="26" t="inlineStr">
        <is>
          <t>10.1109/isemv67326.2025.00034</t>
        </is>
      </c>
      <c r="I128" s="26" t="inlineStr">
        <is>
          <t>TA</t>
        </is>
      </c>
      <c r="J128" s="37" t="inlineStr">
        <is>
          <t>Include</t>
        </is>
      </c>
      <c r="K128" s="37" t="n"/>
      <c r="L128" s="28" t="inlineStr">
        <is>
          <t>Strong candidate: twin + supply chain + AI all in title/abstract</t>
        </is>
      </c>
      <c r="M128" s="37" t="inlineStr">
        <is>
          <t>[Make] Marco de gemelos de aviación con IA generativa ("integrates neural networks, autoencoders, and large language models with aviation digital twin architectures") con alcance explícito en logística: "across aviation manufacturing and logistics domains" y "logistics inventory optimization". Conceptual. | Auditoría final 2026-09-06: se mantiene I; Make añadido: gemelos de manufactura aeronáutica con encuadre logístico explícito ("across aviation manufacturing and logistics domains", "logistics inventory optimization", "supply chain networks").</t>
        </is>
      </c>
      <c r="N128" s="69" t="inlineStr">
        <is>
          <t>I</t>
        </is>
      </c>
      <c r="O128" s="69" t="n">
        <v>3</v>
      </c>
      <c r="P128" s="69" t="inlineStr">
        <is>
          <t>Include</t>
        </is>
      </c>
      <c r="Q128" s="69" t="inlineStr">
        <is>
          <t>I</t>
        </is>
      </c>
      <c r="R128" s="69" t="inlineStr">
        <is>
          <t>Marco de gemelos de aviación con IA generativa ("integrates neural networks, autoencoders, and large language models with aviation digital twin architectures") con alcance explícito en logística: "across aviation manufacturing and logistics domains" y "logistics inventory optimization". Conceptual.</t>
        </is>
      </c>
      <c r="S128" s="69" t="inlineStr">
        <is>
          <t>Make</t>
        </is>
      </c>
    </row>
    <row r="129" ht="23.25" customHeight="1" s="17">
      <c r="A129" s="26" t="inlineStr">
        <is>
          <t>R0128</t>
        </is>
      </c>
      <c r="B129" s="26" t="inlineStr">
        <is>
          <t>Scopus</t>
        </is>
      </c>
      <c r="C129" s="26" t="inlineStr">
        <is>
          <t>Akshaya; Senthil Kumar B.; Ramji B.; Hassan M.M.; Shamila M.; Niranjanamurthy M.</t>
        </is>
      </c>
      <c r="D129" s="26" t="n">
        <v>2025</v>
      </c>
      <c r="E129" s="27" t="inlineStr">
        <is>
          <t>AI and Big Data Analytics for Predicting Consumer Behaviour in Emerging Markets</t>
        </is>
      </c>
      <c r="F129" s="26" t="inlineStr">
        <is>
          <t>2025 International Conference on Metaverse and Current Trends in Computing, ICMCTC 2025</t>
        </is>
      </c>
      <c r="G129" s="26" t="inlineStr">
        <is>
          <t>Conference paper</t>
        </is>
      </c>
      <c r="H129" s="26" t="inlineStr">
        <is>
          <t>10.1109/icmctc62214.2025.11196618</t>
        </is>
      </c>
      <c r="I129" s="26" t="inlineStr">
        <is>
          <t>TA</t>
        </is>
      </c>
      <c r="J129" s="37" t="inlineStr">
        <is>
          <t>Exclude</t>
        </is>
      </c>
      <c r="K129" s="37" t="inlineStr">
        <is>
          <t>No digital twin/model</t>
        </is>
      </c>
      <c r="L129" s="28" t="inlineStr">
        <is>
          <t>Strong candidate: twin + supply chain + AI all in title/abstract</t>
        </is>
      </c>
      <c r="M129" s="37" t="inlineStr">
        <is>
          <t>Analítica de consumo con IA; el gemelo es de segmentos de consumidores, no de operaciones ("we define the concept of Digital Twins for consumer segments, dynamic, real-time virtual representations based on consumer behaviour and environmental factors"); la cadena sólo como añadido ("predictive supply chain models"). Depende de la regla C6; confirmar.</t>
        </is>
      </c>
      <c r="N129" s="69" t="inlineStr">
        <is>
          <t>E1</t>
        </is>
      </c>
      <c r="O129" s="69" t="n">
        <v>3</v>
      </c>
      <c r="P129" s="69" t="inlineStr">
        <is>
          <t>Exclude</t>
        </is>
      </c>
      <c r="Q129" s="69" t="inlineStr">
        <is>
          <t>E1</t>
        </is>
      </c>
      <c r="R129" s="69" t="inlineStr">
        <is>
          <t>Analítica de consumo con IA; el gemelo es de segmentos de consumidores, no de operaciones ("we define the concept of Digital Twins for consumer segments, dynamic, real-time virtual representations based on consumer behaviour and environmental factors"); la cadena sólo como añadido ("predictive supply chain models"). Depende de la regla C6; confirmar.</t>
        </is>
      </c>
      <c r="S129" s="69" t="n"/>
    </row>
    <row r="130" ht="23.25" customHeight="1" s="17">
      <c r="A130" s="26" t="inlineStr">
        <is>
          <t>R0129</t>
        </is>
      </c>
      <c r="B130" s="26" t="inlineStr">
        <is>
          <t>Scopus + WoS</t>
        </is>
      </c>
      <c r="C130" s="26" t="inlineStr">
        <is>
          <t>Badakhshan E.; Ivanov D.</t>
        </is>
      </c>
      <c r="D130" s="26" t="n">
        <v>2025</v>
      </c>
      <c r="E130" s="27" t="inlineStr">
        <is>
          <t>Integrating digital twin and blockchain for responsive working capital management in supply chains facing financial disruptions</t>
        </is>
      </c>
      <c r="F130" s="26" t="inlineStr">
        <is>
          <t>International Journal of Production Research</t>
        </is>
      </c>
      <c r="G130" s="26" t="inlineStr">
        <is>
          <t>Article</t>
        </is>
      </c>
      <c r="H130" s="26" t="inlineStr">
        <is>
          <t>10.1080/00207543.2025.2507112</t>
        </is>
      </c>
      <c r="I130" s="26" t="inlineStr">
        <is>
          <t>TA</t>
        </is>
      </c>
      <c r="J130" s="37" t="inlineStr">
        <is>
          <t>Include</t>
        </is>
      </c>
      <c r="K130" s="37" t="n"/>
      <c r="L130" s="28" t="inlineStr">
        <is>
          <t>Strong candidate: twin + supply chain + AI all in title/abstract</t>
        </is>
      </c>
      <c r="M130" s="37" t="inlineStr">
        <is>
          <t>Marco gemelo + blockchain para capital de trabajo en cadenas con disrupción financiera: "discrete-event simulation assesses the impact of financial disruptions on working capital performance, while machine learning models generate decision rules for adaptive working capital management".</t>
        </is>
      </c>
      <c r="N130" s="69" t="inlineStr">
        <is>
          <t>I</t>
        </is>
      </c>
      <c r="O130" s="69" t="n">
        <v>3</v>
      </c>
      <c r="P130" s="69" t="inlineStr">
        <is>
          <t>Include</t>
        </is>
      </c>
      <c r="Q130" s="69" t="inlineStr">
        <is>
          <t>I</t>
        </is>
      </c>
      <c r="R130" s="69" t="inlineStr">
        <is>
          <t>Marco gemelo + blockchain para capital de trabajo en cadenas con disrupción financiera: "discrete-event simulation assesses the impact of financial disruptions on working capital performance, while machine learning models generate decision rules for adaptive working capital management".</t>
        </is>
      </c>
      <c r="S130" s="69" t="n"/>
    </row>
    <row r="131" ht="23.25" customHeight="1" s="17">
      <c r="A131" s="26" t="inlineStr">
        <is>
          <t>R0130</t>
        </is>
      </c>
      <c r="B131" s="26" t="inlineStr">
        <is>
          <t>Scopus + WoS</t>
        </is>
      </c>
      <c r="C131" s="26" t="inlineStr">
        <is>
          <t>Ding X.Y.; Ge J.; Yap W.-S.; Danny W.-K.N.; Wang F.-Y.; Goh C.-H.; Ding W.; Hau L.C.</t>
        </is>
      </c>
      <c r="D131" s="26" t="n">
        <v>2025</v>
      </c>
      <c r="E131" s="27" t="inlineStr">
        <is>
          <t>Bridging Sim2Real – Digital Twin for Autonomous Mobile Robots</t>
        </is>
      </c>
      <c r="F131" s="26" t="inlineStr">
        <is>
          <t>2025 IEEE International Conference on Mechatronic and Embedded Systems and Applications, MESA 2025</t>
        </is>
      </c>
      <c r="G131" s="26" t="inlineStr">
        <is>
          <t>Conference paper</t>
        </is>
      </c>
      <c r="H131" s="26" t="inlineStr">
        <is>
          <t>10.1109/mesa68091.2025.11278886</t>
        </is>
      </c>
      <c r="I131" s="26" t="inlineStr">
        <is>
          <t>TA</t>
        </is>
      </c>
      <c r="J131" s="37" t="inlineStr">
        <is>
          <t>Exclude</t>
        </is>
      </c>
      <c r="K131" s="37" t="inlineStr">
        <is>
          <t>No supply chain scope</t>
        </is>
      </c>
      <c r="L131" s="28" t="inlineStr">
        <is>
          <t>Strong candidate: twin + supply chain + AI all in title/abstract</t>
        </is>
      </c>
      <c r="M131" s="37" t="inlineStr">
        <is>
          <t>Prototipo de gemelo de AMR (ROS2, Isaac Sim); la logística sólo como contexto de adopción ("see growing adoption in logistics, manufacturing, and services"); también E3 (ML sólo como trabajo futuro: "incorporate machine learning models for predictive maintenance").</t>
        </is>
      </c>
      <c r="N131" s="69" t="inlineStr">
        <is>
          <t>E2</t>
        </is>
      </c>
      <c r="O131" s="69" t="n">
        <v>3</v>
      </c>
      <c r="P131" s="69" t="inlineStr">
        <is>
          <t>Exclude</t>
        </is>
      </c>
      <c r="Q131" s="69" t="inlineStr">
        <is>
          <t>E2</t>
        </is>
      </c>
      <c r="R131" s="69" t="inlineStr">
        <is>
          <t>Prototipo de gemelo de AMR (ROS2, Isaac Sim); la logística sólo como contexto de adopción ("see growing adoption in logistics, manufacturing, and services"); también E3 (ML sólo como trabajo futuro: "incorporate machine learning models for predictive maintenance").</t>
        </is>
      </c>
      <c r="S131" s="69" t="n"/>
    </row>
    <row r="132" ht="23.25" customHeight="1" s="17">
      <c r="A132" s="26" t="inlineStr">
        <is>
          <t>R0131</t>
        </is>
      </c>
      <c r="B132" s="26" t="inlineStr">
        <is>
          <t>Scopus</t>
        </is>
      </c>
      <c r="C132" s="26" t="inlineStr">
        <is>
          <t>Stijlen C.; Onar S.C.; Sarbazvatan S.</t>
        </is>
      </c>
      <c r="D132" s="26" t="n">
        <v>2025</v>
      </c>
      <c r="E132" s="27" t="inlineStr">
        <is>
          <t>A Bibliometric and Trend Analysis on Intelligent Technologies in Fashion 5.0 Supply Chains</t>
        </is>
      </c>
      <c r="F132" s="26" t="inlineStr">
        <is>
          <t>Lecture Notes in Networks and Systems</t>
        </is>
      </c>
      <c r="G132" s="26" t="inlineStr">
        <is>
          <t>Conference paper</t>
        </is>
      </c>
      <c r="H132" s="26" t="inlineStr">
        <is>
          <t>10.1007/978-3-031-97985-9_87</t>
        </is>
      </c>
      <c r="I132" s="26" t="inlineStr">
        <is>
          <t>TA</t>
        </is>
      </c>
      <c r="J132" s="37" t="inlineStr">
        <is>
          <t>Exclude</t>
        </is>
      </c>
      <c r="K132" s="37" t="inlineStr">
        <is>
          <t>Wrong publication type</t>
        </is>
      </c>
      <c r="L132" s="28" t="inlineStr">
        <is>
          <t>Strong candidate: twin + supply chain + AI all in title/abstract</t>
        </is>
      </c>
      <c r="M132" s="37" t="inlineStr">
        <is>
          <t>"This paper conducts a bibliometric and trend analysis to identify key research areas, gaps, and technological enablers shaping Fashion 5.0"; propone modelo de madurez. Valor para snowballing: medio (ajustado en la auditoría final 2026-09-06, antes bajo: Fashion 5.0 nombra la cadena de moda con eje humano-céntrico y los habilitadores como objeto).</t>
        </is>
      </c>
      <c r="N132" s="69" t="inlineStr">
        <is>
          <t>E4</t>
        </is>
      </c>
      <c r="O132" s="69" t="n">
        <v>3</v>
      </c>
      <c r="P132" s="69" t="inlineStr">
        <is>
          <t>Exclude</t>
        </is>
      </c>
      <c r="Q132" s="69" t="inlineStr">
        <is>
          <t>E4</t>
        </is>
      </c>
      <c r="R132" s="69" t="inlineStr">
        <is>
          <t>"This paper conducts a bibliometric and trend analysis to identify key research areas, gaps, and technological enablers shaping Fashion 5.0"; propone modelo de madurez. Valor para snowballing: bajo.</t>
        </is>
      </c>
      <c r="S132" s="69" t="n"/>
    </row>
    <row r="133" ht="57" customHeight="1" s="17">
      <c r="A133" s="26" t="inlineStr">
        <is>
          <t>R0132</t>
        </is>
      </c>
      <c r="B133" s="26" t="inlineStr">
        <is>
          <t>Scopus</t>
        </is>
      </c>
      <c r="C133" s="26" t="inlineStr">
        <is>
          <t>Skvortsova I.V.; Teslya A.B.; Somov A.G.; Zhang X.</t>
        </is>
      </c>
      <c r="D133" s="26" t="n">
        <v>2025</v>
      </c>
      <c r="E133" s="27" t="inlineStr">
        <is>
          <t>INTEGRATING ARTIFICIAL INTELLIGENCE INTO THE ARCTIC ECONOMY: PROSPECTS FOR RUSSIAN-CHINESE COOPERATION; [ИНТЕГРАЦИЯ ИСКУССТВЕННОГО ИНТЕЛЛЕКТА В ЭКОНОМИКУ АРКТИКИ: ПЕРСПЕКТИВЫ РОССИЙСКО-КИТАЙСКОГО СОТРУДНИЧЕСТВА]</t>
        </is>
      </c>
      <c r="F133" s="26" t="inlineStr">
        <is>
          <t>Sever i Rynok: Formirovanie Ekonomiceskogo Poradka</t>
        </is>
      </c>
      <c r="G133" s="26" t="inlineStr">
        <is>
          <t>Article</t>
        </is>
      </c>
      <c r="H133" s="26" t="inlineStr">
        <is>
          <t>10.37614/2220-802x.4.2025.90.010</t>
        </is>
      </c>
      <c r="I133" s="26" t="inlineStr">
        <is>
          <t>TA</t>
        </is>
      </c>
      <c r="J133" s="37" t="inlineStr">
        <is>
          <t>Exclude</t>
        </is>
      </c>
      <c r="K133" s="37" t="inlineStr">
        <is>
          <t>Not in English</t>
        </is>
      </c>
      <c r="L133" s="28" t="inlineStr">
        <is>
          <t>Strong candidate: twin + supply chain + AI all in title/abstract</t>
        </is>
      </c>
      <c r="M133" s="37" t="inlineStr">
        <is>
          <t>Probable original en ruso: revista Sever i Rynok, título bilingüe y copyright en cirílico (sin campo de idioma en el export de Scopus; Scopus sólo aporta el resumen en inglés). En cualquier caso E1: gemelo sólo como área de aplicación ("urban digital twins") y la logística ("digital logistics of the Northern Sea Route") como otra área. Confirmar.</t>
        </is>
      </c>
      <c r="N133" s="69" t="inlineStr">
        <is>
          <t>E5</t>
        </is>
      </c>
      <c r="O133" s="69" t="n">
        <v>3</v>
      </c>
      <c r="P133" s="69" t="inlineStr">
        <is>
          <t>Exclude</t>
        </is>
      </c>
      <c r="Q133" s="69" t="inlineStr">
        <is>
          <t>E5</t>
        </is>
      </c>
      <c r="R133" s="69" t="inlineStr">
        <is>
          <t>Probable original en ruso: revista Sever i Rynok, título bilingüe y copyright en cirílico (sin campo de idioma en el export de Scopus; Scopus sólo aporta el resumen en inglés). En cualquier caso E1: gemelo sólo como área de aplicación ("urban digital twins") y la logística ("digital logistics of the Northern Sea Route") como otra área. Confirmar.</t>
        </is>
      </c>
      <c r="S133" s="69" t="n"/>
    </row>
    <row r="134" ht="23.25" customHeight="1" s="17">
      <c r="A134" s="26" t="inlineStr">
        <is>
          <t>R0133</t>
        </is>
      </c>
      <c r="B134" s="26" t="inlineStr">
        <is>
          <t>Scopus</t>
        </is>
      </c>
      <c r="C134" s="26" t="inlineStr">
        <is>
          <t>Rai D.K.; Mani B.</t>
        </is>
      </c>
      <c r="D134" s="26" t="n">
        <v>2025</v>
      </c>
      <c r="E134" s="27" t="inlineStr">
        <is>
          <t>Digital Twin in Supply Chain Management: A Transformative Innovation for Resilience and Efficiency</t>
        </is>
      </c>
      <c r="F134" s="26" t="inlineStr">
        <is>
          <t>4th IEEE North Karnataka Subsection Flagship International Conference: Holistic Engineering for Sustainable Development, NKCon 2025</t>
        </is>
      </c>
      <c r="G134" s="26" t="inlineStr">
        <is>
          <t>Conference paper</t>
        </is>
      </c>
      <c r="H134" s="26" t="inlineStr">
        <is>
          <t>10.1109/nkcon66957.2025.11345727</t>
        </is>
      </c>
      <c r="I134" s="26" t="inlineStr">
        <is>
          <t>TA</t>
        </is>
      </c>
      <c r="J134" s="37" t="inlineStr">
        <is>
          <t>Exclude</t>
        </is>
      </c>
      <c r="K134" s="37" t="inlineStr">
        <is>
          <t>No AI/ML component</t>
        </is>
      </c>
      <c r="L134" s="28" t="inlineStr">
        <is>
          <t>Strong candidate: twin + supply chain + AI all in title/abstract</t>
        </is>
      </c>
      <c r="M134" s="37" t="inlineStr">
        <is>
          <t>[Antecedente C8: medio] Recodificado 2026-09-06 en la auditoría final (I→E3): Panorama con casos secundarios ("how the examples of Unilever and DHL can be used to demonstrate real-life examples"); la IA sólo como etiqueta de los sistemas descritos ("digital twins that are implemented in AI-based logistics systems") sin componente ni papel articulado (C8, primera precisión, criterio aplicado igual que a R0147). Pool medio por panorama de gemelos implementados con cadena central; casos útiles como antecedente. | Nota original (I): Panorama con casos ilustrativos (Unilever, DHL): "how digital twins are being implemented in supply chain management alongside artificial intelligence (AI)"; "digital twins that are implemented in AI-based logistics systems". Sin sistema ni método propuesto: riesgo E3 o E4 en texto completo; incluido por sensibilidad, confirmar.</t>
        </is>
      </c>
      <c r="N134" s="69" t="inlineStr">
        <is>
          <t>E3</t>
        </is>
      </c>
      <c r="O134" s="69" t="n">
        <v>3</v>
      </c>
      <c r="P134" s="69" t="inlineStr">
        <is>
          <t>Include</t>
        </is>
      </c>
      <c r="Q134" s="69" t="inlineStr">
        <is>
          <t>I</t>
        </is>
      </c>
      <c r="R134" s="69" t="inlineStr">
        <is>
          <t>Panorama con casos ilustrativos (Unilever, DHL): "how digital twins are being implemented in supply chain management alongside artificial intelligence (AI)"; "digital twins that are implemented in AI-based logistics systems". Sin sistema ni método propuesto: riesgo E3 o E4 en texto completo; incluido por sensibilidad, confirmar.</t>
        </is>
      </c>
      <c r="S134" s="69" t="n"/>
    </row>
    <row r="135" ht="23.25" customHeight="1" s="17">
      <c r="A135" s="26" t="inlineStr">
        <is>
          <t>R0134</t>
        </is>
      </c>
      <c r="B135" s="26" t="inlineStr">
        <is>
          <t>Scopus</t>
        </is>
      </c>
      <c r="C135" s="26" t="inlineStr">
        <is>
          <t>De Bari F.; Elsayeh M.-E.M.; Paroli M.; Querci A.; Papucci F.; Meini F.; Bonistalli M.; Scarsi M.</t>
        </is>
      </c>
      <c r="D135" s="26" t="n">
        <v>2025</v>
      </c>
      <c r="E135" s="27" t="inlineStr">
        <is>
          <t>PORT PLANNING IN THE FACE OF ARTIFICIAL INTELLIGENCE: TOWARDS AN INNOVATIVE METHODOLOGICAL APPROACH</t>
        </is>
      </c>
      <c r="F135" s="26" t="inlineStr">
        <is>
          <t>International Maritime Transport and Logistics Conference</t>
        </is>
      </c>
      <c r="G135" s="26" t="inlineStr">
        <is>
          <t>Conference paper</t>
        </is>
      </c>
      <c r="H135" s="26" t="inlineStr">
        <is>
          <t>10.21622/1617</t>
        </is>
      </c>
      <c r="I135" s="26" t="inlineStr">
        <is>
          <t>TA</t>
        </is>
      </c>
      <c r="J135" s="37" t="inlineStr">
        <is>
          <t>Exclude</t>
        </is>
      </c>
      <c r="K135" s="37" t="inlineStr">
        <is>
          <t>No digital twin/model</t>
        </is>
      </c>
      <c r="L135" s="28" t="inlineStr">
        <is>
          <t>Strong candidate: twin + supply chain + AI all in title/abstract</t>
        </is>
      </c>
      <c r="M135" s="37" t="inlineStr">
        <is>
          <t>Recodificado 2026-09-06 en la auditoría final (I→E1): Exploración del papel de la IA en la planeación portuaria desde la autoridad portuaria; el gemelo no es objeto ni componente diseñado del estudio, sólo tema de integración y plataforma externa ("its integration with Digital Twin technologies", "the Ocean Digital Twin") (C1); la IA sin método (E3 secundario) y la logística sólo como beneficio ("forecasting cargo flows, and im-proving intermodal logistics"). | Nota original (I): Conceptual, planeación portuaria con IA "focusing on its integration with Digital Twin technologies to enhance decision-making"; logística explícita ("forecasting cargo flows" e intermodal logistics con guion tipográfico en el resumen).</t>
        </is>
      </c>
      <c r="N135" s="69" t="inlineStr">
        <is>
          <t>E1</t>
        </is>
      </c>
      <c r="O135" s="69" t="n">
        <v>3</v>
      </c>
      <c r="P135" s="69" t="inlineStr">
        <is>
          <t>Include</t>
        </is>
      </c>
      <c r="Q135" s="69" t="inlineStr">
        <is>
          <t>I</t>
        </is>
      </c>
      <c r="R135" s="69" t="inlineStr">
        <is>
          <t>Conceptual, planeación portuaria con IA "focusing on its integration with Digital Twin technologies to enhance decision-making"; logística explícita ("forecasting cargo flows" e intermodal logistics con guion tipográfico en el resumen).</t>
        </is>
      </c>
      <c r="S135" s="69" t="n"/>
    </row>
    <row r="136" ht="34.5" customHeight="1" s="17">
      <c r="A136" s="26" t="inlineStr">
        <is>
          <t>R0135</t>
        </is>
      </c>
      <c r="B136" s="26" t="inlineStr">
        <is>
          <t>Scopus + WoS</t>
        </is>
      </c>
      <c r="C136" s="26" t="inlineStr">
        <is>
          <t>Lamdjad B.</t>
        </is>
      </c>
      <c r="D136" s="26" t="n">
        <v>2025</v>
      </c>
      <c r="E136" s="27" t="inlineStr">
        <is>
          <t>Comparative forecasting of container throughput for maritime logistics using statistical, machine learning and explainable AI models</t>
        </is>
      </c>
      <c r="F136" s="26" t="inlineStr">
        <is>
          <t>Maritime Business Review</t>
        </is>
      </c>
      <c r="G136" s="26" t="inlineStr">
        <is>
          <t>Article</t>
        </is>
      </c>
      <c r="H136" s="26" t="inlineStr">
        <is>
          <t>10.1108/mabr-08-2025-0086</t>
        </is>
      </c>
      <c r="I136" s="26" t="inlineStr">
        <is>
          <t>TA</t>
        </is>
      </c>
      <c r="J136" s="37" t="inlineStr">
        <is>
          <t>Exclude</t>
        </is>
      </c>
      <c r="K136" s="37" t="inlineStr">
        <is>
          <t>No digital twin/model</t>
        </is>
      </c>
      <c r="L136" s="28" t="inlineStr">
        <is>
          <t>Strong candidate: twin + supply chain + AI all in title/abstract</t>
        </is>
      </c>
      <c r="M136" s="37" t="inlineStr">
        <is>
          <t>Pronóstico de throughput de contenedores con ML y XAI; gemelo sólo como trabajo futuro ("digital twin environments and reinforcement learning to improve dynamic decision-making").</t>
        </is>
      </c>
      <c r="N136" s="69" t="inlineStr">
        <is>
          <t>E1</t>
        </is>
      </c>
      <c r="O136" s="69" t="n">
        <v>3</v>
      </c>
      <c r="P136" s="69" t="inlineStr">
        <is>
          <t>Exclude</t>
        </is>
      </c>
      <c r="Q136" s="69" t="inlineStr">
        <is>
          <t>E1</t>
        </is>
      </c>
      <c r="R136" s="69" t="inlineStr">
        <is>
          <t>Pronóstico de throughput de contenedores con ML y XAI; gemelo sólo como trabajo futuro ("digital twin environments and reinforcement learning to improve dynamic decision-making").</t>
        </is>
      </c>
      <c r="S136" s="69" t="n"/>
    </row>
    <row r="137" ht="23.25" customHeight="1" s="17">
      <c r="A137" s="26" t="inlineStr">
        <is>
          <t>R0136</t>
        </is>
      </c>
      <c r="B137" s="26" t="inlineStr">
        <is>
          <t>Scopus + WoS</t>
        </is>
      </c>
      <c r="C137" s="26" t="inlineStr">
        <is>
          <t>Yang H.; Aqlan F.; Zhao R.</t>
        </is>
      </c>
      <c r="D137" s="26" t="n">
        <v>2025</v>
      </c>
      <c r="E137" s="27" t="inlineStr">
        <is>
          <t>Toward Smart Manufacturing Metaverse via Digital Twinning in Extended Reality</t>
        </is>
      </c>
      <c r="F137" s="26" t="inlineStr">
        <is>
          <t>Journal of Computing and Information Science in Engineering</t>
        </is>
      </c>
      <c r="G137" s="26" t="inlineStr">
        <is>
          <t>Article</t>
        </is>
      </c>
      <c r="H137" s="26" t="inlineStr">
        <is>
          <t>10.1115/1.4070437</t>
        </is>
      </c>
      <c r="I137" s="26" t="inlineStr">
        <is>
          <t>TA</t>
        </is>
      </c>
      <c r="J137" s="37" t="inlineStr">
        <is>
          <t>Exclude</t>
        </is>
      </c>
      <c r="K137" s="37" t="inlineStr">
        <is>
          <t>Wrong publication type</t>
        </is>
      </c>
      <c r="L137" s="28" t="inlineStr">
        <is>
          <t>Strong candidate: twin + supply chain + AI all in title/abstract</t>
        </is>
      </c>
      <c r="M137" s="37" t="inlineStr">
        <is>
          <t>Recodificado 2026-09-06 en la auditoría final (E2→E4): Artículo de perspectiva (C3): "This article presents a forward-looking perspective on the development of smart MfgVerse"; gemelos cognitivos e IA en manufactura con eje humano-máquina ("human-centered manufacturing metaverse"), cadena y logística sólo como redes auxiliares ("auxiliary networks of sales, supply chain, logistics, and remanufacturing systems"). Valor para snowballing: medio. | Nota original (E2): Perspectiva de metaverso de manufactura con gemelos cognitivos e IA; la cadena y la logística sólo como redes auxiliares ("auxiliary networks of sales, supply chain, logistics, and remanufacturing systems"), sin encuadre de planeación ni logística intra-planta (regla Make).</t>
        </is>
      </c>
      <c r="N137" s="69" t="inlineStr">
        <is>
          <t>E4</t>
        </is>
      </c>
      <c r="O137" s="69" t="n">
        <v>3</v>
      </c>
      <c r="P137" s="69" t="inlineStr">
        <is>
          <t>Exclude</t>
        </is>
      </c>
      <c r="Q137" s="69" t="inlineStr">
        <is>
          <t>E2</t>
        </is>
      </c>
      <c r="R137" s="69" t="inlineStr">
        <is>
          <t>Perspectiva de metaverso de manufactura con gemelos cognitivos e IA; la cadena y la logística sólo como redes auxiliares ("auxiliary networks of sales, supply chain, logistics, and remanufacturing systems"), sin encuadre de planeación ni logística intra-planta (regla Make).</t>
        </is>
      </c>
      <c r="S137" s="69" t="n"/>
    </row>
    <row r="138" ht="23.25" customHeight="1" s="17">
      <c r="A138" s="26" t="inlineStr">
        <is>
          <t>R0137</t>
        </is>
      </c>
      <c r="B138" s="26" t="inlineStr">
        <is>
          <t>Scopus + WoS</t>
        </is>
      </c>
      <c r="C138" s="26" t="inlineStr">
        <is>
          <t>Ivanov D.</t>
        </is>
      </c>
      <c r="D138" s="26" t="n">
        <v>2025</v>
      </c>
      <c r="E138" s="27" t="inlineStr">
        <is>
          <t>From digital twins to supply chain ecosystems</t>
        </is>
      </c>
      <c r="F138" s="26" t="inlineStr">
        <is>
          <t>IFAC-PapersOnLine</t>
        </is>
      </c>
      <c r="G138" s="26" t="inlineStr">
        <is>
          <t>Conference paper</t>
        </is>
      </c>
      <c r="H138" s="26" t="inlineStr">
        <is>
          <t>10.1016/j.ifacol.2025.09.014</t>
        </is>
      </c>
      <c r="I138" s="26" t="inlineStr">
        <is>
          <t>TA</t>
        </is>
      </c>
      <c r="J138" s="37" t="inlineStr">
        <is>
          <t>Include</t>
        </is>
      </c>
      <c r="K138" s="37" t="n"/>
      <c r="L138" s="28" t="inlineStr">
        <is>
          <t>Strong candidate: twin + supply chain + AI all in title/abstract</t>
        </is>
      </c>
      <c r="M138" s="37" t="inlineStr">
        <is>
          <t>Conceptual (extensión del iDT a ecosistemas digitales de cadena): "we elaborate on how simulation, digital technologies and artificial intelligence (AI) can be combined to achieve a principally new quality of modeling and decision-making support in supply chain management"; IA generativa y ontologías para generar modelos.</t>
        </is>
      </c>
      <c r="N138" s="69" t="inlineStr">
        <is>
          <t>I</t>
        </is>
      </c>
      <c r="O138" s="69" t="n">
        <v>3</v>
      </c>
      <c r="P138" s="69" t="inlineStr">
        <is>
          <t>Include</t>
        </is>
      </c>
      <c r="Q138" s="69" t="inlineStr">
        <is>
          <t>I</t>
        </is>
      </c>
      <c r="R138" s="69" t="inlineStr">
        <is>
          <t>Conceptual (extensión del iDT a ecosistemas digitales de cadena): "we elaborate on how simulation, digital technologies and artificial intelligence (AI) can be combined to achieve a principally new quality of modeling and decision-making support in supply chain management"; IA generativa y ontologías para generar modelos.</t>
        </is>
      </c>
      <c r="S138" s="69" t="n"/>
    </row>
    <row r="139" ht="23.25" customHeight="1" s="17">
      <c r="A139" s="26" t="inlineStr">
        <is>
          <t>R0138</t>
        </is>
      </c>
      <c r="B139" s="26" t="inlineStr">
        <is>
          <t>Scopus + WoS</t>
        </is>
      </c>
      <c r="C139" s="26" t="inlineStr">
        <is>
          <t>Elhidaoui S.; Hakmaoui I.; Elhanna R.</t>
        </is>
      </c>
      <c r="D139" s="26" t="n">
        <v>2025</v>
      </c>
      <c r="E139" s="27" t="inlineStr">
        <is>
          <t>Outlining Expectations for Integrating Industry 5.0 Principles into Supply Chain Resilience Strategies</t>
        </is>
      </c>
      <c r="F139" s="26" t="inlineStr">
        <is>
          <t>International Conference on Logistics, LOGISTIQUA</t>
        </is>
      </c>
      <c r="G139" s="26" t="inlineStr">
        <is>
          <t>Conference paper</t>
        </is>
      </c>
      <c r="H139" s="26" t="inlineStr">
        <is>
          <t>10.1109/logistiqua66323.2025.11122823</t>
        </is>
      </c>
      <c r="I139" s="26" t="inlineStr">
        <is>
          <t>TA</t>
        </is>
      </c>
      <c r="J139" s="37" t="inlineStr">
        <is>
          <t>Exclude</t>
        </is>
      </c>
      <c r="K139" s="37" t="inlineStr">
        <is>
          <t>No digital twin/model</t>
        </is>
      </c>
      <c r="L139" s="28" t="inlineStr">
        <is>
          <t>Strong candidate: twin + supply chain + AI all in title/abstract</t>
        </is>
      </c>
      <c r="M139" s="37" t="inlineStr">
        <is>
          <t>Marco estratégico de Industria 5.0 para resiliencia de cadena; gemelo sólo en lista de apoyo ("supported by technologies like digital twins, IoT, and blockchain"); también E3 (IA sólo listada).</t>
        </is>
      </c>
      <c r="N139" s="69" t="inlineStr">
        <is>
          <t>E1</t>
        </is>
      </c>
      <c r="O139" s="69" t="n">
        <v>3</v>
      </c>
      <c r="P139" s="69" t="inlineStr">
        <is>
          <t>Exclude</t>
        </is>
      </c>
      <c r="Q139" s="69" t="inlineStr">
        <is>
          <t>E1</t>
        </is>
      </c>
      <c r="R139" s="69" t="inlineStr">
        <is>
          <t>Marco estratégico de Industria 5.0 para resiliencia de cadena; gemelo sólo en lista de apoyo ("supported by technologies like digital twins, IoT, and blockchain"); también E3 (IA sólo listada).</t>
        </is>
      </c>
      <c r="S139" s="69" t="n"/>
    </row>
    <row r="140" ht="23.25" customHeight="1" s="17">
      <c r="A140" s="26" t="inlineStr">
        <is>
          <t>R0139</t>
        </is>
      </c>
      <c r="B140" s="26" t="inlineStr">
        <is>
          <t>Scopus</t>
        </is>
      </c>
      <c r="C140" s="26" t="inlineStr">
        <is>
          <t>Sen S.; Chauhan L.</t>
        </is>
      </c>
      <c r="D140" s="26" t="n">
        <v>2025</v>
      </c>
      <c r="E140" s="27" t="inlineStr">
        <is>
          <t>Predictive Analytics using Geolocation in Logistics: A Review</t>
        </is>
      </c>
      <c r="F140" s="26" t="inlineStr">
        <is>
          <t>2025 Global Conference on Information Technology and Communication Networks, GITCON 2025</t>
        </is>
      </c>
      <c r="G140" s="26" t="inlineStr">
        <is>
          <t>Conference paper</t>
        </is>
      </c>
      <c r="H140" s="26" t="inlineStr">
        <is>
          <t>10.1109/gitcon65266.2025.11376703</t>
        </is>
      </c>
      <c r="I140" s="26" t="inlineStr">
        <is>
          <t>TA</t>
        </is>
      </c>
      <c r="J140" s="37" t="inlineStr">
        <is>
          <t>Exclude</t>
        </is>
      </c>
      <c r="K140" s="37" t="inlineStr">
        <is>
          <t>Wrong publication type</t>
        </is>
      </c>
      <c r="L140" s="28" t="inlineStr">
        <is>
          <t>Strong candidate: twin + supply chain + AI all in title/abstract</t>
        </is>
      </c>
      <c r="M140" s="37" t="inlineStr">
        <is>
          <t>"This review synthesizes key technologies-such as GPS, RFID, UAVs, and IoT-that underpin this transformation" en logística; gemelos como paradigma emergente. Valor para snowballing: medio.</t>
        </is>
      </c>
      <c r="N140" s="69" t="inlineStr">
        <is>
          <t>E4</t>
        </is>
      </c>
      <c r="O140" s="69" t="n">
        <v>3</v>
      </c>
      <c r="P140" s="69" t="inlineStr">
        <is>
          <t>Exclude</t>
        </is>
      </c>
      <c r="Q140" s="69" t="inlineStr">
        <is>
          <t>E4</t>
        </is>
      </c>
      <c r="R140" s="69" t="inlineStr">
        <is>
          <t>"This review synthesizes key technologies-such as GPS, RFID, UAVs, and IoT-that underpin this transformation" en logística; gemelos como paradigma emergente. Valor para snowballing: medio.</t>
        </is>
      </c>
      <c r="S140" s="69" t="n"/>
    </row>
    <row r="141" ht="23.25" customHeight="1" s="17">
      <c r="A141" s="26" t="inlineStr">
        <is>
          <t>R0140</t>
        </is>
      </c>
      <c r="B141" s="26" t="inlineStr">
        <is>
          <t>Scopus</t>
        </is>
      </c>
      <c r="C141" s="26" t="inlineStr">
        <is>
          <t>Merkuryeva G.; Merkuryev Y.</t>
        </is>
      </c>
      <c r="D141" s="26" t="n">
        <v>2025</v>
      </c>
      <c r="E141" s="27" t="inlineStr">
        <is>
          <t>The Research Landscape of Data-Driven Simulation in Transport and Logistics</t>
        </is>
      </c>
      <c r="F141" s="26" t="inlineStr">
        <is>
          <t>Procedia Computer Science</t>
        </is>
      </c>
      <c r="G141" s="26" t="inlineStr">
        <is>
          <t>Conference paper</t>
        </is>
      </c>
      <c r="H141" s="26" t="inlineStr">
        <is>
          <t>10.1016/j.procs.2025.12.007</t>
        </is>
      </c>
      <c r="I141" s="26" t="inlineStr">
        <is>
          <t>TA</t>
        </is>
      </c>
      <c r="J141" s="37" t="inlineStr">
        <is>
          <t>Exclude</t>
        </is>
      </c>
      <c r="K141" s="37" t="inlineStr">
        <is>
          <t>Wrong publication type</t>
        </is>
      </c>
      <c r="L141" s="28" t="inlineStr">
        <is>
          <t>Strong candidate: twin + supply chain + AI all in title/abstract</t>
        </is>
      </c>
      <c r="M141" s="37" t="inlineStr">
        <is>
          <t>"The aim of this paper is to review the evolution, current status and future trends of research in this field" (simulación basada en datos en transporte y logística), con "the use of digital twins of real logistics systems". Valor para snowballing: alto.</t>
        </is>
      </c>
      <c r="N141" s="69" t="inlineStr">
        <is>
          <t>E4</t>
        </is>
      </c>
      <c r="O141" s="69" t="n">
        <v>3</v>
      </c>
      <c r="P141" s="69" t="inlineStr">
        <is>
          <t>Exclude</t>
        </is>
      </c>
      <c r="Q141" s="69" t="inlineStr">
        <is>
          <t>E4</t>
        </is>
      </c>
      <c r="R141" s="69" t="inlineStr">
        <is>
          <t>"The aim of this paper is to review the evolution, current status and future trends of research in this field" (simulación basada en datos en transporte y logística), con "the use of digital twins of real logistics systems". Valor para snowballing: alto.</t>
        </is>
      </c>
      <c r="S141" s="69" t="n"/>
    </row>
    <row r="142" ht="23.25" customHeight="1" s="17">
      <c r="A142" s="26" t="inlineStr">
        <is>
          <t>R0141</t>
        </is>
      </c>
      <c r="B142" s="26" t="inlineStr">
        <is>
          <t>Scopus + WoS</t>
        </is>
      </c>
      <c r="C142" s="26" t="inlineStr">
        <is>
          <t>Halpern O.</t>
        </is>
      </c>
      <c r="D142" s="26" t="n">
        <v>2025</v>
      </c>
      <c r="E142" s="27" t="inlineStr">
        <is>
          <t>The geo-politics of resilience: On the historical convergence between ecology, artificial intelligence, and corporate strategy</t>
        </is>
      </c>
      <c r="F142" s="26" t="inlineStr">
        <is>
          <t>New Media and Society</t>
        </is>
      </c>
      <c r="G142" s="26" t="inlineStr">
        <is>
          <t>Article</t>
        </is>
      </c>
      <c r="H142" s="26" t="inlineStr">
        <is>
          <t>10.1177/14614448251336420</t>
        </is>
      </c>
      <c r="I142" s="26" t="inlineStr">
        <is>
          <t>TA</t>
        </is>
      </c>
      <c r="J142" s="37" t="inlineStr">
        <is>
          <t>Exclude</t>
        </is>
      </c>
      <c r="K142" s="37" t="inlineStr">
        <is>
          <t>No digital twin/model</t>
        </is>
      </c>
      <c r="L142" s="28" t="inlineStr">
        <is>
          <t>Strong candidate: twin + supply chain + AI all in title/abstract</t>
        </is>
      </c>
      <c r="M142" s="37" t="inlineStr">
        <is>
          <t>Ensayo crítico sobre la resiliencia como epistemología; gemelo e IA sólo como técnicas mencionadas ("generating new techniques such as digital twinning and generative artificial intelligence (AI)"); también E2 (logística como uno de varios dominios).</t>
        </is>
      </c>
      <c r="N142" s="69" t="inlineStr">
        <is>
          <t>E1</t>
        </is>
      </c>
      <c r="O142" s="69" t="n">
        <v>3</v>
      </c>
      <c r="P142" s="69" t="inlineStr">
        <is>
          <t>Exclude</t>
        </is>
      </c>
      <c r="Q142" s="69" t="inlineStr">
        <is>
          <t>E1</t>
        </is>
      </c>
      <c r="R142" s="69" t="inlineStr">
        <is>
          <t>Ensayo crítico sobre la resiliencia como epistemología; gemelo e IA sólo como técnicas mencionadas ("generating new techniques such as digital twinning and generative artificial intelligence (AI)"); también E2 (logística como uno de varios dominios).</t>
        </is>
      </c>
      <c r="S142" s="69" t="n"/>
    </row>
    <row r="143" ht="34.5" customHeight="1" s="17">
      <c r="A143" s="26" t="inlineStr">
        <is>
          <t>R0142</t>
        </is>
      </c>
      <c r="B143" s="26" t="inlineStr">
        <is>
          <t>Scopus</t>
        </is>
      </c>
      <c r="C143" s="26" t="inlineStr">
        <is>
          <t>Kandsi L.; Jabir A.; Jawab F.</t>
        </is>
      </c>
      <c r="D143" s="26" t="n">
        <v>2025</v>
      </c>
      <c r="E143" s="27" t="inlineStr">
        <is>
          <t>Optimizing the Supply Chain through Instanteneous Synchronization of Logistics Interfaces: A Supply Chain 4.0 Framework</t>
        </is>
      </c>
      <c r="F143" s="26" t="inlineStr">
        <is>
          <t>2025 IEEE International Conference on Advanced Technologies in Supply Chain Management, ATSCM 2025</t>
        </is>
      </c>
      <c r="G143" s="26" t="inlineStr">
        <is>
          <t>Conference paper</t>
        </is>
      </c>
      <c r="H143" s="26" t="inlineStr">
        <is>
          <t>10.1109/atscm67505.2025.11473850</t>
        </is>
      </c>
      <c r="I143" s="26" t="inlineStr">
        <is>
          <t>TA</t>
        </is>
      </c>
      <c r="J143" s="37" t="inlineStr">
        <is>
          <t>Include</t>
        </is>
      </c>
      <c r="K143" s="37" t="n"/>
      <c r="L143" s="28" t="inlineStr">
        <is>
          <t>Strong candidate: twin + supply chain + AI all in title/abstract</t>
        </is>
      </c>
      <c r="M143" s="37" t="inlineStr">
        <is>
          <t>Arquitectura ASC-6 de sincronización en tiempo real con "Prediction and Prescription intelligence with LSTMs neural nets &amp; Anomaly detection algorithms"; gemelo como método de validación: "A validation protocol of a particular scenario using Agent Based Modeling (ABM) and Digital Twin simulations is proposed to compare the robustness of ASC-6". | Auditoría final 2026-09-06: se mantiene I; el gemelo es método de validación ("Agent Based Modeling (ABM) and Digital Twin simulations"), no el objeto; el texto completo decide si el gemelo se describe.</t>
        </is>
      </c>
      <c r="N143" s="69" t="inlineStr">
        <is>
          <t>I</t>
        </is>
      </c>
      <c r="O143" s="69" t="n">
        <v>3</v>
      </c>
      <c r="P143" s="69" t="inlineStr">
        <is>
          <t>Include</t>
        </is>
      </c>
      <c r="Q143" s="69" t="inlineStr">
        <is>
          <t>I</t>
        </is>
      </c>
      <c r="R143" s="69" t="inlineStr">
        <is>
          <t>Arquitectura ASC-6 de sincronización en tiempo real con "Prediction and Prescription intelligence with LSTMs neural nets &amp; Anomaly detection algorithms"; gemelo como método de validación: "A validation protocol of a particular scenario using Agent Based Modeling (ABM) and Digital Twin simulations is proposed to compare the robustness of ASC-6".</t>
        </is>
      </c>
      <c r="S143" s="69" t="n"/>
    </row>
    <row r="144" ht="23.25" customHeight="1" s="17">
      <c r="A144" s="26" t="inlineStr">
        <is>
          <t>R0143</t>
        </is>
      </c>
      <c r="B144" s="26" t="inlineStr">
        <is>
          <t>Scopus</t>
        </is>
      </c>
      <c r="C144" s="26" t="inlineStr">
        <is>
          <t>Shrivastava A.; Hundekari S.; Praveen R.V.S.; Husain S.O.; Kumar R.; Nijhawan G.</t>
        </is>
      </c>
      <c r="D144" s="26" t="n">
        <v>2025</v>
      </c>
      <c r="E144" s="27" t="inlineStr">
        <is>
          <t>AI-Powered Digital Twins Revolutionizing Smart Manufacturing and Industrial IoT</t>
        </is>
      </c>
      <c r="F144" s="26" t="inlineStr">
        <is>
          <t>2025 International Conference on Information, Implementation, and Innovation in Technology, I2ITCON 2025</t>
        </is>
      </c>
      <c r="G144" s="26" t="inlineStr">
        <is>
          <t>Conference paper</t>
        </is>
      </c>
      <c r="H144" s="26" t="inlineStr">
        <is>
          <t>10.1109/i2itcon65200.2025.11210486</t>
        </is>
      </c>
      <c r="I144" s="26" t="inlineStr">
        <is>
          <t>TA</t>
        </is>
      </c>
      <c r="J144" s="37" t="inlineStr">
        <is>
          <t>Exclude</t>
        </is>
      </c>
      <c r="K144" s="37" t="inlineStr">
        <is>
          <t>No supply chain scope</t>
        </is>
      </c>
      <c r="L144" s="28" t="inlineStr">
        <is>
          <t>Strong candidate: twin + supply chain + AI all in title/abstract</t>
        </is>
      </c>
      <c r="M144" s="37" t="inlineStr">
        <is>
          <t>Panorama de gemelos con IA en manufactura inteligente; la cadena sólo como uno de los roles listados ("As their role in predictive maintenance, process automation, and supply chain optimization continues to grow"), sin encuadre de planeación ni logística (regla Make).</t>
        </is>
      </c>
      <c r="N144" s="69" t="inlineStr">
        <is>
          <t>E2</t>
        </is>
      </c>
      <c r="O144" s="69" t="n">
        <v>3</v>
      </c>
      <c r="P144" s="69" t="inlineStr">
        <is>
          <t>Exclude</t>
        </is>
      </c>
      <c r="Q144" s="69" t="inlineStr">
        <is>
          <t>E2</t>
        </is>
      </c>
      <c r="R144" s="69" t="inlineStr">
        <is>
          <t>Panorama de gemelos con IA en manufactura inteligente; la cadena sólo como uno de los roles listados ("As their role in predictive maintenance, process automation, and supply chain optimization continues to grow"), sin encuadre de planeación ni logística (regla Make).</t>
        </is>
      </c>
      <c r="S144" s="69" t="n"/>
    </row>
    <row r="145" ht="23.25" customHeight="1" s="17">
      <c r="A145" s="26" t="inlineStr">
        <is>
          <t>R0144</t>
        </is>
      </c>
      <c r="B145" s="26" t="inlineStr">
        <is>
          <t>Scopus + WoS</t>
        </is>
      </c>
      <c r="C145" s="26" t="inlineStr">
        <is>
          <t>Cherim G.-Y.; Saracin C.-G.</t>
        </is>
      </c>
      <c r="D145" s="26" t="n">
        <v>2025</v>
      </c>
      <c r="E145" s="27" t="inlineStr">
        <is>
          <t>Resilience and Vulnerability in Electrical Power Systems</t>
        </is>
      </c>
      <c r="F145" s="26" t="inlineStr">
        <is>
          <t>2025 14th International Symposium on Advanced Topics in Electrical Engineering, ATEE 2025 - Proceedings</t>
        </is>
      </c>
      <c r="G145" s="26" t="inlineStr">
        <is>
          <t>Conference paper</t>
        </is>
      </c>
      <c r="H145" s="26" t="inlineStr">
        <is>
          <t>10.1109/atee66006.2025.11299884</t>
        </is>
      </c>
      <c r="I145" s="26" t="inlineStr">
        <is>
          <t>TA</t>
        </is>
      </c>
      <c r="J145" s="37" t="inlineStr">
        <is>
          <t>Exclude</t>
        </is>
      </c>
      <c r="K145" s="37" t="inlineStr">
        <is>
          <t>No digital twin/model</t>
        </is>
      </c>
      <c r="L145" s="28" t="inlineStr">
        <is>
          <t>Strong candidate: twin + supply chain + AI all in title/abstract</t>
        </is>
      </c>
      <c r="M145" s="37" t="inlineStr">
        <is>
          <t>Resiliencia y ciberseguridad de sistemas eléctricos; gemelo sólo como vía sugerida ("suggesting practical ways such as AI based monitoring and digital twin models"); también E2 (cadena sólo como vector de ataque, "SolarWinds supply chain compromise").</t>
        </is>
      </c>
      <c r="N145" s="69" t="inlineStr">
        <is>
          <t>E1</t>
        </is>
      </c>
      <c r="O145" s="69" t="n">
        <v>3</v>
      </c>
      <c r="P145" s="69" t="inlineStr">
        <is>
          <t>Exclude</t>
        </is>
      </c>
      <c r="Q145" s="69" t="inlineStr">
        <is>
          <t>E1</t>
        </is>
      </c>
      <c r="R145" s="69" t="inlineStr">
        <is>
          <t>Resiliencia y ciberseguridad de sistemas eléctricos; gemelo sólo como vía sugerida ("suggesting practical ways such as AI based monitoring and digital twin models"); también E2 (cadena sólo como vector de ataque, "SolarWinds supply chain compromise").</t>
        </is>
      </c>
      <c r="S145" s="69" t="n"/>
    </row>
    <row r="146" ht="23.25" customHeight="1" s="17">
      <c r="A146" s="26" t="inlineStr">
        <is>
          <t>R0145</t>
        </is>
      </c>
      <c r="B146" s="26" t="inlineStr">
        <is>
          <t>Scopus + WoS</t>
        </is>
      </c>
      <c r="C146" s="26" t="inlineStr">
        <is>
          <t>Ferrari A.; Mangano G.; Zenezini G.</t>
        </is>
      </c>
      <c r="D146" s="26" t="n">
        <v>2025</v>
      </c>
      <c r="E146" s="27" t="inlineStr">
        <is>
          <t>Digital Twin Applications for Intralogistics Processes: A Literature Review</t>
        </is>
      </c>
      <c r="F146" s="26" t="inlineStr">
        <is>
          <t>IFAC-PapersOnLine</t>
        </is>
      </c>
      <c r="G146" s="26" t="inlineStr">
        <is>
          <t>Conference paper</t>
        </is>
      </c>
      <c r="H146" s="26" t="inlineStr">
        <is>
          <t>10.1016/j.ifacol.2025.09.274</t>
        </is>
      </c>
      <c r="I146" s="26" t="inlineStr">
        <is>
          <t>TA</t>
        </is>
      </c>
      <c r="J146" s="37" t="inlineStr">
        <is>
          <t>Exclude</t>
        </is>
      </c>
      <c r="K146" s="37" t="inlineStr">
        <is>
          <t>Wrong publication type</t>
        </is>
      </c>
      <c r="L146" s="28" t="inlineStr">
        <is>
          <t>Strong candidate: twin + supply chain + AI all in title/abstract</t>
        </is>
      </c>
      <c r="M146" s="37" t="inlineStr">
        <is>
          <t>"this paper reviews literature to identify trends and challenges in this domain" (gemelos en intralogística), señalando que "the integration of digital models, optimisation algorithms, and machine learning remains underexplored". Valor para snowballing: alto.</t>
        </is>
      </c>
      <c r="N146" s="69" t="inlineStr">
        <is>
          <t>E4</t>
        </is>
      </c>
      <c r="O146" s="69" t="n">
        <v>3</v>
      </c>
      <c r="P146" s="69" t="inlineStr">
        <is>
          <t>Exclude</t>
        </is>
      </c>
      <c r="Q146" s="69" t="inlineStr">
        <is>
          <t>E4</t>
        </is>
      </c>
      <c r="R146" s="69" t="inlineStr">
        <is>
          <t>"this paper reviews literature to identify trends and challenges in this domain" (gemelos en intralogística), señalando que "the integration of digital models, optimisation algorithms, and machine learning remains underexplored". Valor para snowballing: alto.</t>
        </is>
      </c>
      <c r="S146" s="69" t="n"/>
    </row>
    <row r="147" ht="23.25" customHeight="1" s="17">
      <c r="A147" s="26" t="inlineStr">
        <is>
          <t>R0146</t>
        </is>
      </c>
      <c r="B147" s="26" t="inlineStr">
        <is>
          <t>Scopus</t>
        </is>
      </c>
      <c r="C147" s="26" t="inlineStr">
        <is>
          <t>Sampath B.; Kumar P.S.; Sirisha U.; Mahesh A.V.</t>
        </is>
      </c>
      <c r="D147" s="26" t="n">
        <v>2025</v>
      </c>
      <c r="E147" s="27" t="inlineStr">
        <is>
          <t>Design of an Iterative Model with Quantum Contextual Supply Chain Optimization under Uncertainty Scenarios</t>
        </is>
      </c>
      <c r="F147" s="26" t="inlineStr">
        <is>
          <t>EPJ Web of Conferences</t>
        </is>
      </c>
      <c r="G147" s="26" t="inlineStr">
        <is>
          <t>Conference paper</t>
        </is>
      </c>
      <c r="H147" s="26" t="inlineStr">
        <is>
          <t>10.1051/epjconf/202534101055</t>
        </is>
      </c>
      <c r="I147" s="26" t="inlineStr">
        <is>
          <t>TA</t>
        </is>
      </c>
      <c r="J147" s="37" t="inlineStr">
        <is>
          <t>Include</t>
        </is>
      </c>
      <c r="K147" s="37" t="n"/>
      <c r="L147" s="28" t="inlineStr">
        <is>
          <t>Strong candidate: twin + supply chain + AI all in title/abstract</t>
        </is>
      </c>
      <c r="M147" s="37" t="inlineStr">
        <is>
          <t>Optimización cuántica de cadena con RL cuántico y gemelo integrado: "feeds its output into a Quantum-Integrated Digital Twin Optimizer (QIDTO) that stress-tests plans against detailed virtual replicas of trucks, warehouses, and fuel markets". Nota: propuesta especulativa; calidad por evaluar.</t>
        </is>
      </c>
      <c r="N147" s="69" t="inlineStr">
        <is>
          <t>I</t>
        </is>
      </c>
      <c r="O147" s="69" t="n">
        <v>3</v>
      </c>
      <c r="P147" s="69" t="inlineStr">
        <is>
          <t>Include</t>
        </is>
      </c>
      <c r="Q147" s="69" t="inlineStr">
        <is>
          <t>I</t>
        </is>
      </c>
      <c r="R147" s="69" t="inlineStr">
        <is>
          <t>Optimización cuántica de cadena con RL cuántico y gemelo integrado: "feeds its output into a Quantum-Integrated Digital Twin Optimizer (QIDTO) that stress-tests plans against detailed virtual replicas of trucks, warehouses, and fuel markets". Nota: propuesta especulativa; calidad por evaluar.</t>
        </is>
      </c>
      <c r="S147" s="69" t="n"/>
    </row>
    <row r="148" ht="23.25" customHeight="1" s="17">
      <c r="A148" s="26" t="inlineStr">
        <is>
          <t>R0147</t>
        </is>
      </c>
      <c r="B148" s="26" t="inlineStr">
        <is>
          <t>Scopus + WoS</t>
        </is>
      </c>
      <c r="C148" s="26" t="inlineStr">
        <is>
          <t>Bhalerao M.</t>
        </is>
      </c>
      <c r="D148" s="26" t="n">
        <v>2025</v>
      </c>
      <c r="E148" s="27" t="inlineStr">
        <is>
          <t>Digital Twin for Managed Transportation - Transforming Logistics with AI-Driven Supply Chain Optimization</t>
        </is>
      </c>
      <c r="F148" s="26" t="inlineStr">
        <is>
          <t>TEMSCON Global 2025 - 2025 IEEE Technology and Engineering Management Society Conference - Global, Conference Proceedings</t>
        </is>
      </c>
      <c r="G148" s="26" t="inlineStr">
        <is>
          <t>Conference paper</t>
        </is>
      </c>
      <c r="H148" s="26" t="inlineStr">
        <is>
          <t>10.1109/temsconglobal64363.2025.11238334</t>
        </is>
      </c>
      <c r="I148" s="26" t="inlineStr">
        <is>
          <t>TA</t>
        </is>
      </c>
      <c r="J148" s="37" t="inlineStr">
        <is>
          <t>Exclude</t>
        </is>
      </c>
      <c r="K148" s="37" t="inlineStr">
        <is>
          <t>No AI/ML component</t>
        </is>
      </c>
      <c r="L148" s="28" t="inlineStr">
        <is>
          <t>Strong candidate: twin + supply chain + AI all in title/abstract</t>
        </is>
      </c>
      <c r="M148" s="37" t="inlineStr">
        <is>
          <t>[Antecedente C8: medio] Recodificado 2026-09-06 en la auditoría final (I→E3): Gemelo conceptual para transporte gestionado con casos simulados ("simulation-based case analyses from both the pharmaceutical industry and logistics systems to conceptually demonstrate the potential benefits of Digital Twins"); la IA sólo como habilitador listado ("leveraging the best technology available today Internet of Things, AI, and cloud computing") y como consigna ("letting machine learning and AI do the work"), sin método ni componente (C8, primera precisión). | Nota original (I): "This paper examines how Digital Twins supplement fleet management, real-time decision-making, and supply chain visibility"; la IA sostenida por el título ("AI-Driven Supply Chain Optimization") y por "letting machine learning and AI do the work"; casos simulados (farmacéutica y logística). Conceptual; riesgo E3 en texto completo.</t>
        </is>
      </c>
      <c r="N148" s="69" t="inlineStr">
        <is>
          <t>E3</t>
        </is>
      </c>
      <c r="O148" s="69" t="n">
        <v>3</v>
      </c>
      <c r="P148" s="69" t="inlineStr">
        <is>
          <t>Include</t>
        </is>
      </c>
      <c r="Q148" s="69" t="inlineStr">
        <is>
          <t>I</t>
        </is>
      </c>
      <c r="R148" s="69" t="inlineStr">
        <is>
          <t>"This paper examines how Digital Twins supplement fleet management, real-time decision-making, and supply chain visibility"; la IA sostenida por el título ("AI-Driven Supply Chain Optimization") y por "letting machine learning and AI do the work"; casos simulados (farmacéutica y logística). Conceptual; riesgo E3 en texto completo.</t>
        </is>
      </c>
      <c r="S148" s="69" t="n"/>
    </row>
    <row r="149" ht="23.25" customHeight="1" s="17">
      <c r="A149" s="26" t="inlineStr">
        <is>
          <t>R0148</t>
        </is>
      </c>
      <c r="B149" s="26" t="inlineStr">
        <is>
          <t>Scopus</t>
        </is>
      </c>
      <c r="C149" s="26" t="inlineStr">
        <is>
          <t>Nagpal M.; Ghale B.; Baxi P.; Pattnaik S.C.; Aroul Canessane R.; Chaudhary P.</t>
        </is>
      </c>
      <c r="D149" s="26" t="n">
        <v>2025</v>
      </c>
      <c r="E149" s="27" t="inlineStr">
        <is>
          <t>AI Based Advanced Green Supply Chain Through Sustainable Finance Strategies</t>
        </is>
      </c>
      <c r="F149" s="26" t="inlineStr">
        <is>
          <t>Proceedings - 2025 IEEE 1st International Conference on Smart Innovations in Systems, Infrastructure, Mechanical, Power, AI and Computing Technologies, SISIMPACT 2025</t>
        </is>
      </c>
      <c r="G149" s="26" t="inlineStr">
        <is>
          <t>Conference paper</t>
        </is>
      </c>
      <c r="H149" s="26" t="inlineStr">
        <is>
          <t>10.1109/sisimpact67725.2025.11439853</t>
        </is>
      </c>
      <c r="I149" s="26" t="inlineStr">
        <is>
          <t>TA</t>
        </is>
      </c>
      <c r="J149" s="37" t="inlineStr">
        <is>
          <t>Include</t>
        </is>
      </c>
      <c r="K149" s="37" t="n"/>
      <c r="L149" s="28" t="inlineStr">
        <is>
          <t>Strong candidate: twin + supply chain + AI all in title/abstract</t>
        </is>
      </c>
      <c r="M149" s="37" t="inlineStr">
        <is>
          <t>Marco IGC-Fin para cadena verde: "The framework combines Deep Q-Learning used in the dynamic optimization of policy with the Green-Aware Digital Twin"; blockchain para trazabilidad. Nota: cifras poco claras ("overall accuracy of 97.8%"); calidad por evaluar.</t>
        </is>
      </c>
      <c r="N149" s="69" t="inlineStr">
        <is>
          <t>I</t>
        </is>
      </c>
      <c r="O149" s="69" t="n">
        <v>3</v>
      </c>
      <c r="P149" s="69" t="inlineStr">
        <is>
          <t>Include</t>
        </is>
      </c>
      <c r="Q149" s="69" t="inlineStr">
        <is>
          <t>I</t>
        </is>
      </c>
      <c r="R149" s="69" t="inlineStr">
        <is>
          <t>Marco IGC-Fin para cadena verde: "The framework combines Deep Q-Learning used in the dynamic optimization of policy with the Green-Aware Digital Twin"; blockchain para trazabilidad. Nota: cifras poco claras ("overall accuracy of 97.8%"); calidad por evaluar.</t>
        </is>
      </c>
      <c r="S149" s="69" t="n"/>
    </row>
    <row r="150" ht="23.25" customHeight="1" s="17">
      <c r="A150" s="26" t="inlineStr">
        <is>
          <t>R0149</t>
        </is>
      </c>
      <c r="B150" s="26" t="inlineStr">
        <is>
          <t>Scopus + WoS</t>
        </is>
      </c>
      <c r="C150" s="26" t="inlineStr">
        <is>
          <t>Ren K.; Huang Z.; Wang Y.; Wu W.</t>
        </is>
      </c>
      <c r="D150" s="26" t="n">
        <v>2025</v>
      </c>
      <c r="E150" s="27" t="inlineStr">
        <is>
          <t>Reimagining Energy Systems through AI-Augmented Transformation</t>
        </is>
      </c>
      <c r="F150" s="26" t="inlineStr">
        <is>
          <t>IEEE International Symposium on Broadband Multimedia Systems and Broadcasting, BMSB</t>
        </is>
      </c>
      <c r="G150" s="26" t="inlineStr">
        <is>
          <t>Conference paper</t>
        </is>
      </c>
      <c r="H150" s="26" t="inlineStr">
        <is>
          <t>10.1109/bmsb65076.2025.11165625</t>
        </is>
      </c>
      <c r="I150" s="26" t="inlineStr">
        <is>
          <t>TA</t>
        </is>
      </c>
      <c r="J150" s="37" t="inlineStr">
        <is>
          <t>Exclude</t>
        </is>
      </c>
      <c r="K150" s="37" t="inlineStr">
        <is>
          <t>No supply chain scope</t>
        </is>
      </c>
      <c r="L150" s="28" t="inlineStr">
        <is>
          <t>Strong candidate: twin + supply chain + AI all in title/abstract</t>
        </is>
      </c>
      <c r="M150" s="37" t="inlineStr">
        <is>
          <t>Transformación energética con IA (currículo y pilotos); el gemelo es de sistemas energéticos urbanos ("a digital twin modeling framework of city-scale energy systems was developed") y la cadena sólo como un piloto aparte ("Production planning, supply chain management and demand-side flexibility were optimized using cloud-based algorithms").</t>
        </is>
      </c>
      <c r="N150" s="69" t="inlineStr">
        <is>
          <t>E2</t>
        </is>
      </c>
      <c r="O150" s="69" t="n">
        <v>3</v>
      </c>
      <c r="P150" s="69" t="inlineStr">
        <is>
          <t>Exclude</t>
        </is>
      </c>
      <c r="Q150" s="69" t="inlineStr">
        <is>
          <t>E2</t>
        </is>
      </c>
      <c r="R150" s="69" t="inlineStr">
        <is>
          <t>Transformación energética con IA (currículo y pilotos); el gemelo es de sistemas energéticos urbanos ("a digital twin modeling framework of city-scale energy systems was developed") y la cadena sólo como un piloto aparte ("Production planning, supply chain management and demand-side flexibility were optimized using cloud-based algorithms").</t>
        </is>
      </c>
      <c r="S150" s="69" t="n"/>
    </row>
    <row r="151" ht="34.5" customHeight="1" s="17">
      <c r="A151" s="26" t="inlineStr">
        <is>
          <t>R0150</t>
        </is>
      </c>
      <c r="B151" s="26" t="inlineStr">
        <is>
          <t>Scopus</t>
        </is>
      </c>
      <c r="C151" s="26" t="inlineStr">
        <is>
          <t>Mustafa M.A.S.</t>
        </is>
      </c>
      <c r="D151" s="26" t="n">
        <v>2025</v>
      </c>
      <c r="E151" s="27" t="inlineStr">
        <is>
          <t>Predictive Reliability-Driven Optimization of Spare Parts Management in Aircraft Fleets Using AI, IoT, and Digital Twin Technologies</t>
        </is>
      </c>
      <c r="F151" s="26" t="inlineStr">
        <is>
          <t>Journal of Engineering Management and Systems Engineering</t>
        </is>
      </c>
      <c r="G151" s="26" t="inlineStr">
        <is>
          <t>Article</t>
        </is>
      </c>
      <c r="H151" s="26" t="inlineStr">
        <is>
          <t>10.56578/jemse040305</t>
        </is>
      </c>
      <c r="I151" s="26" t="inlineStr">
        <is>
          <t>TA</t>
        </is>
      </c>
      <c r="J151" s="37" t="inlineStr">
        <is>
          <t>Include</t>
        </is>
      </c>
      <c r="K151" s="37" t="n"/>
      <c r="L151" s="28" t="inlineStr">
        <is>
          <t>Strong candidate: twin + supply chain + AI all in title/abstract</t>
        </is>
      </c>
      <c r="M151" s="37" t="inlineStr">
        <is>
          <t>Inventario de refacciones en flotas aéreas: "Predictive models, including Long Short-Term Memory (LSTM) neural networks and Random Forest classifiers, are employed to enhance the accuracy of failure prognostics and spare parts demand forecasting" e "integrating real-time analytics with digital twin simulations"; logística de aviación.</t>
        </is>
      </c>
      <c r="N151" s="69" t="inlineStr">
        <is>
          <t>I</t>
        </is>
      </c>
      <c r="O151" s="69" t="n">
        <v>3</v>
      </c>
      <c r="P151" s="69" t="inlineStr">
        <is>
          <t>Include</t>
        </is>
      </c>
      <c r="Q151" s="69" t="inlineStr">
        <is>
          <t>I</t>
        </is>
      </c>
      <c r="R151" s="69" t="inlineStr">
        <is>
          <t>Inventario de refacciones en flotas aéreas: "Predictive models, including Long Short-Term Memory (LSTM) neural networks and Random Forest classifiers, are employed to enhance the accuracy of failure prognostics and spare parts demand forecasting" e "integrating real-time analytics with digital twin simulations"; logística de aviación.</t>
        </is>
      </c>
      <c r="S151" s="69" t="n"/>
    </row>
    <row r="152" ht="23.25" customHeight="1" s="17">
      <c r="A152" s="26" t="inlineStr">
        <is>
          <t>R0151</t>
        </is>
      </c>
      <c r="B152" s="26" t="inlineStr">
        <is>
          <t>Scopus</t>
        </is>
      </c>
      <c r="C152" s="26" t="inlineStr">
        <is>
          <t>Ahsan M.N.; Islam M.D.S.; Bappy M.M.</t>
        </is>
      </c>
      <c r="D152" s="26" t="n">
        <v>2025</v>
      </c>
      <c r="E152" s="27" t="inlineStr">
        <is>
          <t>Generative modeling in smart manufacturing: Applications, challenges, and future directions</t>
        </is>
      </c>
      <c r="F152" s="26" t="inlineStr">
        <is>
          <t>Manufacturing Letters</t>
        </is>
      </c>
      <c r="G152" s="26" t="inlineStr">
        <is>
          <t>Article</t>
        </is>
      </c>
      <c r="H152" s="26" t="inlineStr">
        <is>
          <t>10.1016/j.mfglet.2025.06.148</t>
        </is>
      </c>
      <c r="I152" s="26" t="inlineStr">
        <is>
          <t>TA</t>
        </is>
      </c>
      <c r="J152" s="37" t="inlineStr">
        <is>
          <t>Exclude</t>
        </is>
      </c>
      <c r="K152" s="37" t="inlineStr">
        <is>
          <t>Wrong publication type</t>
        </is>
      </c>
      <c r="L152" s="28" t="inlineStr">
        <is>
          <t>Strong candidate: twin + supply chain + AI all in title/abstract</t>
        </is>
      </c>
      <c r="M152" s="37" t="inlineStr">
        <is>
          <t>"This review systematically explores the applications of generative modeling in smart manufacturing"; gemelos sólo como integración futura y cadena como área. Valor para snowballing: bajo.</t>
        </is>
      </c>
      <c r="N152" s="69" t="inlineStr">
        <is>
          <t>E4</t>
        </is>
      </c>
      <c r="O152" s="69" t="n">
        <v>4</v>
      </c>
      <c r="P152" s="69" t="inlineStr">
        <is>
          <t>Exclude</t>
        </is>
      </c>
      <c r="Q152" s="69" t="inlineStr">
        <is>
          <t>E4</t>
        </is>
      </c>
      <c r="R152" s="69" t="inlineStr">
        <is>
          <t>"This review systematically explores the applications of generative modeling in smart manufacturing"; gemelos sólo como integración futura y cadena como área. Valor para snowballing: bajo.</t>
        </is>
      </c>
      <c r="S152" s="69" t="n"/>
    </row>
    <row r="153" ht="34.5" customHeight="1" s="17">
      <c r="A153" s="26" t="inlineStr">
        <is>
          <t>R0152</t>
        </is>
      </c>
      <c r="B153" s="26" t="inlineStr">
        <is>
          <t>Scopus + WoS</t>
        </is>
      </c>
      <c r="C153" s="26" t="inlineStr">
        <is>
          <t>Mhiri M.; Mkacher H.; Al-Khatib M.; Kharbeche M.; AlNouss A.; Haouari M.</t>
        </is>
      </c>
      <c r="D153" s="26" t="n">
        <v>2025</v>
      </c>
      <c r="E153" s="27" t="inlineStr">
        <is>
          <t>Enhancing Liquefied Natural Gas supply chain robustness through digital twin-driven machine learning models: A special case of cryogenic heat exchanger</t>
        </is>
      </c>
      <c r="F153" s="26" t="inlineStr">
        <is>
          <t>Gas Science and Engineering</t>
        </is>
      </c>
      <c r="G153" s="26" t="inlineStr">
        <is>
          <t>Article</t>
        </is>
      </c>
      <c r="H153" s="26" t="inlineStr">
        <is>
          <t>10.1016/j.jgsce.2025.205714</t>
        </is>
      </c>
      <c r="I153" s="26" t="inlineStr">
        <is>
          <t>TA</t>
        </is>
      </c>
      <c r="J153" s="37" t="inlineStr">
        <is>
          <t>Include</t>
        </is>
      </c>
      <c r="K153" s="37" t="n"/>
      <c r="L153" s="28" t="inlineStr">
        <is>
          <t>Strong candidate: twin + supply chain + AI all in title/abstract</t>
        </is>
      </c>
      <c r="M153" s="37" t="inlineStr">
        <is>
          <t>[Make] Gemelo de equipo de licuefacción con ML encuadrado en la robustez de la cadena de GNL (título y palabras clave "LNG supply chain", "Supply chain resilience"): "the framework integrates digital twins (DT), machine learning (ML), and predictive model to enable real-time monitoring, early failure detection, and proactive mitigation". Make (precedente R0077). | Auditoría final 2026-09-06: Informe compañero: R0155 (IEEM 2025) excluido como E6 por la regla de pares; este artículo de revista es el informe principal.</t>
        </is>
      </c>
      <c r="N153" s="69" t="inlineStr">
        <is>
          <t>I</t>
        </is>
      </c>
      <c r="O153" s="69" t="n">
        <v>4</v>
      </c>
      <c r="P153" s="69" t="inlineStr">
        <is>
          <t>Include</t>
        </is>
      </c>
      <c r="Q153" s="69" t="inlineStr">
        <is>
          <t>I</t>
        </is>
      </c>
      <c r="R153" s="69" t="inlineStr">
        <is>
          <t>Gemelo de equipo de licuefacción con ML encuadrado en la robustez de la cadena de GNL (título y palabras clave "LNG supply chain", "Supply chain resilience"): "the framework integrates digital twins (DT), machine learning (ML), and predictive model to enable real-time monitoring, early failure detection, and proactive mitigation". Make (precedente R0077).</t>
        </is>
      </c>
      <c r="S153" s="69" t="inlineStr">
        <is>
          <t>Make</t>
        </is>
      </c>
    </row>
    <row r="154" ht="23.25" customHeight="1" s="17">
      <c r="A154" s="26" t="inlineStr">
        <is>
          <t>R0153</t>
        </is>
      </c>
      <c r="B154" s="26" t="inlineStr">
        <is>
          <t>Scopus</t>
        </is>
      </c>
      <c r="C154" s="26" t="inlineStr">
        <is>
          <t>Mukhamedova Z.; Ibragimova G.; Ergasheva Z.; Yakupbaev K.</t>
        </is>
      </c>
      <c r="D154" s="26" t="n">
        <v>2025</v>
      </c>
      <c r="E154" s="27" t="inlineStr">
        <is>
          <t>Leveraging IT Solutions for Enhancing Reliability in Piggyback Transportation Systems</t>
        </is>
      </c>
      <c r="F154" s="26" t="inlineStr">
        <is>
          <t>Proceedings of International Conference on Applied Innovation in IT</t>
        </is>
      </c>
      <c r="G154" s="26" t="inlineStr">
        <is>
          <t>Conference paper</t>
        </is>
      </c>
      <c r="H154" s="26" t="inlineStr">
        <is>
          <t>10.25673/120440</t>
        </is>
      </c>
      <c r="I154" s="26" t="inlineStr">
        <is>
          <t>TA</t>
        </is>
      </c>
      <c r="J154" s="37" t="inlineStr">
        <is>
          <t>Exclude</t>
        </is>
      </c>
      <c r="K154" s="37" t="inlineStr">
        <is>
          <t>No digital twin/model</t>
        </is>
      </c>
      <c r="L154" s="28" t="inlineStr">
        <is>
          <t>Strong candidate: twin + supply chain + AI all in title/abstract</t>
        </is>
      </c>
      <c r="M154" s="37" t="inlineStr">
        <is>
          <t>Marco IT (IA, IoT, blockchain) para transporte combinado; gemelo sólo como trabajo futuro ("Future research should explore 5G, edge computing, and digital twins to further optimize logistics operations").</t>
        </is>
      </c>
      <c r="N154" s="69" t="inlineStr">
        <is>
          <t>E1</t>
        </is>
      </c>
      <c r="O154" s="69" t="n">
        <v>4</v>
      </c>
      <c r="P154" s="69" t="inlineStr">
        <is>
          <t>Exclude</t>
        </is>
      </c>
      <c r="Q154" s="69" t="inlineStr">
        <is>
          <t>E1</t>
        </is>
      </c>
      <c r="R154" s="69" t="inlineStr">
        <is>
          <t>Marco IT (IA, IoT, blockchain) para transporte combinado; gemelo sólo como trabajo futuro ("Future research should explore 5G, edge computing, and digital twins to further optimize logistics operations").</t>
        </is>
      </c>
      <c r="S154" s="69" t="n"/>
    </row>
    <row r="155" ht="23.25" customHeight="1" s="17">
      <c r="A155" s="26" t="inlineStr">
        <is>
          <t>R0154</t>
        </is>
      </c>
      <c r="B155" s="26" t="inlineStr">
        <is>
          <t>Scopus + WoS</t>
        </is>
      </c>
      <c r="C155" s="26" t="inlineStr">
        <is>
          <t>Tiwari A.; Patel N.; Kumar S.</t>
        </is>
      </c>
      <c r="D155" s="26" t="n">
        <v>2025</v>
      </c>
      <c r="E155" s="27" t="inlineStr">
        <is>
          <t>Task support and collaborative capabilities enhancement an mixed reality and digital twin environment using an optimized network</t>
        </is>
      </c>
      <c r="F155" s="26" t="inlineStr">
        <is>
          <t>Wireless Networks</t>
        </is>
      </c>
      <c r="G155" s="26" t="inlineStr">
        <is>
          <t>Article</t>
        </is>
      </c>
      <c r="H155" s="26" t="inlineStr">
        <is>
          <t>10.1007/s11276-025-04026-x</t>
        </is>
      </c>
      <c r="I155" s="26" t="inlineStr">
        <is>
          <t>TA</t>
        </is>
      </c>
      <c r="J155" s="37" t="inlineStr">
        <is>
          <t>Exclude</t>
        </is>
      </c>
      <c r="K155" s="37" t="inlineStr">
        <is>
          <t>No supply chain scope</t>
        </is>
      </c>
      <c r="L155" s="28" t="inlineStr">
        <is>
          <t>Strong candidate: twin + supply chain + AI all in title/abstract</t>
        </is>
      </c>
      <c r="M155" s="37" t="inlineStr">
        <is>
          <t>Modelo de gemelo modular con optimización Zebra para mantenimiento predictivo de máquinas; la cadena sólo en antecedentes ("which is crucial for smart manufacturing, Logistics 4.0, and the digitization of the supply chain"), sin encuadre del estudio.</t>
        </is>
      </c>
      <c r="N155" s="69" t="inlineStr">
        <is>
          <t>E2</t>
        </is>
      </c>
      <c r="O155" s="69" t="n">
        <v>4</v>
      </c>
      <c r="P155" s="69" t="inlineStr">
        <is>
          <t>Exclude</t>
        </is>
      </c>
      <c r="Q155" s="69" t="inlineStr">
        <is>
          <t>E2</t>
        </is>
      </c>
      <c r="R155" s="69" t="inlineStr">
        <is>
          <t>Modelo de gemelo modular con optimización Zebra para mantenimiento predictivo de máquinas; la cadena sólo en antecedentes ("which is crucial for smart manufacturing, Logistics 4.0, and the digitization of the supply chain"), sin encuadre del estudio.</t>
        </is>
      </c>
      <c r="S155" s="69" t="n"/>
    </row>
    <row r="156" ht="23.25" customHeight="1" s="17">
      <c r="A156" s="26" t="inlineStr">
        <is>
          <t>R0155</t>
        </is>
      </c>
      <c r="B156" s="26" t="inlineStr">
        <is>
          <t>Scopus</t>
        </is>
      </c>
      <c r="C156" s="26" t="inlineStr">
        <is>
          <t>Mhiri M.; Kharbeche M.; Haouari M.</t>
        </is>
      </c>
      <c r="D156" s="26" t="n">
        <v>2025</v>
      </c>
      <c r="E156" s="27" t="inlineStr">
        <is>
          <t>A Data-Driven Framework for Predictive Maintenance to Enhance Supply Chains Resilience Across Industrial Systems</t>
        </is>
      </c>
      <c r="F156" s="26" t="inlineStr">
        <is>
          <t>IEEE International Conference on Industrial Engineering and Engineering Management</t>
        </is>
      </c>
      <c r="G156" s="26" t="inlineStr">
        <is>
          <t>Conference paper</t>
        </is>
      </c>
      <c r="H156" s="26" t="inlineStr">
        <is>
          <t>10.1109/ieem63636.2025.11357697</t>
        </is>
      </c>
      <c r="I156" s="26" t="inlineStr">
        <is>
          <t>TA</t>
        </is>
      </c>
      <c r="J156" s="37" t="inlineStr">
        <is>
          <t>Exclude</t>
        </is>
      </c>
      <c r="K156" s="37" t="inlineStr">
        <is>
          <t>Duplicate</t>
        </is>
      </c>
      <c r="L156" s="28" t="inlineStr">
        <is>
          <t>Strong candidate: twin + supply chain + AI all in title/abstract</t>
        </is>
      </c>
      <c r="M156" s="37" t="inlineStr">
        <is>
          <t>Recodificado 2026-09-06 en la auditoría final (I→E6, informe compañero de R0152): Informe compañero de R0152 (regla de pares: se elimina la segunda aparición): mismo grupo (Mhiri, Kharbeche, Haouari), mismo marco y mismo caso ("The framework is validated on a cryogenic heat exchanger, critical equipment in natural gas liquefaction"), versión de congreso IEEM 2025 que añade LSTM; se conserva el artículo de revista R0152 como informe principal. | Nota original (I) (anotado Make en el cribado inicial, retirado): Marco de mantenimiento predictivo para resiliencia de cadena (título): "First, data is collected via IoT sensors and digital twins or simulation tools. This data trains a binary classification machine learning (ML) model"; VAR y LSTM sobre un intercambiador criogénico. Make. Notas: el gemelo actúa como fuente de datos (roza C6, incluido por sensibilidad); artículo compañero de R0152 (mismo caso GNL), no contar dos veces en la síntesis.</t>
        </is>
      </c>
      <c r="N156" s="69" t="inlineStr">
        <is>
          <t>E6</t>
        </is>
      </c>
      <c r="O156" s="69" t="n">
        <v>4</v>
      </c>
      <c r="P156" s="69" t="inlineStr">
        <is>
          <t>Include</t>
        </is>
      </c>
      <c r="Q156" s="69" t="inlineStr">
        <is>
          <t>I</t>
        </is>
      </c>
      <c r="R156" s="69" t="inlineStr">
        <is>
          <t>Marco de mantenimiento predictivo para resiliencia de cadena (título): "First, data is collected via IoT sensors and digital twins or simulation tools. This data trains a binary classification machine learning (ML) model"; VAR y LSTM sobre un intercambiador criogénico. Make. Notas: el gemelo actúa como fuente de datos (roza C6, incluido por sensibilidad); artículo compañero de R0152 (mismo caso GNL), no contar dos veces en la síntesis.</t>
        </is>
      </c>
      <c r="S156" s="69" t="n"/>
    </row>
    <row r="157" ht="23.25" customHeight="1" s="17">
      <c r="A157" s="26" t="inlineStr">
        <is>
          <t>R0156</t>
        </is>
      </c>
      <c r="B157" s="26" t="inlineStr">
        <is>
          <t>Scopus + WoS</t>
        </is>
      </c>
      <c r="C157" s="26" t="inlineStr">
        <is>
          <t>Boareto P.A.; Szejka A.L.; Loures E.F.R.; Deschamps F.; Santos E.A.P.</t>
        </is>
      </c>
      <c r="D157" s="26" t="n">
        <v>2025</v>
      </c>
      <c r="E157" s="27" t="inlineStr">
        <is>
          <t>Accelerating Industry 4.0 and 5.0: The Potential of Generative Artificial Intelligence</t>
        </is>
      </c>
      <c r="F157" s="26" t="inlineStr">
        <is>
          <t>Communications in Computer and Information Science</t>
        </is>
      </c>
      <c r="G157" s="26" t="inlineStr">
        <is>
          <t>Conference paper</t>
        </is>
      </c>
      <c r="H157" s="26" t="inlineStr">
        <is>
          <t>10.1007/978-3-031-80760-2_29</t>
        </is>
      </c>
      <c r="I157" s="26" t="inlineStr">
        <is>
          <t>TA</t>
        </is>
      </c>
      <c r="J157" s="37" t="inlineStr">
        <is>
          <t>Exclude</t>
        </is>
      </c>
      <c r="K157" s="37" t="inlineStr">
        <is>
          <t>No digital twin/model</t>
        </is>
      </c>
      <c r="L157" s="28" t="inlineStr">
        <is>
          <t>Strong candidate: twin + supply chain + AI all in title/abstract</t>
        </is>
      </c>
      <c r="M157" s="37" t="inlineStr">
        <is>
          <t>Exploración conceptual de IA generativa para Industria 4.0/5.0; gemelo sólo como contribución mencionada ("optimizing operations through Digital Twins (DT), predictive maintenance"); también E2 (cadena sólo como dimensión de análisis).</t>
        </is>
      </c>
      <c r="N157" s="69" t="inlineStr">
        <is>
          <t>E1</t>
        </is>
      </c>
      <c r="O157" s="69" t="n">
        <v>4</v>
      </c>
      <c r="P157" s="69" t="inlineStr">
        <is>
          <t>Exclude</t>
        </is>
      </c>
      <c r="Q157" s="69" t="inlineStr">
        <is>
          <t>E1</t>
        </is>
      </c>
      <c r="R157" s="69" t="inlineStr">
        <is>
          <t>Exploración conceptual de IA generativa para Industria 4.0/5.0; gemelo sólo como contribución mencionada ("optimizing operations through Digital Twins (DT), predictive maintenance"); también E2 (cadena sólo como dimensión de análisis).</t>
        </is>
      </c>
      <c r="S157" s="69" t="n"/>
    </row>
    <row r="158" ht="23.25" customHeight="1" s="17">
      <c r="A158" s="26" t="inlineStr">
        <is>
          <t>R0157</t>
        </is>
      </c>
      <c r="B158" s="26" t="inlineStr">
        <is>
          <t>Scopus + WoS</t>
        </is>
      </c>
      <c r="C158" s="26" t="inlineStr">
        <is>
          <t>Xiros V.; Gonzalez Castro J.M.; Fernandez-Pelaez F.; Magoutas B.; Christidis K.</t>
        </is>
      </c>
      <c r="D158" s="26" t="n">
        <v>2025</v>
      </c>
      <c r="E158" s="27" t="inlineStr">
        <is>
          <t>Supply Chain Data Analytics for Digital Twins: A Comprehensive Framework</t>
        </is>
      </c>
      <c r="F158" s="26" t="inlineStr">
        <is>
          <t>Applied Sciences (Switzerland)</t>
        </is>
      </c>
      <c r="G158" s="26" t="inlineStr">
        <is>
          <t>Article</t>
        </is>
      </c>
      <c r="H158" s="26" t="inlineStr">
        <is>
          <t>10.3390/app15126939</t>
        </is>
      </c>
      <c r="I158" s="26" t="inlineStr">
        <is>
          <t>TA</t>
        </is>
      </c>
      <c r="J158" s="37" t="inlineStr">
        <is>
          <t>Include</t>
        </is>
      </c>
      <c r="K158" s="37" t="n"/>
      <c r="L158" s="28" t="inlineStr">
        <is>
          <t>Strong candidate: twin + supply chain + AI all in title/abstract</t>
        </is>
      </c>
      <c r="M158" s="37" t="inlineStr">
        <is>
          <t>Arquitectura analítica que aporta "an intelligent layer to Digital Twins" en "industrial supply chains", implementada y demostrada en dos casos (España y Grecia); el ML se sostiene en la palabra clave de autor "machine learning" y en el contexto analítico del resumen. Incluido por sensibilidad; confirmar el componente ML en texto completo. | Auditoría final 2026-09-06: se mantiene I; el ML se sostiene en "utilizing machine learning to propose sustainability initiatives" y en la palabra clave de autor; confirmar el componente ML de la capa inteligente en texto completo.</t>
        </is>
      </c>
      <c r="N158" s="69" t="inlineStr">
        <is>
          <t>I</t>
        </is>
      </c>
      <c r="O158" s="69" t="n">
        <v>4</v>
      </c>
      <c r="P158" s="69" t="inlineStr">
        <is>
          <t>Include</t>
        </is>
      </c>
      <c r="Q158" s="69" t="inlineStr">
        <is>
          <t>I</t>
        </is>
      </c>
      <c r="R158" s="69" t="inlineStr">
        <is>
          <t>Arquitectura analítica que aporta "an intelligent layer to Digital Twins" en "industrial supply chains", implementada y demostrada en dos casos (España y Grecia); el ML se sostiene en la palabra clave de autor "machine learning" y en el contexto analítico del resumen. Incluido por sensibilidad; confirmar el componente ML en texto completo.</t>
        </is>
      </c>
      <c r="S158" s="69" t="n"/>
    </row>
    <row r="159" ht="23.25" customHeight="1" s="17">
      <c r="A159" s="26" t="inlineStr">
        <is>
          <t>R0158</t>
        </is>
      </c>
      <c r="B159" s="26" t="inlineStr">
        <is>
          <t>Scopus</t>
        </is>
      </c>
      <c r="C159" s="26" t="inlineStr">
        <is>
          <t>Pandey S.; Kandhari H.; Anwar S.R.; Manju Bargavi S.K.; Das Adhikary D.R.; Jegan Antony Marcilin L.</t>
        </is>
      </c>
      <c r="D159" s="26" t="n">
        <v>2025</v>
      </c>
      <c r="E159" s="27" t="inlineStr">
        <is>
          <t>Supply Chain Resilient Security for Industrial 4.0 Using AI-Based and Digital Twin Anomaly Detection</t>
        </is>
      </c>
      <c r="F159" s="26" t="inlineStr">
        <is>
          <t>Proceedings of the 2025 International Conference on Computational Intelligence, Security, and Artificial Intelligence, IntelliSecAI 2025</t>
        </is>
      </c>
      <c r="G159" s="26" t="inlineStr">
        <is>
          <t>Conference paper</t>
        </is>
      </c>
      <c r="H159" s="26" t="inlineStr">
        <is>
          <t>10.1109/intellisecai66368.2025.11472943</t>
        </is>
      </c>
      <c r="I159" s="26" t="inlineStr">
        <is>
          <t>TA</t>
        </is>
      </c>
      <c r="J159" s="37" t="inlineStr">
        <is>
          <t>Include</t>
        </is>
      </c>
      <c r="K159" s="37" t="n"/>
      <c r="L159" s="28" t="inlineStr">
        <is>
          <t>Strong candidate: twin + supply chain + AI all in title/abstract</t>
        </is>
      </c>
      <c r="M159" s="37" t="inlineStr">
        <is>
          <t>Marco SCTSF: "integrates Digital Twin Modeling to create virtual replicas of supply chain processes with the Isolation Forest Algorithm for advanced anomaly detection" en nodos de logística, manufactura y distribución. Nota: resumen con texto corrupto; calidad por evaluar.</t>
        </is>
      </c>
      <c r="N159" s="69" t="inlineStr">
        <is>
          <t>I</t>
        </is>
      </c>
      <c r="O159" s="69" t="n">
        <v>4</v>
      </c>
      <c r="P159" s="69" t="inlineStr">
        <is>
          <t>Include</t>
        </is>
      </c>
      <c r="Q159" s="69" t="inlineStr">
        <is>
          <t>I</t>
        </is>
      </c>
      <c r="R159" s="69" t="inlineStr">
        <is>
          <t>Marco SCTSF: "integrates Digital Twin Modeling to create virtual replicas of supply chain processes with the Isolation Forest Algorithm for advanced anomaly detection" en nodos de logística, manufactura y distribución. Nota: resumen con texto corrupto; calidad por evaluar.</t>
        </is>
      </c>
      <c r="S159" s="69" t="n"/>
    </row>
    <row r="160" ht="23.25" customHeight="1" s="17">
      <c r="A160" s="26" t="inlineStr">
        <is>
          <t>R0159</t>
        </is>
      </c>
      <c r="B160" s="26" t="inlineStr">
        <is>
          <t>Scopus + WoS</t>
        </is>
      </c>
      <c r="C160" s="26" t="inlineStr">
        <is>
          <t>Kravchenko I.N.; Nekrasov S.I.; Erofeev M.N.</t>
        </is>
      </c>
      <c r="D160" s="26" t="n">
        <v>2025</v>
      </c>
      <c r="E160" s="27" t="inlineStr">
        <is>
          <t>Modeling of the Distribution of Production Resources Based on GERT Networks</t>
        </is>
      </c>
      <c r="F160" s="26" t="inlineStr">
        <is>
          <t>Technical Physics</t>
        </is>
      </c>
      <c r="G160" s="26" t="inlineStr">
        <is>
          <t>Article</t>
        </is>
      </c>
      <c r="H160" s="26" t="inlineStr">
        <is>
          <t>10.1134/s1063784225600699</t>
        </is>
      </c>
      <c r="I160" s="26" t="inlineStr">
        <is>
          <t>TA</t>
        </is>
      </c>
      <c r="J160" s="37" t="inlineStr">
        <is>
          <t>Exclude</t>
        </is>
      </c>
      <c r="K160" s="37" t="inlineStr">
        <is>
          <t>No digital twin/model</t>
        </is>
      </c>
      <c r="L160" s="28" t="inlineStr">
        <is>
          <t>Strong candidate: twin + supply chain + AI all in title/abstract</t>
        </is>
      </c>
      <c r="M160" s="37" t="inlineStr">
        <is>
          <t>Modelado estocástico GERT de recursos de producción; gemelo y ML sólo como direcciones futuras ("the creation of digital twins of industrial systems using predictive analytics"); también E3.</t>
        </is>
      </c>
      <c r="N160" s="69" t="inlineStr">
        <is>
          <t>E1</t>
        </is>
      </c>
      <c r="O160" s="69" t="n">
        <v>4</v>
      </c>
      <c r="P160" s="69" t="inlineStr">
        <is>
          <t>Exclude</t>
        </is>
      </c>
      <c r="Q160" s="69" t="inlineStr">
        <is>
          <t>E1</t>
        </is>
      </c>
      <c r="R160" s="69" t="inlineStr">
        <is>
          <t>Modelado estocástico GERT de recursos de producción; gemelo y ML sólo como direcciones futuras ("the creation of digital twins of industrial systems using predictive analytics"); también E3.</t>
        </is>
      </c>
      <c r="S160" s="69" t="n"/>
    </row>
    <row r="161" ht="23.25" customHeight="1" s="17">
      <c r="A161" s="26" t="inlineStr">
        <is>
          <t>R0160</t>
        </is>
      </c>
      <c r="B161" s="26" t="inlineStr">
        <is>
          <t>Scopus + WoS</t>
        </is>
      </c>
      <c r="C161" s="26" t="inlineStr">
        <is>
          <t>Selepe R.L.; Munyai T.; Makinde O.</t>
        </is>
      </c>
      <c r="D161" s="26" t="n">
        <v>2025</v>
      </c>
      <c r="E161" s="27" t="inlineStr">
        <is>
          <t>Industry 4.0 technologies for improving SCOR model's enable phase: A systematic literature review</t>
        </is>
      </c>
      <c r="F161" s="26" t="inlineStr">
        <is>
          <t>Proceedings of the International Conference on Mechanical and Intelligent Manufacturing Technologies, ICMIMT</t>
        </is>
      </c>
      <c r="G161" s="26" t="inlineStr">
        <is>
          <t>Conference paper</t>
        </is>
      </c>
      <c r="H161" s="26" t="inlineStr">
        <is>
          <t>10.1109/icmimt65123.2025.11091944</t>
        </is>
      </c>
      <c r="I161" s="26" t="inlineStr">
        <is>
          <t>TA</t>
        </is>
      </c>
      <c r="J161" s="37" t="inlineStr">
        <is>
          <t>Exclude</t>
        </is>
      </c>
      <c r="K161" s="37" t="inlineStr">
        <is>
          <t>Wrong publication type</t>
        </is>
      </c>
      <c r="L161" s="28" t="inlineStr">
        <is>
          <t>Strong candidate: twin + supply chain + AI all in title/abstract</t>
        </is>
      </c>
      <c r="M161" s="37" t="inlineStr">
        <is>
          <t>"This study conducts a systematic literature review to identify Industry 4.0 technologies applicable to enhance the enable phase" del modelo SCOR, con gemelos y ML entre las tecnologías. Valor para snowballing: alto (SCOR).</t>
        </is>
      </c>
      <c r="N161" s="69" t="inlineStr">
        <is>
          <t>E4</t>
        </is>
      </c>
      <c r="O161" s="69" t="n">
        <v>4</v>
      </c>
      <c r="P161" s="69" t="inlineStr">
        <is>
          <t>Exclude</t>
        </is>
      </c>
      <c r="Q161" s="69" t="inlineStr">
        <is>
          <t>E4</t>
        </is>
      </c>
      <c r="R161" s="69" t="inlineStr">
        <is>
          <t>"This study conducts a systematic literature review to identify Industry 4.0 technologies applicable to enhance the enable phase" del modelo SCOR, con gemelos y ML entre las tecnologías. Valor para snowballing: alto (SCOR).</t>
        </is>
      </c>
      <c r="S161" s="69" t="n"/>
    </row>
    <row r="162" ht="23.25" customHeight="1" s="17">
      <c r="A162" s="26" t="inlineStr">
        <is>
          <t>R0161</t>
        </is>
      </c>
      <c r="B162" s="26" t="inlineStr">
        <is>
          <t>Scopus + WoS</t>
        </is>
      </c>
      <c r="C162" s="26" t="inlineStr">
        <is>
          <t>Garine R.; Paladugu N.; Nagalla S.; Garine G.; Tawade H.</t>
        </is>
      </c>
      <c r="D162" s="26" t="n">
        <v>2025</v>
      </c>
      <c r="E162" s="27" t="inlineStr">
        <is>
          <t>Disruption-Aware Simulation Framework for Supply Chain Delay Prediction Using Machine Learning</t>
        </is>
      </c>
      <c r="F162" s="26" t="inlineStr">
        <is>
          <t>TEMSCON Global 2025 - 2025 IEEE Technology and Engineering Management Society Conference - Global, Conference Proceedings</t>
        </is>
      </c>
      <c r="G162" s="26" t="inlineStr">
        <is>
          <t>Conference paper</t>
        </is>
      </c>
      <c r="H162" s="26" t="inlineStr">
        <is>
          <t>10.1109/temsconglobal64363.2025.11238282</t>
        </is>
      </c>
      <c r="I162" s="26" t="inlineStr">
        <is>
          <t>TA</t>
        </is>
      </c>
      <c r="J162" s="37" t="inlineStr">
        <is>
          <t>Exclude</t>
        </is>
      </c>
      <c r="K162" s="37" t="inlineStr">
        <is>
          <t>No digital twin/model</t>
        </is>
      </c>
      <c r="L162" s="28" t="inlineStr">
        <is>
          <t>Strong candidate: twin + supply chain + AI all in title/abstract</t>
        </is>
      </c>
      <c r="M162" s="37" t="inlineStr">
        <is>
          <t>Sandbox de simulación sintética con ML (XGBoost, Bi-LSTM) para resiliencia de cadena; los autores lo distinguen expresamente de un gemelo ("without requiring proprietary data or full-scale digital twin infrastructure"); modelo no sincronizado con un sistema físico. Límite del criterio 1.</t>
        </is>
      </c>
      <c r="N162" s="69" t="inlineStr">
        <is>
          <t>E1</t>
        </is>
      </c>
      <c r="O162" s="69" t="n">
        <v>4</v>
      </c>
      <c r="P162" s="69" t="inlineStr">
        <is>
          <t>Exclude</t>
        </is>
      </c>
      <c r="Q162" s="69" t="inlineStr">
        <is>
          <t>E1</t>
        </is>
      </c>
      <c r="R162" s="69" t="inlineStr">
        <is>
          <t>Sandbox de simulación sintética con ML (XGBoost, Bi-LSTM) para resiliencia de cadena; los autores lo distinguen expresamente de un gemelo ("without requiring proprietary data or full-scale digital twin infrastructure"); modelo no sincronizado con un sistema físico. Límite del criterio 1.</t>
        </is>
      </c>
      <c r="S162" s="69" t="n"/>
    </row>
    <row r="163" ht="23.25" customHeight="1" s="17">
      <c r="A163" s="26" t="inlineStr">
        <is>
          <t>R0162</t>
        </is>
      </c>
      <c r="B163" s="26" t="inlineStr">
        <is>
          <t>Scopus + WoS</t>
        </is>
      </c>
      <c r="C163" s="26" t="inlineStr">
        <is>
          <t>Croft B.L.</t>
        </is>
      </c>
      <c r="D163" s="26" t="n">
        <v>2025</v>
      </c>
      <c r="E163" s="27" t="inlineStr">
        <is>
          <t>Plan Future Graph Visualization and Improvement</t>
        </is>
      </c>
      <c r="F163" s="26" t="inlineStr">
        <is>
          <t>Communications in Computer and Information Science</t>
        </is>
      </c>
      <c r="G163" s="26" t="inlineStr">
        <is>
          <t>Conference paper</t>
        </is>
      </c>
      <c r="H163" s="26" t="inlineStr">
        <is>
          <t>10.1007/978-3-031-78531-3_20</t>
        </is>
      </c>
      <c r="I163" s="26" t="inlineStr">
        <is>
          <t>TA</t>
        </is>
      </c>
      <c r="J163" s="37" t="inlineStr">
        <is>
          <t>Include</t>
        </is>
      </c>
      <c r="K163" s="37" t="n"/>
      <c r="L163" s="28" t="inlineStr">
        <is>
          <t>Strong candidate: twin + supply chain + AI all in title/abstract</t>
        </is>
      </c>
      <c r="M163" s="37" t="inlineStr">
        <is>
          <t>XAI y Human-AI Teaming para planes generados por IA que el planificador humano aprueba, en "A logistics-based land delivery scenario"; fase dos "through use of digital twin simulation with an embedded Goal-Oriented Action Planning (GOAP) AI algorithm". Muy relevante para HITL.</t>
        </is>
      </c>
      <c r="N163" s="69" t="inlineStr">
        <is>
          <t>I</t>
        </is>
      </c>
      <c r="O163" s="69" t="n">
        <v>4</v>
      </c>
      <c r="P163" s="69" t="inlineStr">
        <is>
          <t>Include</t>
        </is>
      </c>
      <c r="Q163" s="69" t="inlineStr">
        <is>
          <t>I</t>
        </is>
      </c>
      <c r="R163" s="69" t="inlineStr">
        <is>
          <t>XAI y Human-AI Teaming para planes generados por IA que el planificador humano aprueba, en "A logistics-based land delivery scenario"; fase dos "through use of digital twin simulation with an embedded Goal-Oriented Action Planning (GOAP) AI algorithm". Muy relevante para HITL.</t>
        </is>
      </c>
      <c r="S163" s="69" t="n"/>
    </row>
    <row r="164" ht="23.25" customHeight="1" s="17">
      <c r="A164" s="26" t="inlineStr">
        <is>
          <t>R0163</t>
        </is>
      </c>
      <c r="B164" s="26" t="inlineStr">
        <is>
          <t>Scopus</t>
        </is>
      </c>
      <c r="C164" s="26" t="inlineStr">
        <is>
          <t>Aprizal A.; Wiranatakusuma D.B.; Rizki M.; Anugrah R.A.</t>
        </is>
      </c>
      <c r="D164" s="26" t="n">
        <v>2025</v>
      </c>
      <c r="E164" s="27" t="inlineStr">
        <is>
          <t>The Role of Technology in Climate Resilience: A Systematic Literature Review and Mapping Study Approach</t>
        </is>
      </c>
      <c r="F164" s="26" t="inlineStr">
        <is>
          <t>Journal of Physics: Conference Series</t>
        </is>
      </c>
      <c r="G164" s="26" t="inlineStr">
        <is>
          <t>Conference paper</t>
        </is>
      </c>
      <c r="H164" s="26" t="inlineStr">
        <is>
          <t>10.1088/1742-6596/2989/1/012037</t>
        </is>
      </c>
      <c r="I164" s="26" t="inlineStr">
        <is>
          <t>TA</t>
        </is>
      </c>
      <c r="J164" s="37" t="inlineStr">
        <is>
          <t>Exclude</t>
        </is>
      </c>
      <c r="K164" s="37" t="inlineStr">
        <is>
          <t>Wrong publication type</t>
        </is>
      </c>
      <c r="L164" s="28" t="inlineStr">
        <is>
          <t>Strong candidate: twin + supply chain + AI all in title/abstract</t>
        </is>
      </c>
      <c r="M164" s="37" t="inlineStr">
        <is>
          <t>"A total of 22 articles were reviewed, employing systematic literature review and mapping study methods" sobre tecnología y resiliencia climática; gemelo y logística sólo como menciones. Valor para snowballing: bajo.</t>
        </is>
      </c>
      <c r="N164" s="69" t="inlineStr">
        <is>
          <t>E4</t>
        </is>
      </c>
      <c r="O164" s="69" t="n">
        <v>4</v>
      </c>
      <c r="P164" s="69" t="inlineStr">
        <is>
          <t>Exclude</t>
        </is>
      </c>
      <c r="Q164" s="69" t="inlineStr">
        <is>
          <t>E4</t>
        </is>
      </c>
      <c r="R164" s="69" t="inlineStr">
        <is>
          <t>"A total of 22 articles were reviewed, employing systematic literature review and mapping study methods" sobre tecnología y resiliencia climática; gemelo y logística sólo como menciones. Valor para snowballing: bajo.</t>
        </is>
      </c>
      <c r="S164" s="69" t="n"/>
    </row>
    <row r="165" ht="23.25" customHeight="1" s="17">
      <c r="A165" s="26" t="inlineStr">
        <is>
          <t>R0164</t>
        </is>
      </c>
      <c r="B165" s="26" t="inlineStr">
        <is>
          <t>Scopus</t>
        </is>
      </c>
      <c r="C165" s="26" t="inlineStr">
        <is>
          <t>Luo B.; Chen H.</t>
        </is>
      </c>
      <c r="D165" s="26" t="n">
        <v>2025</v>
      </c>
      <c r="E165" s="27" t="inlineStr">
        <is>
          <t>Design of a Geographic Path Model for Dongguan Export Based on Multi-Agent Reinforcement Learning and Supply Chain Simulation</t>
        </is>
      </c>
      <c r="F165" s="26" t="inlineStr">
        <is>
          <t>Proceedings of the 2025 5th International Conference on Internet of Things and Machine Learning, IoTML 2025</t>
        </is>
      </c>
      <c r="G165" s="26" t="inlineStr">
        <is>
          <t>Conference paper</t>
        </is>
      </c>
      <c r="H165" s="26" t="inlineStr">
        <is>
          <t>10.1145/3749566.3749610</t>
        </is>
      </c>
      <c r="I165" s="26" t="inlineStr">
        <is>
          <t>TA</t>
        </is>
      </c>
      <c r="J165" s="37" t="inlineStr">
        <is>
          <t>Include</t>
        </is>
      </c>
      <c r="K165" s="37" t="n"/>
      <c r="L165" s="28" t="inlineStr">
        <is>
          <t>Strong candidate: twin + supply chain + AI all in title/abstract</t>
        </is>
      </c>
      <c r="M165" s="37" t="inlineStr">
        <is>
          <t>"We propose a dynamic supply chain collaborative decision-making framework that integrates Multi-Agent Reinforcement Learning (MARL) with digital twin technology" para rutas de exportación (fabricantes, proveedores logísticos, aduanas); datos reales de 300 empresas.</t>
        </is>
      </c>
      <c r="N165" s="69" t="inlineStr">
        <is>
          <t>I</t>
        </is>
      </c>
      <c r="O165" s="69" t="n">
        <v>4</v>
      </c>
      <c r="P165" s="69" t="inlineStr">
        <is>
          <t>Include</t>
        </is>
      </c>
      <c r="Q165" s="69" t="inlineStr">
        <is>
          <t>I</t>
        </is>
      </c>
      <c r="R165" s="69" t="inlineStr">
        <is>
          <t>"We propose a dynamic supply chain collaborative decision-making framework that integrates Multi-Agent Reinforcement Learning (MARL) with digital twin technology" para rutas de exportación (fabricantes, proveedores logísticos, aduanas); datos reales de 300 empresas.</t>
        </is>
      </c>
      <c r="S165" s="69" t="n"/>
    </row>
    <row r="166" ht="23.25" customHeight="1" s="17">
      <c r="A166" s="26" t="inlineStr">
        <is>
          <t>R0165</t>
        </is>
      </c>
      <c r="B166" s="26" t="inlineStr">
        <is>
          <t>Scopus</t>
        </is>
      </c>
      <c r="C166" s="26" t="inlineStr">
        <is>
          <t>Ayasrah F.T.; Allahham M.; Almajali W.I.; Ahmad A.Y.A.B.; Ashal N.M.; Prasetya F.; Fortuna A.</t>
        </is>
      </c>
      <c r="D166" s="26" t="n">
        <v>2025</v>
      </c>
      <c r="E166" s="27" t="inlineStr">
        <is>
          <t>Exploring Technological Innovations in Digital Supply Chain Management: The Mediating Role of Artificial Intelligence</t>
        </is>
      </c>
      <c r="F166" s="26" t="inlineStr">
        <is>
          <t>2025 International Conference on Cybersecurity and AI-Based Systems, Cyber-AI 2025</t>
        </is>
      </c>
      <c r="G166" s="26" t="inlineStr">
        <is>
          <t>Conference paper</t>
        </is>
      </c>
      <c r="H166" s="26" t="inlineStr">
        <is>
          <t>10.1109/cyber-ai66431.2025.11233568</t>
        </is>
      </c>
      <c r="I166" s="26" t="inlineStr">
        <is>
          <t>TA</t>
        </is>
      </c>
      <c r="J166" s="37" t="inlineStr">
        <is>
          <t>Exclude</t>
        </is>
      </c>
      <c r="K166" s="37" t="inlineStr">
        <is>
          <t>No digital twin/model</t>
        </is>
      </c>
      <c r="L166" s="28" t="inlineStr">
        <is>
          <t>Strong candidate: twin + supply chain + AI all in title/abstract</t>
        </is>
      </c>
      <c r="M166" s="37" t="inlineStr">
        <is>
          <t>Panorama conceptual de IA en cadenas digitales; gemelo sólo como aplicación mencionada ("through digital twin simulations supporting environmental responsibility").</t>
        </is>
      </c>
      <c r="N166" s="69" t="inlineStr">
        <is>
          <t>E1</t>
        </is>
      </c>
      <c r="O166" s="69" t="n">
        <v>4</v>
      </c>
      <c r="P166" s="69" t="inlineStr">
        <is>
          <t>Exclude</t>
        </is>
      </c>
      <c r="Q166" s="69" t="inlineStr">
        <is>
          <t>E1</t>
        </is>
      </c>
      <c r="R166" s="69" t="inlineStr">
        <is>
          <t>Panorama conceptual de IA en cadenas digitales; gemelo sólo como aplicación mencionada ("through digital twin simulations supporting environmental responsibility").</t>
        </is>
      </c>
      <c r="S166" s="69" t="n"/>
    </row>
    <row r="167" ht="23.25" customHeight="1" s="17">
      <c r="A167" s="26" t="inlineStr">
        <is>
          <t>R0166</t>
        </is>
      </c>
      <c r="B167" s="26" t="inlineStr">
        <is>
          <t>Scopus</t>
        </is>
      </c>
      <c r="C167" s="26" t="inlineStr">
        <is>
          <t>William P.; Singh T.P.; Ayasrah F.T.; Sivaperumal S.; Aluvalu R.; Kavitha Rani P.</t>
        </is>
      </c>
      <c r="D167" s="26" t="n">
        <v>2025</v>
      </c>
      <c r="E167" s="27" t="inlineStr">
        <is>
          <t>Federated Learning-Driven Digital Twins for Adaptive Optimization in Industrial IoT Systems</t>
        </is>
      </c>
      <c r="F167" s="26" t="inlineStr">
        <is>
          <t>2025 3rd International Conference on Foundation and Large Language Models, FLLM 2025</t>
        </is>
      </c>
      <c r="G167" s="26" t="inlineStr">
        <is>
          <t>Conference paper</t>
        </is>
      </c>
      <c r="H167" s="26" t="inlineStr">
        <is>
          <t>10.1109/fllm67465.2025.11391005</t>
        </is>
      </c>
      <c r="I167" s="26" t="inlineStr">
        <is>
          <t>TA</t>
        </is>
      </c>
      <c r="J167" s="37" t="inlineStr">
        <is>
          <t>Include</t>
        </is>
      </c>
      <c r="K167" s="37" t="n"/>
      <c r="L167" s="28" t="inlineStr">
        <is>
          <t>Strong candidate: twin + supply chain + AI all in title/abstract</t>
        </is>
      </c>
      <c r="M167" s="37" t="inlineStr">
        <is>
          <t>Aprendizaje federado con gemelos ("Federated Learning (FL) - a way for machines to learn without sharing raw data - is combined with Digital Twins") probado en "simulated environments like factories, power grids, and logistics networks". Encuadre logístico débil (un entorno de prueba, precedente R0077); resumen informal, calidad por evaluar. | Auditoría final 2026-09-06: se mantiene I; encuadre logístico débil ("simulated environments like factories, power grids, and logistics networks"), precedente R0077; el texto completo decide.</t>
        </is>
      </c>
      <c r="N167" s="69" t="inlineStr">
        <is>
          <t>I</t>
        </is>
      </c>
      <c r="O167" s="69" t="n">
        <v>4</v>
      </c>
      <c r="P167" s="69" t="inlineStr">
        <is>
          <t>Include</t>
        </is>
      </c>
      <c r="Q167" s="69" t="inlineStr">
        <is>
          <t>I</t>
        </is>
      </c>
      <c r="R167" s="69" t="inlineStr">
        <is>
          <t>Aprendizaje federado con gemelos ("Federated Learning (FL) - a way for machines to learn without sharing raw data - is combined with Digital Twins") probado en "simulated environments like factories, power grids, and logistics networks". Encuadre logístico débil (un entorno de prueba, precedente R0077); resumen informal, calidad por evaluar.</t>
        </is>
      </c>
      <c r="S167" s="69" t="n"/>
    </row>
    <row r="168" ht="23.25" customHeight="1" s="17">
      <c r="A168" s="26" t="inlineStr">
        <is>
          <t>R0167</t>
        </is>
      </c>
      <c r="B168" s="26" t="inlineStr">
        <is>
          <t>Scopus + WoS</t>
        </is>
      </c>
      <c r="C168" s="26" t="inlineStr">
        <is>
          <t>Gottimukkala S.R.; Bhuram S.K.</t>
        </is>
      </c>
      <c r="D168" s="26" t="n">
        <v>2025</v>
      </c>
      <c r="E168" s="27" t="inlineStr">
        <is>
          <t>Prescriptive Analytics for Next-Gen Supply Chains: Integrating Causal AI with Digital Twin Technologies</t>
        </is>
      </c>
      <c r="F168" s="26" t="inlineStr">
        <is>
          <t>2025 IEEE International Conference on Pattern Recognition, Machine Vision and Artificial Intelligence, PRMVAI 2025</t>
        </is>
      </c>
      <c r="G168" s="26" t="inlineStr">
        <is>
          <t>Conference paper</t>
        </is>
      </c>
      <c r="H168" s="26" t="inlineStr">
        <is>
          <t>10.1109/prmvai65741.2025.11108465</t>
        </is>
      </c>
      <c r="I168" s="26" t="inlineStr">
        <is>
          <t>TA</t>
        </is>
      </c>
      <c r="J168" s="37" t="inlineStr">
        <is>
          <t>Include</t>
        </is>
      </c>
      <c r="K168" s="37" t="n"/>
      <c r="L168" s="28" t="inlineStr">
        <is>
          <t>Strong candidate: twin + supply chain + AI all in title/abstract</t>
        </is>
      </c>
      <c r="M168" s="37" t="inlineStr">
        <is>
          <t>"This paper presents an integrated framework that connects Causal Artificial Intelligence (Causal AI) with Digital Twin (DT) technologies that help prescriptive analytics for next-generation supply chains"; validado en simulación multi-escalón.</t>
        </is>
      </c>
      <c r="N168" s="69" t="inlineStr">
        <is>
          <t>I</t>
        </is>
      </c>
      <c r="O168" s="69" t="n">
        <v>4</v>
      </c>
      <c r="P168" s="69" t="inlineStr">
        <is>
          <t>Include</t>
        </is>
      </c>
      <c r="Q168" s="69" t="inlineStr">
        <is>
          <t>I</t>
        </is>
      </c>
      <c r="R168" s="69" t="inlineStr">
        <is>
          <t>"This paper presents an integrated framework that connects Causal Artificial Intelligence (Causal AI) with Digital Twin (DT) technologies that help prescriptive analytics for next-generation supply chains"; validado en simulación multi-escalón.</t>
        </is>
      </c>
      <c r="S168" s="69" t="n"/>
    </row>
    <row r="169" ht="23.25" customHeight="1" s="17">
      <c r="A169" s="26" t="inlineStr">
        <is>
          <t>R0168</t>
        </is>
      </c>
      <c r="B169" s="26" t="inlineStr">
        <is>
          <t>Scopus</t>
        </is>
      </c>
      <c r="C169" s="26" t="inlineStr">
        <is>
          <t>Morshedi M.; Hargaden V.; Papakostas N.; Ghadimi P.</t>
        </is>
      </c>
      <c r="D169" s="26" t="n">
        <v>2025</v>
      </c>
      <c r="E169" s="27" t="inlineStr">
        <is>
          <t>Integrating Circular Economy and Industry 4.0 within Circular Supply Chains: A Literature Review and Network Analysis Insights</t>
        </is>
      </c>
      <c r="F169" s="26" t="inlineStr">
        <is>
          <t>Procedia CIRP</t>
        </is>
      </c>
      <c r="G169" s="26" t="inlineStr">
        <is>
          <t>Conference paper</t>
        </is>
      </c>
      <c r="H169" s="26" t="inlineStr">
        <is>
          <t>10.1016/j.procir.2024.12.073</t>
        </is>
      </c>
      <c r="I169" s="26" t="inlineStr">
        <is>
          <t>TA</t>
        </is>
      </c>
      <c r="J169" s="37" t="inlineStr">
        <is>
          <t>Exclude</t>
        </is>
      </c>
      <c r="K169" s="37" t="inlineStr">
        <is>
          <t>Wrong publication type</t>
        </is>
      </c>
      <c r="L169" s="28" t="inlineStr">
        <is>
          <t>Strong candidate: twin + supply chain + AI all in title/abstract</t>
        </is>
      </c>
      <c r="M169" s="37" t="inlineStr">
        <is>
          <t>"The research described in this paper analyses 157 publications using a multi-layered networks approach" (economía circular e Industria 4.0 en cadenas circulares); gemelos como tendencia. Valor para snowballing: bajo.</t>
        </is>
      </c>
      <c r="N169" s="69" t="inlineStr">
        <is>
          <t>E4</t>
        </is>
      </c>
      <c r="O169" s="69" t="n">
        <v>4</v>
      </c>
      <c r="P169" s="69" t="inlineStr">
        <is>
          <t>Exclude</t>
        </is>
      </c>
      <c r="Q169" s="69" t="inlineStr">
        <is>
          <t>E4</t>
        </is>
      </c>
      <c r="R169" s="69" t="inlineStr">
        <is>
          <t>"The research described in this paper analyses 157 publications using a multi-layered networks approach" (economía circular e Industria 4.0 en cadenas circulares); gemelos como tendencia. Valor para snowballing: bajo.</t>
        </is>
      </c>
      <c r="S169" s="69" t="n"/>
    </row>
    <row r="170" ht="34.5" customHeight="1" s="17">
      <c r="A170" s="26" t="inlineStr">
        <is>
          <t>R0169</t>
        </is>
      </c>
      <c r="B170" s="26" t="inlineStr">
        <is>
          <t>Scopus</t>
        </is>
      </c>
      <c r="C170" s="26" t="inlineStr">
        <is>
          <t>Industrial N.A.; Singgih M.L.; Gunarta I.K.</t>
        </is>
      </c>
      <c r="D170" s="26" t="n">
        <v>2025</v>
      </c>
      <c r="E170" s="27" t="inlineStr">
        <is>
          <t>Human-in-the-Loop Artificial Intelligence for Asset Management: A Systematic Review of Applications, Methods, and Research Challenges</t>
        </is>
      </c>
      <c r="F170" s="26" t="inlineStr">
        <is>
          <t>Proceedings of 2025 IEEE International Conference on Data and Software Engineering, ICoDSE 2025</t>
        </is>
      </c>
      <c r="G170" s="26" t="inlineStr">
        <is>
          <t>Conference paper</t>
        </is>
      </c>
      <c r="H170" s="26" t="inlineStr">
        <is>
          <t>10.1109/icodse68111.2025.11351812</t>
        </is>
      </c>
      <c r="I170" s="26" t="inlineStr">
        <is>
          <t>TA</t>
        </is>
      </c>
      <c r="J170" s="37" t="inlineStr">
        <is>
          <t>Exclude</t>
        </is>
      </c>
      <c r="K170" s="37" t="inlineStr">
        <is>
          <t>Wrong publication type</t>
        </is>
      </c>
      <c r="L170" s="28" t="inlineStr">
        <is>
          <t>Strong candidate: twin + supply chain + AI all in title/abstract</t>
        </is>
      </c>
      <c r="M170" s="37" t="inlineStr">
        <is>
          <t>"The study employed a Systematic Literature Review approach, following the PRISMA protocol of the Scopus database" sobre IA con humano en el bucle para gestión de activos (incluida "transportation and logistics"); gemelos más eficaces con participación humana. Valor para snowballing: alto (HITL).</t>
        </is>
      </c>
      <c r="N170" s="69" t="inlineStr">
        <is>
          <t>E4</t>
        </is>
      </c>
      <c r="O170" s="69" t="n">
        <v>4</v>
      </c>
      <c r="P170" s="69" t="inlineStr">
        <is>
          <t>Exclude</t>
        </is>
      </c>
      <c r="Q170" s="69" t="inlineStr">
        <is>
          <t>E4</t>
        </is>
      </c>
      <c r="R170" s="69" t="inlineStr">
        <is>
          <t>"The study employed a Systematic Literature Review approach, following the PRISMA protocol of the Scopus database" sobre IA con humano en el bucle para gestión de activos (incluida "transportation and logistics"); gemelos más eficaces con participación humana. Valor para snowballing: alto (HITL).</t>
        </is>
      </c>
      <c r="S170" s="69" t="n"/>
    </row>
    <row r="171" ht="34.5" customHeight="1" s="17">
      <c r="A171" s="26" t="inlineStr">
        <is>
          <t>R0170</t>
        </is>
      </c>
      <c r="B171" s="26" t="inlineStr">
        <is>
          <t>Scopus</t>
        </is>
      </c>
      <c r="C171" s="26" t="inlineStr">
        <is>
          <t>Croci S.; Mazzuto G.; Ciarapica F.E.; Bevilacqua M.; Ortenzi M.; Osler G.</t>
        </is>
      </c>
      <c r="D171" s="26" t="n">
        <v>2025</v>
      </c>
      <c r="E171" s="27" t="inlineStr">
        <is>
          <t>A Digital Twin Framework for Optimized Production Configuration and Simulation for Order Deadline Fulfilment: A Case Study in an Italian Food Company</t>
        </is>
      </c>
      <c r="F171" s="26" t="inlineStr">
        <is>
          <t>Proceedings of the 31st ICE IEEE/ITMC Conference on Engineering, Technology, and Innovation: AI-Driven Industrial Transformation: Digital Leadership in Technology, Engineering, Innovation and Entrepreneurship, ICE 2025</t>
        </is>
      </c>
      <c r="G171" s="26" t="inlineStr">
        <is>
          <t>Conference paper</t>
        </is>
      </c>
      <c r="H171" s="26" t="inlineStr">
        <is>
          <t>10.1109/ice/itmc65658.2025.11106618</t>
        </is>
      </c>
      <c r="I171" s="26" t="inlineStr">
        <is>
          <t>TA</t>
        </is>
      </c>
      <c r="J171" s="37" t="inlineStr">
        <is>
          <t>Exclude</t>
        </is>
      </c>
      <c r="K171" s="37" t="inlineStr">
        <is>
          <t>No supply chain scope</t>
        </is>
      </c>
      <c r="L171" s="28" t="inlineStr">
        <is>
          <t>Strong candidate: twin + supply chain + AI all in title/abstract</t>
        </is>
      </c>
      <c r="M171" s="37" t="inlineStr">
        <is>
          <t>Resuelto 2026-09-05 por Rodrigo: gemelo de configuración de producción ("determining optimal production configurations using a non-real-time simulation module") sin encuadre de cadena del propio estudio; la frase "synchronization between logistics and production" es genérica (regla Make, C5). Planear producción contra demanda no basta como encuadre de cadena.</t>
        </is>
      </c>
      <c r="N171" s="69" t="inlineStr">
        <is>
          <t>E2</t>
        </is>
      </c>
      <c r="O171" s="69" t="n">
        <v>4</v>
      </c>
      <c r="P171" s="69" t="inlineStr">
        <is>
          <t>Include</t>
        </is>
      </c>
      <c r="Q171" s="69" t="inlineStr">
        <is>
          <t>I</t>
        </is>
      </c>
      <c r="R171" s="69" t="inlineStr">
        <is>
          <t>Gemelo de configuración de producción en una empresa alimentaria orientado a "meeting demand deadlines" y a "improve adaptability to fluctuating demand", con IA ("improving forecasting techniques through AI-based algorithms"); planeación de producción contra demanda y plazos de pedido leída como planeación de cadena. Make al límite: la frase "synchronization between logistics and production" es genérica; confirmar.</t>
        </is>
      </c>
      <c r="S171" s="69" t="n"/>
    </row>
    <row r="172" ht="23.25" customHeight="1" s="17">
      <c r="A172" s="26" t="inlineStr">
        <is>
          <t>R0171</t>
        </is>
      </c>
      <c r="B172" s="26" t="inlineStr">
        <is>
          <t>Scopus</t>
        </is>
      </c>
      <c r="C172" s="26" t="inlineStr">
        <is>
          <t>Ayoubi A.A.; Ammar A.</t>
        </is>
      </c>
      <c r="D172" s="26" t="n">
        <v>2025</v>
      </c>
      <c r="E172" s="27" t="inlineStr">
        <is>
          <t>Harnessing Digital Twins for Construction Site Management</t>
        </is>
      </c>
      <c r="F172" s="26" t="inlineStr">
        <is>
          <t>Proceedings of the International Symposium on Automation and Robotics in Construction</t>
        </is>
      </c>
      <c r="G172" s="26" t="inlineStr">
        <is>
          <t>Conference paper</t>
        </is>
      </c>
      <c r="H172" s="26" t="inlineStr">
        <is>
          <t>10.22260/isarc2025/0100</t>
        </is>
      </c>
      <c r="I172" s="26" t="inlineStr">
        <is>
          <t>TA</t>
        </is>
      </c>
      <c r="J172" s="37" t="inlineStr">
        <is>
          <t>Exclude</t>
        </is>
      </c>
      <c r="K172" s="37" t="inlineStr">
        <is>
          <t>Wrong publication type</t>
        </is>
      </c>
      <c r="L172" s="28" t="inlineStr">
        <is>
          <t>Strong candidate: twin + supply chain + AI all in title/abstract</t>
        </is>
      </c>
      <c r="M172" s="37" t="inlineStr">
        <is>
          <t>"This study uses a Systematics literature review (SLR) to thoroughly examine the function of DTs for onsite construction management", incluida "logistics and material". Valor para snowballing: medio.</t>
        </is>
      </c>
      <c r="N172" s="69" t="inlineStr">
        <is>
          <t>E4</t>
        </is>
      </c>
      <c r="O172" s="69" t="n">
        <v>4</v>
      </c>
      <c r="P172" s="69" t="inlineStr">
        <is>
          <t>Exclude</t>
        </is>
      </c>
      <c r="Q172" s="69" t="inlineStr">
        <is>
          <t>E4</t>
        </is>
      </c>
      <c r="R172" s="69" t="inlineStr">
        <is>
          <t>"This study uses a Systematics literature review (SLR) to thoroughly examine the function of DTs for onsite construction management", incluida "logistics and material". Valor para snowballing: medio.</t>
        </is>
      </c>
      <c r="S172" s="69" t="n"/>
    </row>
    <row r="173" ht="23.25" customHeight="1" s="17">
      <c r="A173" s="26" t="inlineStr">
        <is>
          <t>R0172</t>
        </is>
      </c>
      <c r="B173" s="26" t="inlineStr">
        <is>
          <t>Scopus</t>
        </is>
      </c>
      <c r="C173" s="26" t="inlineStr">
        <is>
          <t>Lad M.; Singla L.</t>
        </is>
      </c>
      <c r="D173" s="26" t="n">
        <v>2025</v>
      </c>
      <c r="E173" s="27" t="inlineStr">
        <is>
          <t>Development of a Digital Twin for Global Sourcing Strategy Simulation</t>
        </is>
      </c>
      <c r="F173" s="26" t="inlineStr">
        <is>
          <t>Proceedings - 2025 3rd International Conference on Logistics Engineering, Supply Chain and Digital Transformation, LESCDT 2025</t>
        </is>
      </c>
      <c r="G173" s="26" t="inlineStr">
        <is>
          <t>Conference paper</t>
        </is>
      </c>
      <c r="H173" s="26" t="inlineStr">
        <is>
          <t>10.1109/lescdt66758.2025.00026</t>
        </is>
      </c>
      <c r="I173" s="26" t="inlineStr">
        <is>
          <t>TA</t>
        </is>
      </c>
      <c r="J173" s="37" t="inlineStr">
        <is>
          <t>Include</t>
        </is>
      </c>
      <c r="K173" s="37" t="n"/>
      <c r="L173" s="28" t="inlineStr">
        <is>
          <t>Strong candidate: twin + supply chain + AI all in title/abstract</t>
        </is>
      </c>
      <c r="M173" s="37" t="inlineStr">
        <is>
          <t>"This article suggests utilizing a digital twin-based model of global sourcing choices, based on machine learning algorithm forecasts of the probability of success" (XGBoost, 7,200 observaciones).</t>
        </is>
      </c>
      <c r="N173" s="69" t="inlineStr">
        <is>
          <t>I</t>
        </is>
      </c>
      <c r="O173" s="69" t="n">
        <v>4</v>
      </c>
      <c r="P173" s="69" t="inlineStr">
        <is>
          <t>Include</t>
        </is>
      </c>
      <c r="Q173" s="69" t="inlineStr">
        <is>
          <t>I</t>
        </is>
      </c>
      <c r="R173" s="69" t="inlineStr">
        <is>
          <t>"This article suggests utilizing a digital twin-based model of global sourcing choices, based on machine learning algorithm forecasts of the probability of success" (XGBoost, 7,200 observaciones).</t>
        </is>
      </c>
      <c r="S173" s="69" t="n"/>
    </row>
    <row r="174" ht="34.5" customHeight="1" s="17">
      <c r="A174" s="26" t="inlineStr">
        <is>
          <t>R0173</t>
        </is>
      </c>
      <c r="B174" s="26" t="inlineStr">
        <is>
          <t>Scopus</t>
        </is>
      </c>
      <c r="C174" s="26" t="inlineStr">
        <is>
          <t>Paul S.</t>
        </is>
      </c>
      <c r="D174" s="26" t="n">
        <v>2025</v>
      </c>
      <c r="E174" s="27" t="inlineStr">
        <is>
          <t>Integration of Digital Twin and AI-enabled ERP Systems: A Conceptual Framework for Intelligent Electronics Manufacturing Services</t>
        </is>
      </c>
      <c r="F174" s="26" t="inlineStr">
        <is>
          <t>2025 6th International Conference on Communications, Information, Electronic and Energy Systems, CIEES 2025 - Conference Proceedings</t>
        </is>
      </c>
      <c r="G174" s="26" t="inlineStr">
        <is>
          <t>Conference paper</t>
        </is>
      </c>
      <c r="H174" s="26" t="inlineStr">
        <is>
          <t>10.1109/ciees66347.2025.11300246</t>
        </is>
      </c>
      <c r="I174" s="26" t="inlineStr">
        <is>
          <t>TA</t>
        </is>
      </c>
      <c r="J174" s="37" t="inlineStr">
        <is>
          <t>Include</t>
        </is>
      </c>
      <c r="K174" s="37" t="n"/>
      <c r="L174" s="28" t="inlineStr">
        <is>
          <t>Strong candidate: twin + supply chain + AI all in title/abstract</t>
        </is>
      </c>
      <c r="M174" s="37" t="inlineStr">
        <is>
          <t>[Make] Marco conceptual que "unites DT with AI-enabled ERP systems to enhance EMS operational performance by using live production visibility, AI scheduling engine, predictive maintenance, quality assurance, and supply chain optimization"; cinco capas con gemelo y orquestación IA-ERP. Make.</t>
        </is>
      </c>
      <c r="N174" s="69" t="inlineStr">
        <is>
          <t>I</t>
        </is>
      </c>
      <c r="O174" s="69" t="n">
        <v>4</v>
      </c>
      <c r="P174" s="69" t="inlineStr">
        <is>
          <t>Include</t>
        </is>
      </c>
      <c r="Q174" s="69" t="inlineStr">
        <is>
          <t>I</t>
        </is>
      </c>
      <c r="R174" s="69" t="inlineStr">
        <is>
          <t>Marco conceptual que "unites DT with AI-enabled ERP systems to enhance EMS operational performance by using live production visibility, AI scheduling engine, predictive maintenance, quality assurance, and supply chain optimization"; cinco capas con gemelo y orquestación IA-ERP. Make.</t>
        </is>
      </c>
      <c r="S174" s="69" t="inlineStr">
        <is>
          <t>Make</t>
        </is>
      </c>
    </row>
    <row r="175" ht="23.25" customHeight="1" s="17">
      <c r="A175" s="26" t="inlineStr">
        <is>
          <t>R0174</t>
        </is>
      </c>
      <c r="B175" s="26" t="inlineStr">
        <is>
          <t>Scopus</t>
        </is>
      </c>
      <c r="C175" s="26" t="inlineStr">
        <is>
          <t>Manoharan G.; Gharat A.; Banu R.N.; Soni A.; Sudhakar K.; Dhanke J.A.</t>
        </is>
      </c>
      <c r="D175" s="26" t="n">
        <v>2025</v>
      </c>
      <c r="E175" s="27" t="inlineStr">
        <is>
          <t>Digital Twin-Enabled Supply Chain Management in Cloud-based Smart Enterprises</t>
        </is>
      </c>
      <c r="F175" s="26" t="inlineStr">
        <is>
          <t>Proceedings of the 6th International Conference on Smart Electronics and Communication, ICOSEC 2025</t>
        </is>
      </c>
      <c r="G175" s="26" t="inlineStr">
        <is>
          <t>Conference paper</t>
        </is>
      </c>
      <c r="H175" s="26" t="inlineStr">
        <is>
          <t>10.1109/icosec67334.2025.11459761</t>
        </is>
      </c>
      <c r="I175" s="26" t="inlineStr">
        <is>
          <t>TA</t>
        </is>
      </c>
      <c r="J175" s="37" t="inlineStr">
        <is>
          <t>Include</t>
        </is>
      </c>
      <c r="K175" s="37" t="n"/>
      <c r="L175" s="28" t="inlineStr">
        <is>
          <t>Strong candidate: twin + supply chain + AI all in title/abstract</t>
        </is>
      </c>
      <c r="M175" s="37" t="inlineStr">
        <is>
          <t>"this research proposes a novel DT-FL-MASChain framework that combines Digital Twins (DT), Federated Learning (FL), and Multi-Agent Systems (MAS) for intelligent, cloud-based supply chain management"; dataset de Kaggle. Cifras por verificar.</t>
        </is>
      </c>
      <c r="N175" s="69" t="inlineStr">
        <is>
          <t>I</t>
        </is>
      </c>
      <c r="O175" s="69" t="n">
        <v>4</v>
      </c>
      <c r="P175" s="69" t="inlineStr">
        <is>
          <t>Include</t>
        </is>
      </c>
      <c r="Q175" s="69" t="inlineStr">
        <is>
          <t>I</t>
        </is>
      </c>
      <c r="R175" s="69" t="inlineStr">
        <is>
          <t>"this research proposes a novel DT-FL-MASChain framework that combines Digital Twins (DT), Federated Learning (FL), and Multi-Agent Systems (MAS) for intelligent, cloud-based supply chain management"; dataset de Kaggle. Cifras por verificar.</t>
        </is>
      </c>
      <c r="S175" s="69" t="n"/>
    </row>
    <row r="176" ht="23.25" customHeight="1" s="17">
      <c r="A176" s="26" t="inlineStr">
        <is>
          <t>R0175</t>
        </is>
      </c>
      <c r="B176" s="26" t="inlineStr">
        <is>
          <t>Scopus + WoS</t>
        </is>
      </c>
      <c r="C176" s="26" t="inlineStr">
        <is>
          <t>Sarna K.K.; Das D.; Singh R.K.</t>
        </is>
      </c>
      <c r="D176" s="26" t="n">
        <v>2025</v>
      </c>
      <c r="E176" s="27" t="inlineStr">
        <is>
          <t>Harnessing Industry 4.0 technologies in minimizing food loss and waste across the food supply chain: a hybrid study</t>
        </is>
      </c>
      <c r="F176" s="26" t="inlineStr">
        <is>
          <t>Benchmarking</t>
        </is>
      </c>
      <c r="G176" s="26" t="inlineStr">
        <is>
          <t>Article</t>
        </is>
      </c>
      <c r="H176" s="26" t="inlineStr">
        <is>
          <t>10.1108/bij-10-2024-0900</t>
        </is>
      </c>
      <c r="I176" s="26" t="inlineStr">
        <is>
          <t>TA</t>
        </is>
      </c>
      <c r="J176" s="37" t="inlineStr">
        <is>
          <t>Exclude</t>
        </is>
      </c>
      <c r="K176" s="37" t="inlineStr">
        <is>
          <t>Wrong publication type</t>
        </is>
      </c>
      <c r="L176" s="28" t="inlineStr">
        <is>
          <t>Strong candidate: twin + supply chain + AI all in title/abstract</t>
        </is>
      </c>
      <c r="M176" s="37" t="inlineStr">
        <is>
          <t>"A multi-stage systematic literature review (SLR) of 122 research papers was employed to identify emerging themes", seguida de ranking de tecnologías por 34 expertos (también C4); gemelo como una de seis tecnologías. Valor para snowballing: medio.</t>
        </is>
      </c>
      <c r="N176" s="69" t="inlineStr">
        <is>
          <t>E4</t>
        </is>
      </c>
      <c r="O176" s="69" t="n">
        <v>4</v>
      </c>
      <c r="P176" s="69" t="inlineStr">
        <is>
          <t>Exclude</t>
        </is>
      </c>
      <c r="Q176" s="69" t="inlineStr">
        <is>
          <t>E4</t>
        </is>
      </c>
      <c r="R176" s="69" t="inlineStr">
        <is>
          <t>"A multi-stage systematic literature review (SLR) of 122 research papers was employed to identify emerging themes", seguida de ranking de tecnologías por 34 expertos (también C4); gemelo como una de seis tecnologías. Valor para snowballing: medio.</t>
        </is>
      </c>
      <c r="S176" s="69" t="n"/>
    </row>
    <row r="177" ht="34.5" customHeight="1" s="17">
      <c r="A177" s="26" t="inlineStr">
        <is>
          <t>R0176</t>
        </is>
      </c>
      <c r="B177" s="26" t="inlineStr">
        <is>
          <t>Scopus + WoS</t>
        </is>
      </c>
      <c r="C177" s="26" t="inlineStr">
        <is>
          <t>Yang M.; Cao Y.; Shangguan S.; Chen X.; Jiang P.</t>
        </is>
      </c>
      <c r="D177" s="26" t="n">
        <v>2025</v>
      </c>
      <c r="E177" s="27" t="inlineStr">
        <is>
          <t>A Generic Modeling Method of Multi-Modal/Multi-Layer Digital Twins for the Remote Monitoring and Intelligent Maintenance of Industrial Equipment</t>
        </is>
      </c>
      <c r="F177" s="26" t="inlineStr">
        <is>
          <t>Machines</t>
        </is>
      </c>
      <c r="G177" s="26" t="inlineStr">
        <is>
          <t>Article</t>
        </is>
      </c>
      <c r="H177" s="26" t="inlineStr">
        <is>
          <t>10.3390/machines13060522</t>
        </is>
      </c>
      <c r="I177" s="26" t="inlineStr">
        <is>
          <t>TA</t>
        </is>
      </c>
      <c r="J177" s="37" t="inlineStr">
        <is>
          <t>Exclude</t>
        </is>
      </c>
      <c r="K177" s="37" t="inlineStr">
        <is>
          <t>No supply chain scope</t>
        </is>
      </c>
      <c r="L177" s="28" t="inlineStr">
        <is>
          <t>Strong candidate: twin + supply chain + AI all in title/abstract</t>
        </is>
      </c>
      <c r="M177" s="37" t="inlineStr">
        <is>
          <t>Método general de modelado de gemelos de equipo industrial para monitoreo y mantenimiento remotos; la logística sólo como elemento modelado ("workpiece logistics"), sin encuadre de planeación ni logística intra-planta del estudio (regla Make); también E3 (la IA queda como exploración pendiente: "How to integrate artificial intelligence algorithms into DT models still requires further exploration").</t>
        </is>
      </c>
      <c r="N177" s="69" t="inlineStr">
        <is>
          <t>E2</t>
        </is>
      </c>
      <c r="O177" s="69" t="n">
        <v>4</v>
      </c>
      <c r="P177" s="69" t="inlineStr">
        <is>
          <t>Exclude</t>
        </is>
      </c>
      <c r="Q177" s="69" t="inlineStr">
        <is>
          <t>E2</t>
        </is>
      </c>
      <c r="R177" s="69" t="inlineStr">
        <is>
          <t>Método general de modelado de gemelos de equipo industrial para monitoreo y mantenimiento remotos; la logística sólo como elemento modelado ("workpiece logistics"), sin encuadre de planeación ni logística intra-planta del estudio (regla Make); también E3 (la IA queda como exploración pendiente: "How to integrate artificial intelligence algorithms into DT models still requires further exploration").</t>
        </is>
      </c>
      <c r="S177" s="69" t="n"/>
    </row>
    <row r="178" ht="23.25" customHeight="1" s="17">
      <c r="A178" s="26" t="inlineStr">
        <is>
          <t>R0177</t>
        </is>
      </c>
      <c r="B178" s="26" t="inlineStr">
        <is>
          <t>Scopus</t>
        </is>
      </c>
      <c r="C178" s="26" t="inlineStr">
        <is>
          <t>Ashok P.; Lakshmi Sridevi S.; Kanagaraj V.; Murali Krishna K.; Patchala S.; Jaiswal S.</t>
        </is>
      </c>
      <c r="D178" s="26" t="n">
        <v>2025</v>
      </c>
      <c r="E178" s="27" t="inlineStr">
        <is>
          <t>Artificial Intelligence Powered IoT for Real-Time Inventory Control and Hyper-Personalized Retail Experiences</t>
        </is>
      </c>
      <c r="F178" s="26" t="inlineStr">
        <is>
          <t>2025 International Conference on Future Technologies, ICFT 2025</t>
        </is>
      </c>
      <c r="G178" s="26" t="inlineStr">
        <is>
          <t>Conference paper</t>
        </is>
      </c>
      <c r="H178" s="26" t="inlineStr">
        <is>
          <t>10.1109/icft66708.2025.11336711</t>
        </is>
      </c>
      <c r="I178" s="26" t="inlineStr">
        <is>
          <t>TA</t>
        </is>
      </c>
      <c r="J178" s="37" t="inlineStr">
        <is>
          <t>Exclude</t>
        </is>
      </c>
      <c r="K178" s="37" t="inlineStr">
        <is>
          <t>Wrong publication type</t>
        </is>
      </c>
      <c r="L178" s="28" t="inlineStr">
        <is>
          <t>Strong candidate: twin + supply chain + AI all in title/abstract</t>
        </is>
      </c>
      <c r="M178" s="37" t="inlineStr">
        <is>
          <t>"This research work presents a critical and technical survey of this paradigm shift" (IA e IoT en inventario minorista); gemelo sólo como dirección futura. Valor para snowballing: bajo.</t>
        </is>
      </c>
      <c r="N178" s="69" t="inlineStr">
        <is>
          <t>E4</t>
        </is>
      </c>
      <c r="O178" s="69" t="n">
        <v>4</v>
      </c>
      <c r="P178" s="69" t="inlineStr">
        <is>
          <t>Exclude</t>
        </is>
      </c>
      <c r="Q178" s="69" t="inlineStr">
        <is>
          <t>E4</t>
        </is>
      </c>
      <c r="R178" s="69" t="inlineStr">
        <is>
          <t>"This research work presents a critical and technical survey of this paradigm shift" (IA e IoT en inventario minorista); gemelo sólo como dirección futura. Valor para snowballing: bajo.</t>
        </is>
      </c>
      <c r="S178" s="69" t="n"/>
    </row>
    <row r="179" ht="23.25" customHeight="1" s="17">
      <c r="A179" s="26" t="inlineStr">
        <is>
          <t>R0178</t>
        </is>
      </c>
      <c r="B179" s="26" t="inlineStr">
        <is>
          <t>Scopus + WoS</t>
        </is>
      </c>
      <c r="C179" s="26" t="inlineStr">
        <is>
          <t>Abdullahi I.; Larijani H.; Liarokapis D.; Paterson J.; Jones D.; Murray S.</t>
        </is>
      </c>
      <c r="D179" s="26" t="n">
        <v>2025</v>
      </c>
      <c r="E179" s="27" t="inlineStr">
        <is>
          <t>A Data-Intelligence-Driven Digital Twin Framework for Improving Sustainability in Logistics</t>
        </is>
      </c>
      <c r="F179" s="26" t="inlineStr">
        <is>
          <t>Applied Sciences (Switzerland)</t>
        </is>
      </c>
      <c r="G179" s="26" t="inlineStr">
        <is>
          <t>Article</t>
        </is>
      </c>
      <c r="H179" s="26" t="inlineStr">
        <is>
          <t>10.3390/app15020601</t>
        </is>
      </c>
      <c r="I179" s="26" t="inlineStr">
        <is>
          <t>TA</t>
        </is>
      </c>
      <c r="J179" s="37" t="inlineStr">
        <is>
          <t>Include</t>
        </is>
      </c>
      <c r="K179" s="37" t="n"/>
      <c r="L179" s="28" t="inlineStr">
        <is>
          <t>Strong candidate: twin + supply chain + AI all in title/abstract</t>
        </is>
      </c>
      <c r="M179" s="37" t="inlineStr">
        <is>
          <t>Marco de gemelo de cadena para sostenibilidad logística en John G Russell: "applying artificial intelligence (AI) approaches such as reinforcement learning (RL), to identify trends, and offer recommendations for improving the sustainability and efficiency of its logistics"; "using a supply chain digital twin".</t>
        </is>
      </c>
      <c r="N179" s="69" t="inlineStr">
        <is>
          <t>I</t>
        </is>
      </c>
      <c r="O179" s="69" t="n">
        <v>4</v>
      </c>
      <c r="P179" s="69" t="inlineStr">
        <is>
          <t>Include</t>
        </is>
      </c>
      <c r="Q179" s="69" t="inlineStr">
        <is>
          <t>I</t>
        </is>
      </c>
      <c r="R179" s="69" t="inlineStr">
        <is>
          <t>Marco de gemelo de cadena para sostenibilidad logística en John G Russell: "applying artificial intelligence (AI) approaches such as reinforcement learning (RL), to identify trends, and offer recommendations for improving the sustainability and efficiency of its logistics"; "using a supply chain digital twin".</t>
        </is>
      </c>
      <c r="S179" s="69" t="n"/>
    </row>
    <row r="180" ht="23.25" customHeight="1" s="17">
      <c r="A180" s="26" t="inlineStr">
        <is>
          <t>R0179</t>
        </is>
      </c>
      <c r="B180" s="26" t="inlineStr">
        <is>
          <t>Scopus</t>
        </is>
      </c>
      <c r="C180" s="26" t="inlineStr">
        <is>
          <t>Kattunga R.; Kamballi M.; Subramani P.; Singh S.K.; Saini R.K.</t>
        </is>
      </c>
      <c r="D180" s="26" t="n">
        <v>2025</v>
      </c>
      <c r="E180" s="27" t="inlineStr">
        <is>
          <t>Enhancing Warehouse Efficiency Through SAP EWM in S/4HANA</t>
        </is>
      </c>
      <c r="F180" s="26" t="inlineStr">
        <is>
          <t>2025 International Conference on Sustainability, Innovation and Technology, ICSIT 2025</t>
        </is>
      </c>
      <c r="G180" s="26" t="inlineStr">
        <is>
          <t>Conference paper</t>
        </is>
      </c>
      <c r="H180" s="26" t="inlineStr">
        <is>
          <t>10.1109/icsit65336.2025.11294312</t>
        </is>
      </c>
      <c r="I180" s="26" t="inlineStr">
        <is>
          <t>TA</t>
        </is>
      </c>
      <c r="J180" s="37" t="inlineStr">
        <is>
          <t>Exclude</t>
        </is>
      </c>
      <c r="K180" s="37" t="inlineStr">
        <is>
          <t>Wrong publication type</t>
        </is>
      </c>
      <c r="L180" s="28" t="inlineStr">
        <is>
          <t>Strong candidate: twin + supply chain + AI all in title/abstract</t>
        </is>
      </c>
      <c r="M180" s="37" t="inlineStr">
        <is>
          <t>"The field of SAP EWM integration in architecture S/4HANA is discussed in this review"; IA y gemelos sólo como investigación futura. Valor para snowballing: bajo.</t>
        </is>
      </c>
      <c r="N180" s="69" t="inlineStr">
        <is>
          <t>E4</t>
        </is>
      </c>
      <c r="O180" s="69" t="n">
        <v>4</v>
      </c>
      <c r="P180" s="69" t="inlineStr">
        <is>
          <t>Exclude</t>
        </is>
      </c>
      <c r="Q180" s="69" t="inlineStr">
        <is>
          <t>E4</t>
        </is>
      </c>
      <c r="R180" s="69" t="inlineStr">
        <is>
          <t>"The field of SAP EWM integration in architecture S/4HANA is discussed in this review"; IA y gemelos sólo como investigación futura. Valor para snowballing: bajo.</t>
        </is>
      </c>
      <c r="S180" s="69" t="n"/>
    </row>
    <row r="181" ht="23.25" customHeight="1" s="17">
      <c r="A181" s="26" t="inlineStr">
        <is>
          <t>R0180</t>
        </is>
      </c>
      <c r="B181" s="26" t="inlineStr">
        <is>
          <t>Scopus</t>
        </is>
      </c>
      <c r="C181" s="26" t="inlineStr">
        <is>
          <t>Avrianto R.P.; Indrajit R.E.</t>
        </is>
      </c>
      <c r="D181" s="26" t="n">
        <v>2025</v>
      </c>
      <c r="E181" s="27" t="inlineStr">
        <is>
          <t>Integrated Maritime TIC Enterprise-Based Technology Architecture</t>
        </is>
      </c>
      <c r="F181" s="26" t="inlineStr">
        <is>
          <t>2025 10th International Conference on Informatics and Computing, ICIC 2025</t>
        </is>
      </c>
      <c r="G181" s="26" t="inlineStr">
        <is>
          <t>Conference paper</t>
        </is>
      </c>
      <c r="H181" s="26" t="inlineStr">
        <is>
          <t>10.1109/icic68054.2025.11309404</t>
        </is>
      </c>
      <c r="I181" s="26" t="inlineStr">
        <is>
          <t>TA</t>
        </is>
      </c>
      <c r="J181" s="37" t="inlineStr">
        <is>
          <t>Exclude</t>
        </is>
      </c>
      <c r="K181" s="37" t="inlineStr">
        <is>
          <t>No digital twin/model</t>
        </is>
      </c>
      <c r="L181" s="28" t="inlineStr">
        <is>
          <t>Strong candidate: twin + supply chain + AI all in title/abstract</t>
        </is>
      </c>
      <c r="M181" s="37" t="inlineStr">
        <is>
          <t>Arquitectura empresarial para inspección y certificación marítima; gemelo sólo en lista ("By unifying edge intelligence, big data analytics, digital twins, and blockchain smart contracts"); también E2 (TIC, no cadena ni logística).</t>
        </is>
      </c>
      <c r="N181" s="69" t="inlineStr">
        <is>
          <t>E1</t>
        </is>
      </c>
      <c r="O181" s="69" t="n">
        <v>4</v>
      </c>
      <c r="P181" s="69" t="inlineStr">
        <is>
          <t>Exclude</t>
        </is>
      </c>
      <c r="Q181" s="69" t="inlineStr">
        <is>
          <t>E1</t>
        </is>
      </c>
      <c r="R181" s="69" t="inlineStr">
        <is>
          <t>Arquitectura empresarial para inspección y certificación marítima; gemelo sólo en lista ("By unifying edge intelligence, big data analytics, digital twins, and blockchain smart contracts"); también E2 (TIC, no cadena ni logística).</t>
        </is>
      </c>
      <c r="S181" s="69" t="n"/>
    </row>
    <row r="182" ht="23.25" customHeight="1" s="17">
      <c r="A182" s="26" t="inlineStr">
        <is>
          <t>R0181</t>
        </is>
      </c>
      <c r="B182" s="26" t="inlineStr">
        <is>
          <t>Scopus</t>
        </is>
      </c>
      <c r="C182" s="26" t="inlineStr">
        <is>
          <t>Strielkowski W.</t>
        </is>
      </c>
      <c r="D182" s="26" t="n">
        <v>2025</v>
      </c>
      <c r="E182" s="27" t="inlineStr">
        <is>
          <t>Digital Transformation of Industry Through Using AI: A Bibliometric Analysis Approach</t>
        </is>
      </c>
      <c r="F182" s="26" t="inlineStr">
        <is>
          <t>Lecture Notes in Information Systems and Organisation</t>
        </is>
      </c>
      <c r="G182" s="26" t="inlineStr">
        <is>
          <t>Conference paper</t>
        </is>
      </c>
      <c r="H182" s="26" t="inlineStr">
        <is>
          <t>10.1007/978-3-032-00118-4_2</t>
        </is>
      </c>
      <c r="I182" s="26" t="inlineStr">
        <is>
          <t>TA</t>
        </is>
      </c>
      <c r="J182" s="37" t="inlineStr">
        <is>
          <t>Exclude</t>
        </is>
      </c>
      <c r="K182" s="37" t="inlineStr">
        <is>
          <t>Wrong publication type</t>
        </is>
      </c>
      <c r="L182" s="28" t="inlineStr">
        <is>
          <t>Strong candidate: twin + supply chain + AI all in title/abstract</t>
        </is>
      </c>
      <c r="M182" s="37" t="inlineStr">
        <is>
          <t>"This paper focuses on the theoretical literature overview and bibliometric network analysis" de transformación digital e IA; gemelos y cadena como temas. Valor para snowballing: bajo.</t>
        </is>
      </c>
      <c r="N182" s="69" t="inlineStr">
        <is>
          <t>E4</t>
        </is>
      </c>
      <c r="O182" s="69" t="n">
        <v>4</v>
      </c>
      <c r="P182" s="69" t="inlineStr">
        <is>
          <t>Exclude</t>
        </is>
      </c>
      <c r="Q182" s="69" t="inlineStr">
        <is>
          <t>E4</t>
        </is>
      </c>
      <c r="R182" s="69" t="inlineStr">
        <is>
          <t>"This paper focuses on the theoretical literature overview and bibliometric network analysis" de transformación digital e IA; gemelos y cadena como temas. Valor para snowballing: bajo.</t>
        </is>
      </c>
      <c r="S182" s="69" t="n"/>
    </row>
    <row r="183" ht="23.25" customHeight="1" s="17">
      <c r="A183" s="26" t="inlineStr">
        <is>
          <t>R0182</t>
        </is>
      </c>
      <c r="B183" s="26" t="inlineStr">
        <is>
          <t>Scopus</t>
        </is>
      </c>
      <c r="C183" s="26" t="inlineStr">
        <is>
          <t>Chereddi H.K.; Radhika R.</t>
        </is>
      </c>
      <c r="D183" s="26" t="n">
        <v>2025</v>
      </c>
      <c r="E183" s="27" t="inlineStr">
        <is>
          <t>Federated Intelligence: A Privacy-Preserving Machine Learning Framework for GMP and GDP Compliance in API Supply Chains</t>
        </is>
      </c>
      <c r="F183" s="26" t="inlineStr">
        <is>
          <t>SSRG International Journal of Electronics and Communication Engineering</t>
        </is>
      </c>
      <c r="G183" s="26" t="inlineStr">
        <is>
          <t>Article</t>
        </is>
      </c>
      <c r="H183" s="26" t="inlineStr">
        <is>
          <t>10.14445/23488549/ijece-v12i6p120</t>
        </is>
      </c>
      <c r="I183" s="26" t="inlineStr">
        <is>
          <t>TA</t>
        </is>
      </c>
      <c r="J183" s="37" t="inlineStr">
        <is>
          <t>Exclude</t>
        </is>
      </c>
      <c r="K183" s="37" t="inlineStr">
        <is>
          <t>No digital twin/model</t>
        </is>
      </c>
      <c r="L183" s="28" t="inlineStr">
        <is>
          <t>Strong candidate: twin + supply chain + AI all in title/abstract</t>
        </is>
      </c>
      <c r="M183" s="37" t="inlineStr">
        <is>
          <t>Aprendizaje federado para cumplimiento GMP/GDP en cadenas de API; el gemelo sólo en la frase de motivación ("requires a Product Digital Twin to comply with Good Manufacturing Practice (GMP) and Good Distribution Practice (GDP) guidelines") y como gemelo de producto (C6).</t>
        </is>
      </c>
      <c r="N183" s="69" t="inlineStr">
        <is>
          <t>E1</t>
        </is>
      </c>
      <c r="O183" s="69" t="n">
        <v>4</v>
      </c>
      <c r="P183" s="69" t="inlineStr">
        <is>
          <t>Exclude</t>
        </is>
      </c>
      <c r="Q183" s="69" t="inlineStr">
        <is>
          <t>E1</t>
        </is>
      </c>
      <c r="R183" s="69" t="inlineStr">
        <is>
          <t>Aprendizaje federado para cumplimiento GMP/GDP en cadenas de API; el gemelo sólo en la frase de motivación ("requires a Product Digital Twin to comply with Good Manufacturing Practice (GMP) and Good Distribution Practice (GDP) guidelines") y como gemelo de producto (C6).</t>
        </is>
      </c>
      <c r="S183" s="69" t="n"/>
    </row>
    <row r="184" ht="23.25" customHeight="1" s="17">
      <c r="A184" s="26" t="inlineStr">
        <is>
          <t>R0183</t>
        </is>
      </c>
      <c r="B184" s="26" t="inlineStr">
        <is>
          <t>Scopus</t>
        </is>
      </c>
      <c r="C184" s="26" t="inlineStr">
        <is>
          <t>Velmurugadass P.; Anusha P.; Sri T.N.; Lakshmi K.C.; Charvitha Y.</t>
        </is>
      </c>
      <c r="D184" s="26" t="n">
        <v>2025</v>
      </c>
      <c r="E184" s="27" t="inlineStr">
        <is>
          <t>Quantum-Edge AI Framework for Real-Time Vehicle-Cargo Matching in Intelligent Transportation Systems</t>
        </is>
      </c>
      <c r="F184" s="26" t="inlineStr">
        <is>
          <t>2025 IEEE 1st International Conference on Recent Trends in Computing and Smart Mobility, RCSM 2025</t>
        </is>
      </c>
      <c r="G184" s="26" t="inlineStr">
        <is>
          <t>Conference paper</t>
        </is>
      </c>
      <c r="H184" s="26" t="inlineStr">
        <is>
          <t>10.1109/rcsm67767.2025.11507641</t>
        </is>
      </c>
      <c r="I184" s="26" t="inlineStr">
        <is>
          <t>TA</t>
        </is>
      </c>
      <c r="J184" s="37" t="inlineStr">
        <is>
          <t>Include</t>
        </is>
      </c>
      <c r="K184" s="37" t="n"/>
      <c r="L184" s="28" t="inlineStr">
        <is>
          <t>Strong candidate: twin + supply chain + AI all in title/abstract</t>
        </is>
      </c>
      <c r="M184" s="37" t="inlineStr">
        <is>
          <t>Marco cuántico-borde con IA para emparejamiento vehículo-carga ("real-time logistics"); "A digital twin environment is developed to validate the proposed architecture under realistic transportation conditions". Nota: gemelo como entorno de validación; si en texto completo resulta un simulador no sincronizado, pasaría a E1 (frontera R0161).</t>
        </is>
      </c>
      <c r="N184" s="69" t="inlineStr">
        <is>
          <t>I</t>
        </is>
      </c>
      <c r="O184" s="69" t="n">
        <v>4</v>
      </c>
      <c r="P184" s="69" t="inlineStr">
        <is>
          <t>Include</t>
        </is>
      </c>
      <c r="Q184" s="69" t="inlineStr">
        <is>
          <t>I</t>
        </is>
      </c>
      <c r="R184" s="69" t="inlineStr">
        <is>
          <t>Marco cuántico-borde con IA para emparejamiento vehículo-carga ("real-time logistics"); "A digital twin environment is developed to validate the proposed architecture under realistic transportation conditions". Nota: gemelo como entorno de validación; si en texto completo resulta un simulador no sincronizado, pasaría a E1 (frontera R0161).</t>
        </is>
      </c>
      <c r="S184" s="69" t="n"/>
    </row>
    <row r="185" ht="23.25" customHeight="1" s="17">
      <c r="A185" s="26" t="inlineStr">
        <is>
          <t>R0184</t>
        </is>
      </c>
      <c r="B185" s="26" t="inlineStr">
        <is>
          <t>Scopus</t>
        </is>
      </c>
      <c r="C185" s="26" t="inlineStr">
        <is>
          <t>Benahmed S.; Benkhira M.; hansal A.</t>
        </is>
      </c>
      <c r="D185" s="26" t="n">
        <v>2025</v>
      </c>
      <c r="E185" s="27" t="inlineStr">
        <is>
          <t>The smart supply chain management: Huawei's innovative approach</t>
        </is>
      </c>
      <c r="F185" s="26" t="inlineStr">
        <is>
          <t>European Journal of Management Studies</t>
        </is>
      </c>
      <c r="G185" s="26" t="inlineStr">
        <is>
          <t>Article</t>
        </is>
      </c>
      <c r="H185" s="26" t="inlineStr">
        <is>
          <t>10.1108/ejms-03-2025-0028</t>
        </is>
      </c>
      <c r="I185" s="26" t="inlineStr">
        <is>
          <t>TA</t>
        </is>
      </c>
      <c r="J185" s="37" t="inlineStr">
        <is>
          <t>Include</t>
        </is>
      </c>
      <c r="K185" s="37" t="n"/>
      <c r="L185" s="28" t="inlineStr">
        <is>
          <t>Strong candidate: twin + supply chain + AI all in title/abstract</t>
        </is>
      </c>
      <c r="M185" s="37" t="inlineStr">
        <is>
          <t>Caso único de Huawei ISC+ con datos secundarios: "It investigates how AI-driven decision-making, self-learning algorithms and digital twin technologies contribute to optimising logistics operations". Evidencia tipo Empirical case (despliegue real, no percepción); C4 no aplica. Confirmar.</t>
        </is>
      </c>
      <c r="N185" s="69" t="inlineStr">
        <is>
          <t>I</t>
        </is>
      </c>
      <c r="O185" s="69" t="n">
        <v>4</v>
      </c>
      <c r="P185" s="69" t="inlineStr">
        <is>
          <t>Include</t>
        </is>
      </c>
      <c r="Q185" s="69" t="inlineStr">
        <is>
          <t>I</t>
        </is>
      </c>
      <c r="R185" s="69" t="inlineStr">
        <is>
          <t>Caso único de Huawei ISC+ con datos secundarios: "It investigates how AI-driven decision-making, self-learning algorithms and digital twin technologies contribute to optimising logistics operations". Evidencia tipo Empirical case (despliegue real, no percepción); C4 no aplica. Confirmar.</t>
        </is>
      </c>
      <c r="S185" s="69" t="n"/>
    </row>
    <row r="186" ht="45.75" customHeight="1" s="17">
      <c r="A186" s="26" t="inlineStr">
        <is>
          <t>R0185</t>
        </is>
      </c>
      <c r="B186" s="26" t="inlineStr">
        <is>
          <t>Scopus + WoS</t>
        </is>
      </c>
      <c r="C186" s="26" t="inlineStr">
        <is>
          <t>Alreshidi E.</t>
        </is>
      </c>
      <c r="D186" s="26" t="n">
        <v>2025</v>
      </c>
      <c r="E186" s="27" t="inlineStr">
        <is>
          <t>Towards Quantum-Accelerated Urban Systems: Integrating Quantum Computing into Saudi Smart City Megaprojects Architecting Quantum-Smart Infrastructure for Deployment in Vision 2030 Initiatives</t>
        </is>
      </c>
      <c r="F186" s="26" t="inlineStr">
        <is>
          <t>International Journal of Advanced Computer Science and Applications</t>
        </is>
      </c>
      <c r="G186" s="26" t="inlineStr">
        <is>
          <t>Article</t>
        </is>
      </c>
      <c r="H186" s="26" t="inlineStr">
        <is>
          <t>10.14569/ijacsa.2025.0161239</t>
        </is>
      </c>
      <c r="I186" s="26" t="inlineStr">
        <is>
          <t>TA</t>
        </is>
      </c>
      <c r="J186" s="37" t="inlineStr">
        <is>
          <t>Exclude</t>
        </is>
      </c>
      <c r="K186" s="37" t="inlineStr">
        <is>
          <t>No digital twin/model</t>
        </is>
      </c>
      <c r="L186" s="28" t="inlineStr">
        <is>
          <t>Strong candidate: twin + supply chain + AI all in title/abstract</t>
        </is>
      </c>
      <c r="M186" s="37" t="inlineStr">
        <is>
          <t>Arquitectura cuántica y hoja de ruta para megaproyectos urbanos; gemelo urbano sólo como dependencia mencionada ("Artificial Intelligence (AI), and Urban Digital Twins (UDTs) to orchestrate complex urban systems such as traffic, energy, logistics, and public safety"); también E2.</t>
        </is>
      </c>
      <c r="N186" s="69" t="inlineStr">
        <is>
          <t>E1</t>
        </is>
      </c>
      <c r="O186" s="69" t="n">
        <v>4</v>
      </c>
      <c r="P186" s="69" t="inlineStr">
        <is>
          <t>Exclude</t>
        </is>
      </c>
      <c r="Q186" s="69" t="inlineStr">
        <is>
          <t>E1</t>
        </is>
      </c>
      <c r="R186" s="69" t="inlineStr">
        <is>
          <t>Arquitectura cuántica y hoja de ruta para megaproyectos urbanos; gemelo urbano sólo como dependencia mencionada ("Artificial Intelligence (AI), and Urban Digital Twins (UDTs) to orchestrate complex urban systems such as traffic, energy, logistics, and public safety"); también E2.</t>
        </is>
      </c>
      <c r="S186" s="69" t="n"/>
    </row>
    <row r="187" ht="23.25" customHeight="1" s="17">
      <c r="A187" s="26" t="inlineStr">
        <is>
          <t>R0186</t>
        </is>
      </c>
      <c r="B187" s="26" t="inlineStr">
        <is>
          <t>Scopus</t>
        </is>
      </c>
      <c r="C187" s="26" t="inlineStr">
        <is>
          <t>Chen X.; GhaffarianHoseini A.; Liu F.; Guo B.; Ghaffarianhoseini A.</t>
        </is>
      </c>
      <c r="D187" s="26" t="n">
        <v>2025</v>
      </c>
      <c r="E187" s="27" t="inlineStr">
        <is>
          <t>Digital Technology for Construction Circularity: Applications, State of Practice, and Trends</t>
        </is>
      </c>
      <c r="F187" s="26" t="inlineStr">
        <is>
          <t>Lecture Notes in Civil Engineering</t>
        </is>
      </c>
      <c r="G187" s="26" t="inlineStr">
        <is>
          <t>Conference paper</t>
        </is>
      </c>
      <c r="H187" s="26" t="inlineStr">
        <is>
          <t>10.1007/978-981-96-4051-5_64</t>
        </is>
      </c>
      <c r="I187" s="26" t="inlineStr">
        <is>
          <t>TA</t>
        </is>
      </c>
      <c r="J187" s="37" t="inlineStr">
        <is>
          <t>Exclude</t>
        </is>
      </c>
      <c r="K187" s="37" t="inlineStr">
        <is>
          <t>Wrong publication type</t>
        </is>
      </c>
      <c r="L187" s="28" t="inlineStr">
        <is>
          <t>Strong candidate: twin + supply chain + AI all in title/abstract</t>
        </is>
      </c>
      <c r="M187" s="37" t="inlineStr">
        <is>
          <t>"This paper addresses this gap through a systematic review of 67 articles" sobre tecnología digital para circularidad en construcción; gemelo e IA entre seis tecnologías. Valor para snowballing: bajo.</t>
        </is>
      </c>
      <c r="N187" s="69" t="inlineStr">
        <is>
          <t>E4</t>
        </is>
      </c>
      <c r="O187" s="69" t="n">
        <v>4</v>
      </c>
      <c r="P187" s="69" t="inlineStr">
        <is>
          <t>Exclude</t>
        </is>
      </c>
      <c r="Q187" s="69" t="inlineStr">
        <is>
          <t>E4</t>
        </is>
      </c>
      <c r="R187" s="69" t="inlineStr">
        <is>
          <t>"This paper addresses this gap through a systematic review of 67 articles" sobre tecnología digital para circularidad en construcción; gemelo e IA entre seis tecnologías. Valor para snowballing: bajo.</t>
        </is>
      </c>
      <c r="S187" s="69" t="n"/>
    </row>
    <row r="188" ht="23.25" customHeight="1" s="17">
      <c r="A188" s="26" t="inlineStr">
        <is>
          <t>R0187</t>
        </is>
      </c>
      <c r="B188" s="26" t="inlineStr">
        <is>
          <t>Scopus</t>
        </is>
      </c>
      <c r="C188" s="26" t="inlineStr">
        <is>
          <t>Erradouani H.O.</t>
        </is>
      </c>
      <c r="D188" s="26" t="n">
        <v>2025</v>
      </c>
      <c r="E188" s="27" t="inlineStr">
        <is>
          <t>Smart Supply Chains in Morocco: Sectoral Insights, Structural Barriers and Strategic Pathways for Inclusive Digital Transformation</t>
        </is>
      </c>
      <c r="F188" s="26" t="inlineStr">
        <is>
          <t>2025 IEEE International Conference on Advanced Technologies in Supply Chain Management, ATSCM 2025</t>
        </is>
      </c>
      <c r="G188" s="26" t="inlineStr">
        <is>
          <t>Conference paper</t>
        </is>
      </c>
      <c r="H188" s="26" t="inlineStr">
        <is>
          <t>10.1109/atscm67505.2025.11473905</t>
        </is>
      </c>
      <c r="I188" s="26" t="inlineStr">
        <is>
          <t>TA</t>
        </is>
      </c>
      <c r="J188" s="37" t="inlineStr">
        <is>
          <t>Exclude</t>
        </is>
      </c>
      <c r="K188" s="37" t="inlineStr">
        <is>
          <t>No digital twin/model</t>
        </is>
      </c>
      <c r="L188" s="28" t="inlineStr">
        <is>
          <t>Strong candidate: twin + supply chain + AI all in title/abstract</t>
        </is>
      </c>
      <c r="M188" s="37" t="inlineStr">
        <is>
          <t>Análisis sectorial de política en Marruecos; gemelo sólo en lista de Industria 4.0 ("including the Internet of Things, artificial intelligence, blockchain, and digital twins"); también E3.</t>
        </is>
      </c>
      <c r="N188" s="69" t="inlineStr">
        <is>
          <t>E1</t>
        </is>
      </c>
      <c r="O188" s="69" t="n">
        <v>4</v>
      </c>
      <c r="P188" s="69" t="inlineStr">
        <is>
          <t>Exclude</t>
        </is>
      </c>
      <c r="Q188" s="69" t="inlineStr">
        <is>
          <t>E1</t>
        </is>
      </c>
      <c r="R188" s="69" t="inlineStr">
        <is>
          <t>Análisis sectorial de política en Marruecos; gemelo sólo en lista de Industria 4.0 ("including the Internet of Things, artificial intelligence, blockchain, and digital twins"); también E3.</t>
        </is>
      </c>
      <c r="S188" s="69" t="n"/>
    </row>
    <row r="189" ht="23.25" customHeight="1" s="17">
      <c r="A189" s="26" t="inlineStr">
        <is>
          <t>R0188</t>
        </is>
      </c>
      <c r="B189" s="26" t="inlineStr">
        <is>
          <t>Scopus</t>
        </is>
      </c>
      <c r="C189" s="26" t="inlineStr">
        <is>
          <t>Dusík M.</t>
        </is>
      </c>
      <c r="D189" s="26" t="n">
        <v>2025</v>
      </c>
      <c r="E189" s="27" t="inlineStr">
        <is>
          <t>CURRENT DEVELOPMENTS IN THE INDUSTRY FROM THE PERSPECTIVE OF THE RUBBER PROCESSING SECTOR</t>
        </is>
      </c>
      <c r="F189" s="26" t="inlineStr">
        <is>
          <t>IDIMT 2025 - ICT in Business: AI Everywhere? Glory and Disgrace of AI - 33rd Interdisciplinary Information Management Talks</t>
        </is>
      </c>
      <c r="G189" s="26" t="inlineStr">
        <is>
          <t>Conference paper</t>
        </is>
      </c>
      <c r="H189" s="26" t="inlineStr">
        <is>
          <t>10.35011/idimt-2025-233</t>
        </is>
      </c>
      <c r="I189" s="26" t="inlineStr">
        <is>
          <t>TA</t>
        </is>
      </c>
      <c r="J189" s="37" t="inlineStr">
        <is>
          <t>Exclude</t>
        </is>
      </c>
      <c r="K189" s="37" t="inlineStr">
        <is>
          <t>No digital twin/model</t>
        </is>
      </c>
      <c r="L189" s="28" t="inlineStr">
        <is>
          <t>Strong candidate: twin + supply chain + AI all in title/abstract</t>
        </is>
      </c>
      <c r="M189" s="37" t="inlineStr">
        <is>
          <t>Panorama de digitalización en la industria del caucho; gemelo sólo en lista ("The key technologies include the Industrial Internet of Things (IIoT), MES and ERP systems, artificial intelligence, digital twins, and advanced automation"); también E2.</t>
        </is>
      </c>
      <c r="N189" s="69" t="inlineStr">
        <is>
          <t>E1</t>
        </is>
      </c>
      <c r="O189" s="69" t="n">
        <v>4</v>
      </c>
      <c r="P189" s="69" t="inlineStr">
        <is>
          <t>Exclude</t>
        </is>
      </c>
      <c r="Q189" s="69" t="inlineStr">
        <is>
          <t>E1</t>
        </is>
      </c>
      <c r="R189" s="69" t="inlineStr">
        <is>
          <t>Panorama de digitalización en la industria del caucho; gemelo sólo en lista ("The key technologies include the Industrial Internet of Things (IIoT), MES and ERP systems, artificial intelligence, digital twins, and advanced automation"); también E2.</t>
        </is>
      </c>
      <c r="S189" s="69" t="n"/>
    </row>
    <row r="190" ht="23.25" customHeight="1" s="17">
      <c r="A190" s="26" t="inlineStr">
        <is>
          <t>R0189</t>
        </is>
      </c>
      <c r="B190" s="26" t="inlineStr">
        <is>
          <t>Scopus + WoS</t>
        </is>
      </c>
      <c r="C190" s="26" t="inlineStr">
        <is>
          <t>Gomes T.; Santos A.; Vanneste J.; Van Toor A.; Ramos C.; Aromatario D.; Carrico R.; Cruz E.; Vaz G.</t>
        </is>
      </c>
      <c r="D190" s="26" t="n">
        <v>2025</v>
      </c>
      <c r="E190" s="27" t="inlineStr">
        <is>
          <t>Hydrotwin: Capturing the Heartbeat of the Ocean</t>
        </is>
      </c>
      <c r="F190" s="26" t="inlineStr">
        <is>
          <t>Proceedings of the 2025 7th Experiment at International Conference, exp.at 2025</t>
        </is>
      </c>
      <c r="G190" s="26" t="inlineStr">
        <is>
          <t>Conference paper</t>
        </is>
      </c>
      <c r="H190" s="26" t="inlineStr">
        <is>
          <t>10.1109/exp.at2565440.2025.11348157</t>
        </is>
      </c>
      <c r="I190" s="26" t="inlineStr">
        <is>
          <t>TA</t>
        </is>
      </c>
      <c r="J190" s="37" t="inlineStr">
        <is>
          <t>Exclude</t>
        </is>
      </c>
      <c r="K190" s="37" t="inlineStr">
        <is>
          <t>No supply chain scope</t>
        </is>
      </c>
      <c r="L190" s="28" t="inlineStr">
        <is>
          <t>Strong candidate: twin + supply chain + AI all in title/abstract</t>
        </is>
      </c>
      <c r="M190" s="37" t="inlineStr">
        <is>
          <t>Gemelo del océano con IA acústica para activos offshore; la logística sólo como costo de la escucha ("cost-intensive task in terms of equipment, logistics and human resources"), sin encuadre de cadena ni logística.</t>
        </is>
      </c>
      <c r="N190" s="69" t="inlineStr">
        <is>
          <t>E2</t>
        </is>
      </c>
      <c r="O190" s="69" t="n">
        <v>4</v>
      </c>
      <c r="P190" s="69" t="inlineStr">
        <is>
          <t>Exclude</t>
        </is>
      </c>
      <c r="Q190" s="69" t="inlineStr">
        <is>
          <t>E2</t>
        </is>
      </c>
      <c r="R190" s="69" t="inlineStr">
        <is>
          <t>Gemelo del océano con IA acústica para activos offshore; la logística sólo como costo de la escucha ("cost-intensive task in terms of equipment, logistics and human resources"), sin encuadre de cadena ni logística.</t>
        </is>
      </c>
      <c r="S190" s="69" t="n"/>
    </row>
    <row r="191" ht="34.5" customHeight="1" s="17">
      <c r="A191" s="26" t="inlineStr">
        <is>
          <t>R0190</t>
        </is>
      </c>
      <c r="B191" s="26" t="inlineStr">
        <is>
          <t>Scopus + WoS</t>
        </is>
      </c>
      <c r="C191" s="26" t="inlineStr">
        <is>
          <t>Yoon J.; Alkhudary R.; Talluri S.; Fenies P.</t>
        </is>
      </c>
      <c r="D191" s="26" t="n">
        <v>2025</v>
      </c>
      <c r="E191" s="27" t="inlineStr">
        <is>
          <t>Risk Management and Macroeconomic Disruptions in Supply Chains: The Role of Blockchain, Digital Twins, Generative AI, and Quantum Computing</t>
        </is>
      </c>
      <c r="F191" s="26" t="inlineStr">
        <is>
          <t>IEEE Transactions on Engineering Management</t>
        </is>
      </c>
      <c r="G191" s="26" t="inlineStr">
        <is>
          <t>Article</t>
        </is>
      </c>
      <c r="H191" s="26" t="inlineStr">
        <is>
          <t>10.1109/tem.2025.3585433</t>
        </is>
      </c>
      <c r="I191" s="26" t="inlineStr">
        <is>
          <t>TA</t>
        </is>
      </c>
      <c r="J191" s="37" t="inlineStr">
        <is>
          <t>Exclude</t>
        </is>
      </c>
      <c r="K191" s="37" t="inlineStr">
        <is>
          <t>Wrong publication type</t>
        </is>
      </c>
      <c r="L191" s="28" t="inlineStr">
        <is>
          <t>Strong candidate: twin + supply chain + AI all in title/abstract</t>
        </is>
      </c>
      <c r="M191" s="37" t="inlineStr">
        <is>
          <t>Resuelto 2026-09-05 por Rodrigo: marco conceptual "grounded in a thorough review of both conceptual and empirical literature" que trata gemelos e IA generativa como constructos separados, sin sistema ni método de IA; retenido como revisión conceptual para snowballing hacia atrás. Valor para snowballing: alto.</t>
        </is>
      </c>
      <c r="N191" s="69" t="inlineStr">
        <is>
          <t>E4</t>
        </is>
      </c>
      <c r="O191" s="69" t="n">
        <v>4</v>
      </c>
      <c r="P191" s="69" t="inlineStr">
        <is>
          <t>Exclude</t>
        </is>
      </c>
      <c r="Q191" s="69" t="inlineStr">
        <is>
          <t>E1</t>
        </is>
      </c>
      <c r="R191" s="69" t="inlineStr">
        <is>
          <t>Marco conceptual (IEEE TEM) que "links specific disruptions to corresponding digital responses" con gemelos e IA generativa como dos de cuatro constructos tecnológicos separados, "grounded in a thorough review of both conceptual and empirical literature"; sin sistema ni método de IA en un gemelo (regla C4). Alternativa E4; valor para snowballing: alto.</t>
        </is>
      </c>
      <c r="S191" s="69" t="n"/>
    </row>
    <row r="192" ht="23.25" customHeight="1" s="17">
      <c r="A192" s="26" t="inlineStr">
        <is>
          <t>R0191</t>
        </is>
      </c>
      <c r="B192" s="26" t="inlineStr">
        <is>
          <t>Scopus</t>
        </is>
      </c>
      <c r="C192" s="26" t="inlineStr">
        <is>
          <t>Meziane B.; Alla L.; Bentalha B.</t>
        </is>
      </c>
      <c r="D192" s="26" t="n">
        <v>2025</v>
      </c>
      <c r="E192" s="27" t="inlineStr">
        <is>
          <t>Generative AI and Territorial Logistics Network Modeling</t>
        </is>
      </c>
      <c r="F192" s="26" t="inlineStr">
        <is>
          <t>2025 IEEE International Conference on Advanced Technologies in Supply Chain Management, ATSCM 2025</t>
        </is>
      </c>
      <c r="G192" s="26" t="inlineStr">
        <is>
          <t>Conference paper</t>
        </is>
      </c>
      <c r="H192" s="26" t="inlineStr">
        <is>
          <t>10.1109/atscm67505.2025.11473856</t>
        </is>
      </c>
      <c r="I192" s="26" t="inlineStr">
        <is>
          <t>TA</t>
        </is>
      </c>
      <c r="J192" s="37" t="inlineStr">
        <is>
          <t>Exclude</t>
        </is>
      </c>
      <c r="K192" s="37" t="inlineStr">
        <is>
          <t>Wrong publication type</t>
        </is>
      </c>
      <c r="L192" s="28" t="inlineStr">
        <is>
          <t>Strong candidate: twin + supply chain + AI all in title/abstract</t>
        </is>
      </c>
      <c r="M192" s="37" t="inlineStr">
        <is>
          <t>"This research proposes a systematic and bibliometric review of recent publications (2020-2025) indexed in Scopus, using the PRISMA protocol" sobre IA generativa y redes logísticas territoriales; agenda con gemelos. Valor para snowballing: medio.</t>
        </is>
      </c>
      <c r="N192" s="69" t="inlineStr">
        <is>
          <t>E4</t>
        </is>
      </c>
      <c r="O192" s="69" t="n">
        <v>4</v>
      </c>
      <c r="P192" s="69" t="inlineStr">
        <is>
          <t>Exclude</t>
        </is>
      </c>
      <c r="Q192" s="69" t="inlineStr">
        <is>
          <t>E4</t>
        </is>
      </c>
      <c r="R192" s="69" t="inlineStr">
        <is>
          <t>"This research proposes a systematic and bibliometric review of recent publications (2020-2025) indexed in Scopus, using the PRISMA protocol" sobre IA generativa y redes logísticas territoriales; agenda con gemelos. Valor para snowballing: medio.</t>
        </is>
      </c>
      <c r="S192" s="69" t="n"/>
    </row>
    <row r="193" ht="23.25" customHeight="1" s="17">
      <c r="A193" s="26" t="inlineStr">
        <is>
          <t>R0192</t>
        </is>
      </c>
      <c r="B193" s="26" t="inlineStr">
        <is>
          <t>Scopus</t>
        </is>
      </c>
      <c r="C193" s="26" t="inlineStr">
        <is>
          <t>Ma C.; Tobias G.R.</t>
        </is>
      </c>
      <c r="D193" s="26" t="n">
        <v>2025</v>
      </c>
      <c r="E193" s="27" t="inlineStr">
        <is>
          <t>Research on Intelligent Strategy and Digital Operation of Automobile Industry Based on Artificial Intelligence</t>
        </is>
      </c>
      <c r="F193" s="26" t="inlineStr">
        <is>
          <t>Proceedings - 2025 International Conference on Low-Altitude Airspace and Artificial Intelligence, LAAI 2025</t>
        </is>
      </c>
      <c r="G193" s="26" t="inlineStr">
        <is>
          <t>Conference paper</t>
        </is>
      </c>
      <c r="H193" s="26" t="inlineStr">
        <is>
          <t>10.1109/laai69202.2025.00066</t>
        </is>
      </c>
      <c r="I193" s="26" t="inlineStr">
        <is>
          <t>TA</t>
        </is>
      </c>
      <c r="J193" s="37" t="inlineStr">
        <is>
          <t>Include</t>
        </is>
      </c>
      <c r="K193" s="37" t="n"/>
      <c r="L193" s="28" t="inlineStr">
        <is>
          <t>Strong candidate: twin + supply chain + AI all in title/abstract</t>
        </is>
      </c>
      <c r="M193" s="37" t="inlineStr">
        <is>
          <t>[Make] Marco de IA para la cadena automotriz con ML y RL para programación de producción y "By leveraging digital twin technology to achieve virtual-reality mapping and feedback correction"; escenarios del estudio incluyen "supply chain forecasting". Make (verificar encuadre de cadena). | Auditoría final 2026-09-06: se mantiene I; ML y RL implementados con gemelo de retroalimentación; confirmar el encuadre de cadena ("supply chain forecasting" como escenario analizado) en texto completo.</t>
        </is>
      </c>
      <c r="N193" s="69" t="inlineStr">
        <is>
          <t>I</t>
        </is>
      </c>
      <c r="O193" s="69" t="n">
        <v>4</v>
      </c>
      <c r="P193" s="69" t="inlineStr">
        <is>
          <t>Include</t>
        </is>
      </c>
      <c r="Q193" s="69" t="inlineStr">
        <is>
          <t>I</t>
        </is>
      </c>
      <c r="R193" s="69" t="inlineStr">
        <is>
          <t>Marco de IA para la cadena automotriz con ML y RL para programación de producción y "By leveraging digital twin technology to achieve virtual-reality mapping and feedback correction"; escenarios del estudio incluyen "supply chain forecasting". Make (verificar encuadre de cadena).</t>
        </is>
      </c>
      <c r="S193" s="69" t="inlineStr">
        <is>
          <t>Make</t>
        </is>
      </c>
    </row>
    <row r="194" ht="23.25" customHeight="1" s="17">
      <c r="A194" s="26" t="inlineStr">
        <is>
          <t>R0193</t>
        </is>
      </c>
      <c r="B194" s="26" t="inlineStr">
        <is>
          <t>Scopus + WoS</t>
        </is>
      </c>
      <c r="C194" s="26" t="inlineStr">
        <is>
          <t>Gutierrez M.; Lopez Z.; Coles P.; Ramos E.</t>
        </is>
      </c>
      <c r="D194" s="26" t="n">
        <v>2025</v>
      </c>
      <c r="E194" s="27" t="inlineStr">
        <is>
          <t>Integrating Supply Chain 5.0 Tools to Establish a Leagile Supply Chain: An Empirical Research in Food Supply Chain</t>
        </is>
      </c>
      <c r="F194" s="26" t="inlineStr">
        <is>
          <t>Lecture Notes in Networks and Systems</t>
        </is>
      </c>
      <c r="G194" s="26" t="inlineStr">
        <is>
          <t>Conference paper</t>
        </is>
      </c>
      <c r="H194" s="26" t="inlineStr">
        <is>
          <t>10.1007/978-3-031-98304-7_55</t>
        </is>
      </c>
      <c r="I194" s="26" t="inlineStr">
        <is>
          <t>TA</t>
        </is>
      </c>
      <c r="J194" s="37" t="inlineStr">
        <is>
          <t>Exclude</t>
        </is>
      </c>
      <c r="K194" s="37" t="inlineStr">
        <is>
          <t>No digital twin/model</t>
        </is>
      </c>
      <c r="L194" s="28" t="inlineStr">
        <is>
          <t>Strong candidate: twin + supply chain + AI all in title/abstract</t>
        </is>
      </c>
      <c r="M194" s="37" t="inlineStr">
        <is>
          <t>Priorización con FAHP de herramientas de Supply Chain 5.0 (regla C4): "The Fuzzy Hierarchical Analysis Process (FAHP) methodology was applied to select the Supply chain 5.0 criteria"; gemelos e IA como criterios, no aplicados; también E3.</t>
        </is>
      </c>
      <c r="N194" s="69" t="inlineStr">
        <is>
          <t>E1</t>
        </is>
      </c>
      <c r="O194" s="69" t="n">
        <v>4</v>
      </c>
      <c r="P194" s="69" t="inlineStr">
        <is>
          <t>Exclude</t>
        </is>
      </c>
      <c r="Q194" s="69" t="inlineStr">
        <is>
          <t>E1</t>
        </is>
      </c>
      <c r="R194" s="69" t="inlineStr">
        <is>
          <t>Priorización con FAHP de herramientas de Supply Chain 5.0 (regla C4): "The Fuzzy Hierarchical Analysis Process (FAHP) methodology was applied to select the Supply chain 5.0 criteria"; gemelos e IA como criterios, no aplicados; también E3.</t>
        </is>
      </c>
      <c r="S194" s="69" t="n"/>
    </row>
    <row r="195" ht="23.25" customHeight="1" s="17">
      <c r="A195" s="26" t="inlineStr">
        <is>
          <t>R0194</t>
        </is>
      </c>
      <c r="B195" s="26" t="inlineStr">
        <is>
          <t>Scopus + WoS</t>
        </is>
      </c>
      <c r="C195" s="26" t="inlineStr">
        <is>
          <t>Ogunsoto O.V.; Olivares-Aguila J.; ElMaraghy W.</t>
        </is>
      </c>
      <c r="D195" s="26" t="n">
        <v>2025</v>
      </c>
      <c r="E195" s="27" t="inlineStr">
        <is>
          <t>A conceptual digital twin framework for supply chain recovery and resilience</t>
        </is>
      </c>
      <c r="F195" s="26" t="inlineStr">
        <is>
          <t>Supply Chain Analytics</t>
        </is>
      </c>
      <c r="G195" s="26" t="inlineStr">
        <is>
          <t>Article</t>
        </is>
      </c>
      <c r="H195" s="26" t="inlineStr">
        <is>
          <t>10.1016/j.sca.2024.100091</t>
        </is>
      </c>
      <c r="I195" s="26" t="inlineStr">
        <is>
          <t>TA</t>
        </is>
      </c>
      <c r="J195" s="37" t="inlineStr">
        <is>
          <t>Include</t>
        </is>
      </c>
      <c r="K195" s="37" t="n"/>
      <c r="L195" s="28" t="inlineStr">
        <is>
          <t>Strong candidate: twin + supply chain + AI all in title/abstract</t>
        </is>
      </c>
      <c r="M195" s="37" t="inlineStr">
        <is>
          <t>"This study presents a three-phase digital supply chain twin framework, leveraging discrete event simulation and neural networks to anticipate floods" (LSTM, MLPNN, FlexSim) para recuperación de la cadena.</t>
        </is>
      </c>
      <c r="N195" s="69" t="inlineStr">
        <is>
          <t>I</t>
        </is>
      </c>
      <c r="O195" s="69" t="n">
        <v>4</v>
      </c>
      <c r="P195" s="69" t="inlineStr">
        <is>
          <t>Include</t>
        </is>
      </c>
      <c r="Q195" s="69" t="inlineStr">
        <is>
          <t>I</t>
        </is>
      </c>
      <c r="R195" s="69" t="inlineStr">
        <is>
          <t>"This study presents a three-phase digital supply chain twin framework, leveraging discrete event simulation and neural networks to anticipate floods" (LSTM, MLPNN, FlexSim) para recuperación de la cadena.</t>
        </is>
      </c>
      <c r="S195" s="69" t="n"/>
    </row>
    <row r="196" ht="23.25" customHeight="1" s="17">
      <c r="A196" s="26" t="inlineStr">
        <is>
          <t>R0195</t>
        </is>
      </c>
      <c r="B196" s="26" t="inlineStr">
        <is>
          <t>Scopus</t>
        </is>
      </c>
      <c r="C196" s="26" t="inlineStr">
        <is>
          <t>Elsasser R.; Li H.; Kovalenko I.</t>
        </is>
      </c>
      <c r="D196" s="26" t="n">
        <v>2025</v>
      </c>
      <c r="E196" s="27" t="inlineStr">
        <is>
          <t>A DIGITAL TWIN FRAMEWORK FOR COMPUTER HARDWARE DESIGN AND ASSEMBLY: A RISK-PRIORITIZED APPROACH</t>
        </is>
      </c>
      <c r="F196" s="26" t="inlineStr">
        <is>
          <t>Proceedings of ASME 2025 20th International Manufacturing Science and Engineering Conference, MSEC 2025</t>
        </is>
      </c>
      <c r="G196" s="26" t="inlineStr">
        <is>
          <t>Conference paper</t>
        </is>
      </c>
      <c r="H196" s="26" t="inlineStr">
        <is>
          <t>10.1115/msec2025-155848</t>
        </is>
      </c>
      <c r="I196" s="26" t="inlineStr">
        <is>
          <t>TA</t>
        </is>
      </c>
      <c r="J196" s="37" t="inlineStr">
        <is>
          <t>Exclude</t>
        </is>
      </c>
      <c r="K196" s="37" t="inlineStr">
        <is>
          <t>No digital twin/model</t>
        </is>
      </c>
      <c r="L196" s="28" t="inlineStr">
        <is>
          <t>Strong candidate: twin + supply chain + AI all in title/abstract</t>
        </is>
      </c>
      <c r="M196" s="37" t="inlineStr">
        <is>
          <t>Recodificado 2026-09-06 en la auditoría final (E2→E1): Gemelo de diseño y ensamble (C6, modelos de diseño, precedente R0365): "a Risk-Prioritized Digital Twin (RPDT) framework that enables concurrent optimization of design and assembly processes" con FMEA, simulación cinemática y análisis de tolerancias; la cadena sólo como reto mencionado ("supply chain vulnerabilities across numerous sub-components") y la IA sólo como impulsor de demanda. | Nota original (E2): Gemelo de diseño y ensamble de servidores (FMEA, simulación cinemática, tolerancias); la cadena sólo como reto mencionado ("supply chain vulnerabilities across numerous sub-components"), sin encuadre; también E3 (la IA sólo como impulsor de demanda).</t>
        </is>
      </c>
      <c r="N196" s="69" t="inlineStr">
        <is>
          <t>E1</t>
        </is>
      </c>
      <c r="O196" s="69" t="n">
        <v>4</v>
      </c>
      <c r="P196" s="69" t="inlineStr">
        <is>
          <t>Exclude</t>
        </is>
      </c>
      <c r="Q196" s="69" t="inlineStr">
        <is>
          <t>E2</t>
        </is>
      </c>
      <c r="R196" s="69" t="inlineStr">
        <is>
          <t>Gemelo de diseño y ensamble de servidores (FMEA, simulación cinemática, tolerancias); la cadena sólo como reto mencionado ("supply chain vulnerabilities across numerous sub-components"), sin encuadre; también E3 (la IA sólo como impulsor de demanda).</t>
        </is>
      </c>
      <c r="S196" s="69" t="n"/>
    </row>
    <row r="197" ht="34.5" customHeight="1" s="17">
      <c r="A197" s="26" t="inlineStr">
        <is>
          <t>R0196</t>
        </is>
      </c>
      <c r="B197" s="26" t="inlineStr">
        <is>
          <t>Scopus + WoS</t>
        </is>
      </c>
      <c r="C197" s="26" t="inlineStr">
        <is>
          <t>Chatterjee S.; Kliestik T.; Rowland Z.; Bugaj M.</t>
        </is>
      </c>
      <c r="D197" s="26" t="n">
        <v>2025</v>
      </c>
      <c r="E197" s="27" t="inlineStr">
        <is>
          <t>Immersive collaborative business process and extended reality-driven industrial metaverse technologies for economic value co-creation in 3D digital twin factories</t>
        </is>
      </c>
      <c r="F197" s="26" t="inlineStr">
        <is>
          <t>Oeconomia Copernicana</t>
        </is>
      </c>
      <c r="G197" s="26" t="inlineStr">
        <is>
          <t>Article</t>
        </is>
      </c>
      <c r="H197" s="26" t="inlineStr">
        <is>
          <t>10.24136/oc.3596</t>
        </is>
      </c>
      <c r="I197" s="26" t="inlineStr">
        <is>
          <t>TA</t>
        </is>
      </c>
      <c r="J197" s="37" t="inlineStr">
        <is>
          <t>Exclude</t>
        </is>
      </c>
      <c r="K197" s="37" t="inlineStr">
        <is>
          <t>No AI/ML component</t>
        </is>
      </c>
      <c r="L197" s="28" t="inlineStr">
        <is>
          <t>Strong candidate: twin + supply chain + AI all in title/abstract</t>
        </is>
      </c>
      <c r="M197" s="37" t="inlineStr">
        <is>
          <t>Análisis de 100 empresas de Tracxn sobre metaverso industrial y fábricas gemelo ("We inspected Tracxn (the Industrial Metaverse section) for the first 100 companies"); gemelo como objeto pero sin método de IA aplicado ni propuesto (regla C4, análisis de panorama). Calidad dudosa.</t>
        </is>
      </c>
      <c r="N197" s="69" t="inlineStr">
        <is>
          <t>E3</t>
        </is>
      </c>
      <c r="O197" s="69" t="n">
        <v>4</v>
      </c>
      <c r="P197" s="69" t="inlineStr">
        <is>
          <t>Exclude</t>
        </is>
      </c>
      <c r="Q197" s="69" t="inlineStr">
        <is>
          <t>E3</t>
        </is>
      </c>
      <c r="R197" s="69" t="inlineStr">
        <is>
          <t>Análisis de 100 empresas de Tracxn sobre metaverso industrial y fábricas gemelo ("We inspected Tracxn (the Industrial Metaverse section) for the first 100 companies"); gemelo como objeto pero sin método de IA aplicado ni propuesto (regla C4, análisis de panorama). Calidad dudosa.</t>
        </is>
      </c>
      <c r="S197" s="69" t="n"/>
    </row>
    <row r="198" ht="23.25" customHeight="1" s="17">
      <c r="A198" s="26" t="inlineStr">
        <is>
          <t>R0197</t>
        </is>
      </c>
      <c r="B198" s="26" t="inlineStr">
        <is>
          <t>Scopus</t>
        </is>
      </c>
      <c r="C198" s="26" t="inlineStr">
        <is>
          <t>Tsai W.-H.; Lee K.-H.; Yang C.-F.</t>
        </is>
      </c>
      <c r="D198" s="26" t="n">
        <v>2025</v>
      </c>
      <c r="E198" s="27" t="inlineStr">
        <is>
          <t>Design and Implementation of a Semi-automated Warehouse System for Smart Logistics in Urban Infrastructure</t>
        </is>
      </c>
      <c r="F198" s="26" t="inlineStr">
        <is>
          <t>Sensors and Materials</t>
        </is>
      </c>
      <c r="G198" s="26" t="inlineStr">
        <is>
          <t>Article</t>
        </is>
      </c>
      <c r="H198" s="26" t="inlineStr">
        <is>
          <t>10.18494/sam5896</t>
        </is>
      </c>
      <c r="I198" s="26" t="inlineStr">
        <is>
          <t>TA</t>
        </is>
      </c>
      <c r="J198" s="37" t="inlineStr">
        <is>
          <t>Exclude</t>
        </is>
      </c>
      <c r="K198" s="37" t="inlineStr">
        <is>
          <t>No digital twin/model</t>
        </is>
      </c>
      <c r="L198" s="28" t="inlineStr">
        <is>
          <t>Strong candidate: twin + supply chain + AI all in title/abstract</t>
        </is>
      </c>
      <c r="M198" s="37" t="inlineStr">
        <is>
          <t>Almacén semiautomatizado con IoT y módulos de control por IA; gemelo sólo como dirección futura ("the deployment of digital twins for real-time logistics optimization").</t>
        </is>
      </c>
      <c r="N198" s="69" t="inlineStr">
        <is>
          <t>E1</t>
        </is>
      </c>
      <c r="O198" s="69" t="n">
        <v>4</v>
      </c>
      <c r="P198" s="69" t="inlineStr">
        <is>
          <t>Exclude</t>
        </is>
      </c>
      <c r="Q198" s="69" t="inlineStr">
        <is>
          <t>E1</t>
        </is>
      </c>
      <c r="R198" s="69" t="inlineStr">
        <is>
          <t>Almacén semiautomatizado con IoT y módulos de control por IA; gemelo sólo como dirección futura ("the deployment of digital twins for real-time logistics optimization").</t>
        </is>
      </c>
      <c r="S198" s="69" t="n"/>
    </row>
    <row r="199" ht="34.5" customHeight="1" s="17">
      <c r="A199" s="26" t="inlineStr">
        <is>
          <t>R0198</t>
        </is>
      </c>
      <c r="B199" s="26" t="inlineStr">
        <is>
          <t>Scopus + WoS</t>
        </is>
      </c>
      <c r="C199" s="26" t="inlineStr">
        <is>
          <t>Balaraman N.K.; Rajendran P.; Thirumalai S.; Borse D.</t>
        </is>
      </c>
      <c r="D199" s="26" t="n">
        <v>2025</v>
      </c>
      <c r="E199" s="27" t="inlineStr">
        <is>
          <t>AI-Driven Innovation and Digital Twins: Integrating MHE Automation to Enhance Smart Warehousing, Logistics, and FSMA Compliance in the Food Industry</t>
        </is>
      </c>
      <c r="F199" s="26" t="inlineStr">
        <is>
          <t>TEMSCON Global 2025 - 2025 IEEE Technology and Engineering Management Society Conference - Global, Conference Proceedings</t>
        </is>
      </c>
      <c r="G199" s="26" t="inlineStr">
        <is>
          <t>Conference paper</t>
        </is>
      </c>
      <c r="H199" s="26" t="inlineStr">
        <is>
          <t>10.1109/temsconglobal64363.2025.11238286</t>
        </is>
      </c>
      <c r="I199" s="26" t="inlineStr">
        <is>
          <t>TA</t>
        </is>
      </c>
      <c r="J199" s="37" t="inlineStr">
        <is>
          <t>Exclude</t>
        </is>
      </c>
      <c r="K199" s="37" t="inlineStr">
        <is>
          <t>Wrong publication type</t>
        </is>
      </c>
      <c r="L199" s="28" t="inlineStr">
        <is>
          <t>Strong candidate: twin + supply chain + AI all in title/abstract</t>
        </is>
      </c>
      <c r="M199" s="37" t="inlineStr">
        <is>
          <t>"This investigation uses Systematic Literature Review (SLR) methodology to evaluate academic studies about AI and Digital Twin implementations within smart warehousing solutions". Valor para snowballing: alto.</t>
        </is>
      </c>
      <c r="N199" s="69" t="inlineStr">
        <is>
          <t>E4</t>
        </is>
      </c>
      <c r="O199" s="69" t="n">
        <v>4</v>
      </c>
      <c r="P199" s="69" t="inlineStr">
        <is>
          <t>Exclude</t>
        </is>
      </c>
      <c r="Q199" s="69" t="inlineStr">
        <is>
          <t>E4</t>
        </is>
      </c>
      <c r="R199" s="69" t="inlineStr">
        <is>
          <t>"This investigation uses Systematic Literature Review (SLR) methodology to evaluate academic studies about AI and Digital Twin implementations within smart warehousing solutions". Valor para snowballing: alto.</t>
        </is>
      </c>
      <c r="S199" s="69" t="n"/>
    </row>
    <row r="200" ht="34.5" customHeight="1" s="17">
      <c r="A200" s="26" t="inlineStr">
        <is>
          <t>R0199</t>
        </is>
      </c>
      <c r="B200" s="26" t="inlineStr">
        <is>
          <t>Scopus</t>
        </is>
      </c>
      <c r="C200" s="26" t="inlineStr">
        <is>
          <t>Hewavitharana S.; Perera S.; Jin X.; Seneviratne K.; Bamdad K.</t>
        </is>
      </c>
      <c r="D200" s="26" t="n">
        <v>2025</v>
      </c>
      <c r="E200" s="27" t="inlineStr">
        <is>
          <t>A REVIEW OF PROCUREMENT AND MANAGEMENT OF BUILDING SERVICES SYSTEMS: COMPLEXITIES AND TECHNOLOGY ADOPTION</t>
        </is>
      </c>
      <c r="F200" s="26" t="inlineStr">
        <is>
          <t>World Construction Symposium</t>
        </is>
      </c>
      <c r="G200" s="26" t="inlineStr">
        <is>
          <t>Conference paper</t>
        </is>
      </c>
      <c r="H200" s="26" t="inlineStr">
        <is>
          <t>10.31705/wcs.2025.4</t>
        </is>
      </c>
      <c r="I200" s="26" t="inlineStr">
        <is>
          <t>TA</t>
        </is>
      </c>
      <c r="J200" s="37" t="inlineStr">
        <is>
          <t>Exclude</t>
        </is>
      </c>
      <c r="K200" s="37" t="inlineStr">
        <is>
          <t>Wrong publication type</t>
        </is>
      </c>
      <c r="L200" s="28" t="inlineStr">
        <is>
          <t>Strong candidate: twin + supply chain + AI all in title/abstract</t>
        </is>
      </c>
      <c r="M200" s="37" t="inlineStr">
        <is>
          <t>"A scoping literature review of 32 peer-reviewed articles was conducted" sobre adquisición y gestión de sistemas de servicios de edificios; gemelo e IA entre tecnologías. Valor para snowballing: bajo.</t>
        </is>
      </c>
      <c r="N200" s="69" t="inlineStr">
        <is>
          <t>E4</t>
        </is>
      </c>
      <c r="O200" s="69" t="n">
        <v>4</v>
      </c>
      <c r="P200" s="69" t="inlineStr">
        <is>
          <t>Exclude</t>
        </is>
      </c>
      <c r="Q200" s="69" t="inlineStr">
        <is>
          <t>E4</t>
        </is>
      </c>
      <c r="R200" s="69" t="inlineStr">
        <is>
          <t>"A scoping literature review of 32 peer-reviewed articles was conducted" sobre adquisición y gestión de sistemas de servicios de edificios; gemelo e IA entre tecnologías. Valor para snowballing: bajo.</t>
        </is>
      </c>
      <c r="S200" s="69" t="n"/>
    </row>
    <row r="201" ht="23.25" customHeight="1" s="17">
      <c r="A201" s="26" t="inlineStr">
        <is>
          <t>R0200</t>
        </is>
      </c>
      <c r="B201" s="26" t="inlineStr">
        <is>
          <t>Scopus</t>
        </is>
      </c>
      <c r="C201" s="26" t="inlineStr">
        <is>
          <t>Rani R.; Tanwar N.; Tyagi M.</t>
        </is>
      </c>
      <c r="D201" s="26" t="n">
        <v>2025</v>
      </c>
      <c r="E201" s="27" t="inlineStr">
        <is>
          <t>Impact of digital disruption: Transforming supply chain for the future</t>
        </is>
      </c>
      <c r="F201" s="26" t="inlineStr">
        <is>
          <t>AIP Conference Proceedings</t>
        </is>
      </c>
      <c r="G201" s="26" t="inlineStr">
        <is>
          <t>Conference paper</t>
        </is>
      </c>
      <c r="H201" s="26" t="inlineStr">
        <is>
          <t>10.1063/5.0293018</t>
        </is>
      </c>
      <c r="I201" s="26" t="inlineStr">
        <is>
          <t>TA</t>
        </is>
      </c>
      <c r="J201" s="37" t="inlineStr">
        <is>
          <t>Exclude</t>
        </is>
      </c>
      <c r="K201" s="37" t="inlineStr">
        <is>
          <t>Wrong publication type</t>
        </is>
      </c>
      <c r="L201" s="28" t="inlineStr">
        <is>
          <t>Strong candidate: twin + supply chain + AI all in title/abstract</t>
        </is>
      </c>
      <c r="M201" s="37" t="inlineStr">
        <is>
          <t>Estudio de datos secundarios de WoS y Scopus con criterios de inclusión ("utilizing secondary data from key databases, including Web of Science (WOS) and Scopus after applying some inclusion and exclusion criteria") sobre transformación digital en SCM; gemelo en lista. Valor para snowballing: bajo.</t>
        </is>
      </c>
      <c r="N201" s="69" t="inlineStr">
        <is>
          <t>E4</t>
        </is>
      </c>
      <c r="O201" s="69" t="n">
        <v>4</v>
      </c>
      <c r="P201" s="69" t="inlineStr">
        <is>
          <t>Exclude</t>
        </is>
      </c>
      <c r="Q201" s="69" t="inlineStr">
        <is>
          <t>E4</t>
        </is>
      </c>
      <c r="R201" s="69" t="inlineStr">
        <is>
          <t>Estudio de datos secundarios de WoS y Scopus con criterios de inclusión ("utilizing secondary data from key databases, including Web of Science (WOS) and Scopus after applying some inclusion and exclusion criteria") sobre transformación digital en SCM; gemelo en lista. Valor para snowballing: bajo.</t>
        </is>
      </c>
      <c r="S201" s="69" t="n"/>
    </row>
    <row r="202" ht="23.25" customHeight="1" s="17">
      <c r="A202" s="26" t="inlineStr">
        <is>
          <t>R0201</t>
        </is>
      </c>
      <c r="B202" s="26" t="inlineStr">
        <is>
          <t>Scopus</t>
        </is>
      </c>
      <c r="C202" s="26" t="inlineStr">
        <is>
          <t>Pilutti Namer T.; Tornielli M.</t>
        </is>
      </c>
      <c r="D202" s="26" t="n">
        <v>2025</v>
      </c>
      <c r="E202" s="27" t="inlineStr">
        <is>
          <t>Fincantieri Shipyards Digital Twin Model</t>
        </is>
      </c>
      <c r="F202" s="26" t="inlineStr">
        <is>
          <t>Progress in Marine Science and Technology</t>
        </is>
      </c>
      <c r="G202" s="26" t="inlineStr">
        <is>
          <t>Conference paper</t>
        </is>
      </c>
      <c r="H202" s="26" t="inlineStr">
        <is>
          <t>10.3233/pmst250135</t>
        </is>
      </c>
      <c r="I202" s="26" t="inlineStr">
        <is>
          <t>TA</t>
        </is>
      </c>
      <c r="J202" s="37" t="inlineStr">
        <is>
          <t>Include</t>
        </is>
      </c>
      <c r="K202" s="37" t="n"/>
      <c r="L202" s="28" t="inlineStr">
        <is>
          <t>Strong candidate: twin + supply chain + AI all in title/abstract</t>
        </is>
      </c>
      <c r="M202" s="37" t="inlineStr">
        <is>
          <t>[Make] Gemelo de astilleros de Fincantieri (implementación industrial) con áreas explícitas de cadena: "The Twin framework adopted by Fincantieri includes the following thematic areas: Planning and Scheduling, Production, Logistics and Supply Chain, Quality, Health &amp; Safety, Industrial Metaverse, Robotics, Artificial Intelligence" y extensión "to all Fincantieri's supply chains and shipyards". Make; evidencia Empirical case; verificar sustancia de la IA (imágenes procesadas por IA para robots).</t>
        </is>
      </c>
      <c r="N202" s="69" t="inlineStr">
        <is>
          <t>I</t>
        </is>
      </c>
      <c r="O202" s="69" t="n">
        <v>5</v>
      </c>
      <c r="P202" s="69" t="inlineStr">
        <is>
          <t>Include</t>
        </is>
      </c>
      <c r="Q202" s="69" t="inlineStr">
        <is>
          <t>I</t>
        </is>
      </c>
      <c r="R202" s="69" t="inlineStr">
        <is>
          <t>Gemelo de astilleros de Fincantieri (implementación industrial) con áreas explícitas de cadena: "The Twin framework adopted by Fincantieri includes the following thematic areas: Planning and Scheduling, Production, Logistics and Supply Chain, Quality, Health &amp; Safety, Industrial Metaverse, Robotics, Artificial Intelligence" y extensión "to all Fincantieri's supply chains and shipyards". Make; evidencia Empirical case; verificar sustancia de la IA (imágenes procesadas por IA para robots).</t>
        </is>
      </c>
      <c r="S202" s="69" t="inlineStr">
        <is>
          <t>Make</t>
        </is>
      </c>
    </row>
    <row r="203" ht="23.25" customHeight="1" s="17">
      <c r="A203" s="26" t="inlineStr">
        <is>
          <t>R0202</t>
        </is>
      </c>
      <c r="B203" s="26" t="inlineStr">
        <is>
          <t>Scopus</t>
        </is>
      </c>
      <c r="C203" s="26" t="inlineStr">
        <is>
          <t>Wissal B.; Rachid E.Z.</t>
        </is>
      </c>
      <c r="D203" s="26" t="n">
        <v>2025</v>
      </c>
      <c r="E203" s="27" t="inlineStr">
        <is>
          <t>Integrating artificial intelligence into the supply chain-Implications for management control: A systematic Literature Review</t>
        </is>
      </c>
      <c r="F203" s="26" t="inlineStr">
        <is>
          <t>2025 IEEE International Conference on Advanced Technologies in Supply Chain Management, ATSCM 2025</t>
        </is>
      </c>
      <c r="G203" s="26" t="inlineStr">
        <is>
          <t>Conference paper</t>
        </is>
      </c>
      <c r="H203" s="26" t="inlineStr">
        <is>
          <t>10.1109/atscm67505.2025.11473486</t>
        </is>
      </c>
      <c r="I203" s="26" t="inlineStr">
        <is>
          <t>TA</t>
        </is>
      </c>
      <c r="J203" s="37" t="inlineStr">
        <is>
          <t>Exclude</t>
        </is>
      </c>
      <c r="K203" s="37" t="inlineStr">
        <is>
          <t>Wrong publication type</t>
        </is>
      </c>
      <c r="L203" s="28" t="inlineStr">
        <is>
          <t>Strong candidate: twin + supply chain + AI all in title/abstract</t>
        </is>
      </c>
      <c r="M203" s="37" t="inlineStr">
        <is>
          <t>"This systematic literature review investigates how the integration of AI is reshaping management control practices and tools within the supply chain context" (48 artículos); gemelos entre las tecnologías; colaboración humano-máquina. Valor para snowballing: medio.</t>
        </is>
      </c>
      <c r="N203" s="69" t="inlineStr">
        <is>
          <t>E4</t>
        </is>
      </c>
      <c r="O203" s="69" t="n">
        <v>5</v>
      </c>
      <c r="P203" s="69" t="inlineStr">
        <is>
          <t>Exclude</t>
        </is>
      </c>
      <c r="Q203" s="69" t="inlineStr">
        <is>
          <t>E4</t>
        </is>
      </c>
      <c r="R203" s="69" t="inlineStr">
        <is>
          <t>"This systematic literature review investigates how the integration of AI is reshaping management control practices and tools within the supply chain context" (48 artículos); gemelos entre las tecnologías; colaboración humano-máquina. Valor para snowballing: medio.</t>
        </is>
      </c>
      <c r="S203" s="69" t="n"/>
    </row>
    <row r="204" ht="23.25" customHeight="1" s="17">
      <c r="A204" s="26" t="inlineStr">
        <is>
          <t>R0203</t>
        </is>
      </c>
      <c r="B204" s="26" t="inlineStr">
        <is>
          <t>Scopus</t>
        </is>
      </c>
      <c r="C204" s="26" t="inlineStr">
        <is>
          <t>Kochnev A.</t>
        </is>
      </c>
      <c r="D204" s="26" t="n">
        <v>2025</v>
      </c>
      <c r="E204" s="27" t="inlineStr">
        <is>
          <t>HOW AUTONOMOUS ROBOTS AND INDOOR MAPPING IMPROVE WAREHOUSE SAFETY</t>
        </is>
      </c>
      <c r="F204" s="26" t="inlineStr">
        <is>
          <t>International Multidisciplinary Scientific GeoConference Surveying Geology and Mining Ecology Management, SGEM</t>
        </is>
      </c>
      <c r="G204" s="26" t="inlineStr">
        <is>
          <t>Conference paper</t>
        </is>
      </c>
      <c r="H204" s="26" t="inlineStr">
        <is>
          <t>10.5593/sgem2025/2.1/s10.25</t>
        </is>
      </c>
      <c r="I204" s="26" t="inlineStr">
        <is>
          <t>TA</t>
        </is>
      </c>
      <c r="J204" s="37" t="inlineStr">
        <is>
          <t>Include</t>
        </is>
      </c>
      <c r="K204" s="37" t="n"/>
      <c r="L204" s="28" t="inlineStr">
        <is>
          <t>Strong candidate: twin + supply chain + AI all in title/abstract</t>
        </is>
      </c>
      <c r="M204" s="37" t="inlineStr">
        <is>
          <t>Logística interna de almacén con AMR: "The developed digital twin models successfully identified collision hotspots, high-risk ergonomic zones, and areas of traffic congestion"; IA ("predictive traffic management supported by machine learning") para "optimize internal logistics efficiency". Fase preparatoria, sin despliegue completo.</t>
        </is>
      </c>
      <c r="N204" s="69" t="inlineStr">
        <is>
          <t>I</t>
        </is>
      </c>
      <c r="O204" s="69" t="n">
        <v>5</v>
      </c>
      <c r="P204" s="69" t="inlineStr">
        <is>
          <t>Include</t>
        </is>
      </c>
      <c r="Q204" s="69" t="inlineStr">
        <is>
          <t>I</t>
        </is>
      </c>
      <c r="R204" s="69" t="inlineStr">
        <is>
          <t>Logística interna de almacén con AMR: "The developed digital twin models successfully identified collision hotspots, high-risk ergonomic zones, and areas of traffic congestion"; IA ("predictive traffic management supported by machine learning") para "optimize internal logistics efficiency". Fase preparatoria, sin despliegue completo.</t>
        </is>
      </c>
      <c r="S204" s="69" t="n"/>
    </row>
    <row r="205" ht="23.25" customHeight="1" s="17">
      <c r="A205" s="26" t="inlineStr">
        <is>
          <t>R0204</t>
        </is>
      </c>
      <c r="B205" s="26" t="inlineStr">
        <is>
          <t>Scopus + WoS</t>
        </is>
      </c>
      <c r="C205" s="26" t="inlineStr">
        <is>
          <t>Bilad A.; Zaim M.; Zaim F.</t>
        </is>
      </c>
      <c r="D205" s="26" t="n">
        <v>2025</v>
      </c>
      <c r="E205" s="27" t="inlineStr">
        <is>
          <t>EMPIRICAL MODELING OF THE IMPACT OF INDUSTRY 4.0 TECHNOLOGIES ON LOGISTICS SERVICE QUALITY</t>
        </is>
      </c>
      <c r="F205" s="26" t="inlineStr">
        <is>
          <t>Logforum</t>
        </is>
      </c>
      <c r="G205" s="26" t="inlineStr">
        <is>
          <t>Article</t>
        </is>
      </c>
      <c r="H205" s="26" t="inlineStr">
        <is>
          <t>10.17270/j.log.001249</t>
        </is>
      </c>
      <c r="I205" s="26" t="inlineStr">
        <is>
          <t>TA</t>
        </is>
      </c>
      <c r="J205" s="37" t="inlineStr">
        <is>
          <t>Exclude</t>
        </is>
      </c>
      <c r="K205" s="37" t="inlineStr">
        <is>
          <t>No digital twin/model</t>
        </is>
      </c>
      <c r="L205" s="28" t="inlineStr">
        <is>
          <t>Strong candidate: twin + supply chain + AI all in title/abstract</t>
        </is>
      </c>
      <c r="M205" s="37" t="inlineStr">
        <is>
          <t>Encuesta y regresión sobre el impacto de ocho tecnologías en la calidad del servicio logístico (regla C4): "Data were collected via a structured questionnaire and analyzed using multiple linear regression"; gemelo e IA como constructos; también E3.</t>
        </is>
      </c>
      <c r="N205" s="69" t="inlineStr">
        <is>
          <t>E1</t>
        </is>
      </c>
      <c r="O205" s="69" t="n">
        <v>5</v>
      </c>
      <c r="P205" s="69" t="inlineStr">
        <is>
          <t>Exclude</t>
        </is>
      </c>
      <c r="Q205" s="69" t="inlineStr">
        <is>
          <t>E1</t>
        </is>
      </c>
      <c r="R205" s="69" t="inlineStr">
        <is>
          <t>Encuesta y regresión sobre el impacto de ocho tecnologías en la calidad del servicio logístico (regla C4): "Data were collected via a structured questionnaire and analyzed using multiple linear regression"; gemelo e IA como constructos; también E3.</t>
        </is>
      </c>
      <c r="S205" s="69" t="n"/>
    </row>
    <row r="206" ht="23.25" customHeight="1" s="17">
      <c r="A206" s="26" t="inlineStr">
        <is>
          <t>R0205</t>
        </is>
      </c>
      <c r="B206" s="26" t="inlineStr">
        <is>
          <t>Scopus + WoS</t>
        </is>
      </c>
      <c r="C206" s="26" t="inlineStr">
        <is>
          <t>Vieira B.P.; Frazzon E.M.</t>
        </is>
      </c>
      <c r="D206" s="26" t="n">
        <v>2025</v>
      </c>
      <c r="E206" s="27" t="inlineStr">
        <is>
          <t>Application of Reinforcement Learning to Improve Finished Goods Inventory Management: A Systematic Review</t>
        </is>
      </c>
      <c r="F206" s="26" t="inlineStr">
        <is>
          <t>IFAC-PapersOnLine</t>
        </is>
      </c>
      <c r="G206" s="26" t="inlineStr">
        <is>
          <t>Conference paper</t>
        </is>
      </c>
      <c r="H206" s="26" t="inlineStr">
        <is>
          <t>10.1016/j.ifacol.2025.09.143</t>
        </is>
      </c>
      <c r="I206" s="26" t="inlineStr">
        <is>
          <t>TA</t>
        </is>
      </c>
      <c r="J206" s="37" t="inlineStr">
        <is>
          <t>Exclude</t>
        </is>
      </c>
      <c r="K206" s="37" t="inlineStr">
        <is>
          <t>Wrong publication type</t>
        </is>
      </c>
      <c r="L206" s="28" t="inlineStr">
        <is>
          <t>Strong candidate: twin + supply chain + AI all in title/abstract</t>
        </is>
      </c>
      <c r="M206" s="37" t="inlineStr">
        <is>
          <t>"This systematic review examines the application of RL in finished goods inventory management by analyzing 57 relevant studies"; gemelos sólo como oportunidad de integración. Valor para snowballing: medio.</t>
        </is>
      </c>
      <c r="N206" s="69" t="inlineStr">
        <is>
          <t>E4</t>
        </is>
      </c>
      <c r="O206" s="69" t="n">
        <v>5</v>
      </c>
      <c r="P206" s="69" t="inlineStr">
        <is>
          <t>Exclude</t>
        </is>
      </c>
      <c r="Q206" s="69" t="inlineStr">
        <is>
          <t>E4</t>
        </is>
      </c>
      <c r="R206" s="69" t="inlineStr">
        <is>
          <t>"This systematic review examines the application of RL in finished goods inventory management by analyzing 57 relevant studies"; gemelos sólo como oportunidad de integración. Valor para snowballing: medio.</t>
        </is>
      </c>
      <c r="S206" s="69" t="n"/>
    </row>
    <row r="207" ht="23.25" customHeight="1" s="17">
      <c r="A207" s="26" t="inlineStr">
        <is>
          <t>R0206</t>
        </is>
      </c>
      <c r="B207" s="26" t="inlineStr">
        <is>
          <t>Scopus</t>
        </is>
      </c>
      <c r="C207" s="26" t="inlineStr">
        <is>
          <t>Mezina N.A.; Tikhonov G.V.</t>
        </is>
      </c>
      <c r="D207" s="26" t="n">
        <v>2025</v>
      </c>
      <c r="E207" s="27" t="inlineStr">
        <is>
          <t>Digital Transformation in the Aircraft Industry: Technological and Strategic Aspects</t>
        </is>
      </c>
      <c r="F207" s="26" t="inlineStr">
        <is>
          <t>Russian Engineering Research</t>
        </is>
      </c>
      <c r="G207" s="26" t="inlineStr">
        <is>
          <t>Article</t>
        </is>
      </c>
      <c r="H207" s="26" t="inlineStr">
        <is>
          <t>10.3103/s1068798x25702612</t>
        </is>
      </c>
      <c r="I207" s="26" t="inlineStr">
        <is>
          <t>TA</t>
        </is>
      </c>
      <c r="J207" s="37" t="inlineStr">
        <is>
          <t>Exclude</t>
        </is>
      </c>
      <c r="K207" s="37" t="inlineStr">
        <is>
          <t>No digital twin/model</t>
        </is>
      </c>
      <c r="L207" s="28" t="inlineStr">
        <is>
          <t>Strong candidate: twin + supply chain + AI all in title/abstract</t>
        </is>
      </c>
      <c r="M207" s="37" t="inlineStr">
        <is>
          <t>Panorama de transformación digital en la industria aeronáutica; gemelo sólo en lista ("artificial intelligence, the Internet of Things, Big Data, blockchain, and digital twins"); también E2 (logística sólo como beneficio). Nota: Russian Engineering Research es la edición traducida al inglés, no aplica E5.</t>
        </is>
      </c>
      <c r="N207" s="69" t="inlineStr">
        <is>
          <t>E1</t>
        </is>
      </c>
      <c r="O207" s="69" t="n">
        <v>5</v>
      </c>
      <c r="P207" s="69" t="inlineStr">
        <is>
          <t>Exclude</t>
        </is>
      </c>
      <c r="Q207" s="69" t="inlineStr">
        <is>
          <t>E1</t>
        </is>
      </c>
      <c r="R207" s="69" t="inlineStr">
        <is>
          <t>Panorama de transformación digital en la industria aeronáutica; gemelo sólo en lista ("artificial intelligence, the Internet of Things, Big Data, blockchain, and digital twins"); también E2 (logística sólo como beneficio). Nota: Russian Engineering Research es la edición traducida al inglés, no aplica E5.</t>
        </is>
      </c>
      <c r="S207" s="69" t="n"/>
    </row>
    <row r="208" ht="34.5" customHeight="1" s="17">
      <c r="A208" s="26" t="inlineStr">
        <is>
          <t>R0207</t>
        </is>
      </c>
      <c r="B208" s="26" t="inlineStr">
        <is>
          <t>Scopus</t>
        </is>
      </c>
      <c r="C208" s="26" t="inlineStr">
        <is>
          <t>Mahalakshmi M.; Veena K.; Pandi V.S.; Samiappan D.; Karthi K.; Ali G.</t>
        </is>
      </c>
      <c r="D208" s="26" t="n">
        <v>2025</v>
      </c>
      <c r="E208" s="27" t="inlineStr">
        <is>
          <t>Improvement in Resource Management, Automated Process Monitoring, and Anomaly Detection in Industries: Analyzing AI with Industrial IoT Systems</t>
        </is>
      </c>
      <c r="F208" s="26" t="inlineStr">
        <is>
          <t>Proceedings - IEEE 10th International Conference on Smart Structures and Systems, ICSSS 2025</t>
        </is>
      </c>
      <c r="G208" s="26" t="inlineStr">
        <is>
          <t>Conference paper</t>
        </is>
      </c>
      <c r="H208" s="26" t="inlineStr">
        <is>
          <t>10.1109/icsss66939.2025.11346433</t>
        </is>
      </c>
      <c r="I208" s="26" t="inlineStr">
        <is>
          <t>TA</t>
        </is>
      </c>
      <c r="J208" s="37" t="inlineStr">
        <is>
          <t>Exclude</t>
        </is>
      </c>
      <c r="K208" s="37" t="inlineStr">
        <is>
          <t>No digital twin/model</t>
        </is>
      </c>
      <c r="L208" s="28" t="inlineStr">
        <is>
          <t>Strong candidate: twin + supply chain + AI all in title/abstract</t>
        </is>
      </c>
      <c r="M208" s="37" t="inlineStr">
        <is>
          <t>Recodificado 2026-09-06 en la auditoría final (E2→E1): Texto expositivo sobre IA con IIoT; el gemelo sólo acompaña al monitoreo de procesos ("deep learning techniques and sensor networks together with the digital twin technology to detect bottlenecks") sin sistema propuesto (C1); la cadena sólo como uso listado ("optimize resource allocation, energy efficiency, and supply chain management"). | Nota original (E2): Panorama de IA con IIoT en la industria; la cadena sólo como uso listado ("optimize resource allocation, energy efficiency, and supply chain management") y el gemelo como tecnología acompañante del monitoreo de procesos, sin sistema propuesto ni encuadre de cadena.</t>
        </is>
      </c>
      <c r="N208" s="69" t="inlineStr">
        <is>
          <t>E1</t>
        </is>
      </c>
      <c r="O208" s="69" t="n">
        <v>5</v>
      </c>
      <c r="P208" s="69" t="inlineStr">
        <is>
          <t>Exclude</t>
        </is>
      </c>
      <c r="Q208" s="69" t="inlineStr">
        <is>
          <t>E2</t>
        </is>
      </c>
      <c r="R208" s="69" t="inlineStr">
        <is>
          <t>Panorama de IA con IIoT en la industria; la cadena sólo como uso listado ("optimize resource allocation, energy efficiency, and supply chain management") y el gemelo como tecnología acompañante del monitoreo de procesos, sin sistema propuesto ni encuadre de cadena.</t>
        </is>
      </c>
      <c r="S208" s="69" t="n"/>
    </row>
    <row r="209" ht="23.25" customHeight="1" s="17">
      <c r="A209" s="26" t="inlineStr">
        <is>
          <t>R0208</t>
        </is>
      </c>
      <c r="B209" s="26" t="inlineStr">
        <is>
          <t>Scopus</t>
        </is>
      </c>
      <c r="C209" s="26" t="inlineStr">
        <is>
          <t>Bouidmar H.; Labbi O.; Ahmadi A.</t>
        </is>
      </c>
      <c r="D209" s="26" t="n">
        <v>2025</v>
      </c>
      <c r="E209" s="27" t="inlineStr">
        <is>
          <t>Empowering integrated design of a product and its downstream supply chain with smart technologies: A decision-making framework</t>
        </is>
      </c>
      <c r="F209" s="26" t="inlineStr">
        <is>
          <t>Colloquium in Information Science and Technology, CIST</t>
        </is>
      </c>
      <c r="G209" s="26" t="inlineStr">
        <is>
          <t>Conference paper</t>
        </is>
      </c>
      <c r="H209" s="26" t="inlineStr">
        <is>
          <t>10.1109/cist65886.2025.11224155</t>
        </is>
      </c>
      <c r="I209" s="26" t="inlineStr">
        <is>
          <t>TA</t>
        </is>
      </c>
      <c r="J209" s="37" t="inlineStr">
        <is>
          <t>Exclude</t>
        </is>
      </c>
      <c r="K209" s="37" t="inlineStr">
        <is>
          <t>No digital twin/model</t>
        </is>
      </c>
      <c r="L209" s="28" t="inlineStr">
        <is>
          <t>Strong candidate: twin + supply chain + AI all in title/abstract</t>
        </is>
      </c>
      <c r="M209" s="37" t="inlineStr">
        <is>
          <t>Marco conceptual de diseño integrado de producto y cadena aguas abajo con ML central; gemelo sólo en lista de tecnologías ("the impact of IoT, machine learning, big data analytics, blockchain, and digital twins in improving visibility, demand forecasting, inventory management, and distribution planning").</t>
        </is>
      </c>
      <c r="N209" s="69" t="inlineStr">
        <is>
          <t>E1</t>
        </is>
      </c>
      <c r="O209" s="69" t="n">
        <v>5</v>
      </c>
      <c r="P209" s="69" t="inlineStr">
        <is>
          <t>Exclude</t>
        </is>
      </c>
      <c r="Q209" s="69" t="inlineStr">
        <is>
          <t>E1</t>
        </is>
      </c>
      <c r="R209" s="69" t="inlineStr">
        <is>
          <t>Marco conceptual de diseño integrado de producto y cadena aguas abajo con ML central; gemelo sólo en lista de tecnologías ("the impact of IoT, machine learning, big data analytics, blockchain, and digital twins in improving visibility, demand forecasting, inventory management, and distribution planning").</t>
        </is>
      </c>
      <c r="S209" s="69" t="n"/>
    </row>
    <row r="210" ht="23.25" customHeight="1" s="17">
      <c r="A210" s="26" t="inlineStr">
        <is>
          <t>R0209</t>
        </is>
      </c>
      <c r="B210" s="26" t="inlineStr">
        <is>
          <t>Scopus + WoS</t>
        </is>
      </c>
      <c r="C210" s="26" t="inlineStr">
        <is>
          <t>Fernández-Miguel A.; García-Muiña F.E.; Ortíz-Marcos S.; Jiménez-Calzado M.; Fernández del Hoyo A.P.; Settembre-Blundo D.</t>
        </is>
      </c>
      <c r="D210" s="26" t="n">
        <v>2025</v>
      </c>
      <c r="E210" s="27" t="inlineStr">
        <is>
          <t>AI-Driven Transformations in Manufacturing: Bridging Industry 4.0, 5.0, and 6.0 in Sustainable Value Chains</t>
        </is>
      </c>
      <c r="F210" s="26" t="inlineStr">
        <is>
          <t>Future Internet</t>
        </is>
      </c>
      <c r="G210" s="26" t="inlineStr">
        <is>
          <t>Article</t>
        </is>
      </c>
      <c r="H210" s="26" t="inlineStr">
        <is>
          <t>10.3390/fi17090430</t>
        </is>
      </c>
      <c r="I210" s="26" t="inlineStr">
        <is>
          <t>TA</t>
        </is>
      </c>
      <c r="J210" s="37" t="inlineStr">
        <is>
          <t>Exclude</t>
        </is>
      </c>
      <c r="K210" s="37" t="inlineStr">
        <is>
          <t>No digital twin/model</t>
        </is>
      </c>
      <c r="L210" s="28" t="inlineStr">
        <is>
          <t>Strong candidate: twin + supply chain + AI all in title/abstract</t>
        </is>
      </c>
      <c r="M210" s="37" t="inlineStr">
        <is>
          <t>Modelo de Industria 6.0 para cerámica derivado de "semi-structured interviews with key industry stakeholders and an extensive review of secondary data" (regla C4); gemelo, IA y automatización cognitiva como constructos percibidos, sin sistema ni método; también E3.</t>
        </is>
      </c>
      <c r="N210" s="69" t="inlineStr">
        <is>
          <t>E1</t>
        </is>
      </c>
      <c r="O210" s="69" t="n">
        <v>5</v>
      </c>
      <c r="P210" s="69" t="inlineStr">
        <is>
          <t>Exclude</t>
        </is>
      </c>
      <c r="Q210" s="69" t="inlineStr">
        <is>
          <t>E1</t>
        </is>
      </c>
      <c r="R210" s="69" t="inlineStr">
        <is>
          <t>Modelo de Industria 6.0 para cerámica derivado de "semi-structured interviews with key industry stakeholders and an extensive review of secondary data" (regla C4); gemelo, IA y automatización cognitiva como constructos percibidos, sin sistema ni método; también E3.</t>
        </is>
      </c>
      <c r="S210" s="69" t="n"/>
    </row>
    <row r="211" ht="23.25" customHeight="1" s="17">
      <c r="A211" s="26" t="inlineStr">
        <is>
          <t>R0210</t>
        </is>
      </c>
      <c r="B211" s="26" t="inlineStr">
        <is>
          <t>Scopus</t>
        </is>
      </c>
      <c r="C211" s="26" t="inlineStr">
        <is>
          <t>OULED LAGHZAL S.; Abdelmajid E.O.</t>
        </is>
      </c>
      <c r="D211" s="26" t="n">
        <v>2025</v>
      </c>
      <c r="E211" s="27" t="inlineStr">
        <is>
          <t>Mapping Artificial Intelligence Research in Automotive Manufacturing: A Bibliometric Study</t>
        </is>
      </c>
      <c r="F211" s="26" t="inlineStr">
        <is>
          <t>International Journal of Advanced Computer Science and Applications</t>
        </is>
      </c>
      <c r="G211" s="26" t="inlineStr">
        <is>
          <t>Article</t>
        </is>
      </c>
      <c r="H211" s="26" t="inlineStr">
        <is>
          <t>10.14569/ijacsa.2025.0161189</t>
        </is>
      </c>
      <c r="I211" s="26" t="inlineStr">
        <is>
          <t>TA</t>
        </is>
      </c>
      <c r="J211" s="37" t="inlineStr">
        <is>
          <t>Exclude</t>
        </is>
      </c>
      <c r="K211" s="37" t="inlineStr">
        <is>
          <t>Wrong publication type</t>
        </is>
      </c>
      <c r="L211" s="28" t="inlineStr">
        <is>
          <t>Strong candidate: twin + supply chain + AI all in title/abstract</t>
        </is>
      </c>
      <c r="M211" s="37" t="inlineStr">
        <is>
          <t>"This bibliometric study provides a systematic overview of the intellectual landscape of AI adoption in the automotive sector"; gemelos como área emergente. Valor para snowballing: bajo.</t>
        </is>
      </c>
      <c r="N211" s="69" t="inlineStr">
        <is>
          <t>E4</t>
        </is>
      </c>
      <c r="O211" s="69" t="n">
        <v>5</v>
      </c>
      <c r="P211" s="69" t="inlineStr">
        <is>
          <t>Exclude</t>
        </is>
      </c>
      <c r="Q211" s="69" t="inlineStr">
        <is>
          <t>E4</t>
        </is>
      </c>
      <c r="R211" s="69" t="inlineStr">
        <is>
          <t>"This bibliometric study provides a systematic overview of the intellectual landscape of AI adoption in the automotive sector"; gemelos como área emergente. Valor para snowballing: bajo.</t>
        </is>
      </c>
      <c r="S211" s="69" t="n"/>
    </row>
    <row r="212" ht="34.5" customHeight="1" s="17">
      <c r="A212" s="26" t="inlineStr">
        <is>
          <t>R0211</t>
        </is>
      </c>
      <c r="B212" s="26" t="inlineStr">
        <is>
          <t>Scopus</t>
        </is>
      </c>
      <c r="C212" s="26" t="inlineStr">
        <is>
          <t>Bai J.; Wang W.; Zhang X.; Lu H.; Zhang H.; Panfilov A.V.; Zhao J.</t>
        </is>
      </c>
      <c r="D212" s="26" t="n">
        <v>2025</v>
      </c>
      <c r="E212" s="27" t="inlineStr">
        <is>
          <t>Digital twin for sex-specific identification of class III antiarrhythmic drugs based on in vitro measurements, computer models, and machine learning tools</t>
        </is>
      </c>
      <c r="F212" s="26" t="inlineStr">
        <is>
          <t>PLOS Computational Biology</t>
        </is>
      </c>
      <c r="G212" s="26" t="inlineStr">
        <is>
          <t>Article</t>
        </is>
      </c>
      <c r="H212" s="26" t="inlineStr">
        <is>
          <t>10.1371/journal.pcbi.1013154</t>
        </is>
      </c>
      <c r="I212" s="26" t="inlineStr">
        <is>
          <t>TA</t>
        </is>
      </c>
      <c r="J212" s="37" t="inlineStr">
        <is>
          <t>Exclude</t>
        </is>
      </c>
      <c r="K212" s="37" t="inlineStr">
        <is>
          <t>No digital twin/model</t>
        </is>
      </c>
      <c r="L212" s="28" t="inlineStr">
        <is>
          <t>Strong candidate: twin + supply chain + AI all in title/abstract</t>
        </is>
      </c>
      <c r="M212" s="37" t="inlineStr">
        <is>
          <t>Gemelo fisiológico de cardiomiocitos para fármacos antiarrítmicos ("By simulating drug effects on a diverse cardiomyocyte model population"), no de operaciones (C6); también E2: falso positivo de la búsqueda por "logistic regression analysis".</t>
        </is>
      </c>
      <c r="N212" s="69" t="inlineStr">
        <is>
          <t>E1</t>
        </is>
      </c>
      <c r="O212" s="69" t="n">
        <v>5</v>
      </c>
      <c r="P212" s="69" t="inlineStr">
        <is>
          <t>Exclude</t>
        </is>
      </c>
      <c r="Q212" s="69" t="inlineStr">
        <is>
          <t>E1</t>
        </is>
      </c>
      <c r="R212" s="69" t="inlineStr">
        <is>
          <t>Gemelo fisiológico de cardiomiocitos para fármacos antiarrítmicos ("By simulating drug effects on a diverse cardiomyocyte model population"), no de operaciones (C6); también E2: falso positivo de la búsqueda por "logistic regression analysis".</t>
        </is>
      </c>
      <c r="S212" s="69" t="n"/>
    </row>
    <row r="213" ht="23.25" customHeight="1" s="17">
      <c r="A213" s="26" t="inlineStr">
        <is>
          <t>R0212</t>
        </is>
      </c>
      <c r="B213" s="26" t="inlineStr">
        <is>
          <t>Scopus + WoS</t>
        </is>
      </c>
      <c r="C213" s="26" t="inlineStr">
        <is>
          <t>Jankowska A.</t>
        </is>
      </c>
      <c r="D213" s="26" t="n">
        <v>2025</v>
      </c>
      <c r="E213" s="27" t="inlineStr">
        <is>
          <t>Innovative Approaches to Transport Challenges in Port Cities Based on Literature Review</t>
        </is>
      </c>
      <c r="F213" s="26" t="inlineStr">
        <is>
          <t>TransNav</t>
        </is>
      </c>
      <c r="G213" s="26" t="inlineStr">
        <is>
          <t>Article</t>
        </is>
      </c>
      <c r="H213" s="26" t="inlineStr">
        <is>
          <t>10.12716/1001.19.02.16</t>
        </is>
      </c>
      <c r="I213" s="26" t="inlineStr">
        <is>
          <t>TA</t>
        </is>
      </c>
      <c r="J213" s="37" t="inlineStr">
        <is>
          <t>Exclude</t>
        </is>
      </c>
      <c r="K213" s="37" t="inlineStr">
        <is>
          <t>Wrong publication type</t>
        </is>
      </c>
      <c r="L213" s="28" t="inlineStr">
        <is>
          <t>Strong candidate: twin + supply chain + AI all in title/abstract</t>
        </is>
      </c>
      <c r="M213" s="37" t="inlineStr">
        <is>
          <t>"This paper reviews innovative approaches to addressing transport challenges in port cities"; gemelo e IA sólo como innovaciones mencionadas. Valor para snowballing: bajo.</t>
        </is>
      </c>
      <c r="N213" s="69" t="inlineStr">
        <is>
          <t>E4</t>
        </is>
      </c>
      <c r="O213" s="69" t="n">
        <v>5</v>
      </c>
      <c r="P213" s="69" t="inlineStr">
        <is>
          <t>Exclude</t>
        </is>
      </c>
      <c r="Q213" s="69" t="inlineStr">
        <is>
          <t>E4</t>
        </is>
      </c>
      <c r="R213" s="69" t="inlineStr">
        <is>
          <t>"This paper reviews innovative approaches to addressing transport challenges in port cities"; gemelo e IA sólo como innovaciones mencionadas. Valor para snowballing: bajo.</t>
        </is>
      </c>
      <c r="S213" s="69" t="n"/>
    </row>
    <row r="214" ht="23.25" customHeight="1" s="17">
      <c r="A214" s="26" t="inlineStr">
        <is>
          <t>R0213</t>
        </is>
      </c>
      <c r="B214" s="26" t="inlineStr">
        <is>
          <t>Scopus + WoS</t>
        </is>
      </c>
      <c r="C214" s="26" t="inlineStr">
        <is>
          <t>Frikha M.A.; Mrad M.</t>
        </is>
      </c>
      <c r="D214" s="26" t="n">
        <v>2025</v>
      </c>
      <c r="E214" s="27" t="inlineStr">
        <is>
          <t>AI-Driven Supply Chain Decarbonization: Strategies for Sustainable Carbon Reduction</t>
        </is>
      </c>
      <c r="F214" s="26" t="inlineStr">
        <is>
          <t>Sustainability (Switzerland)</t>
        </is>
      </c>
      <c r="G214" s="26" t="inlineStr">
        <is>
          <t>Article</t>
        </is>
      </c>
      <c r="H214" s="26" t="inlineStr">
        <is>
          <t>10.3390/su17219642</t>
        </is>
      </c>
      <c r="I214" s="26" t="inlineStr">
        <is>
          <t>TA</t>
        </is>
      </c>
      <c r="J214" s="37" t="inlineStr">
        <is>
          <t>Exclude</t>
        </is>
      </c>
      <c r="K214" s="37" t="inlineStr">
        <is>
          <t>No digital twin/model</t>
        </is>
      </c>
      <c r="L214" s="28" t="inlineStr">
        <is>
          <t>Strong candidate: twin + supply chain + AI all in title/abstract</t>
        </is>
      </c>
      <c r="M214" s="37" t="inlineStr">
        <is>
          <t>Casos comparativos de IA para descarbonizar cadenas (Túnez); gemelo sólo como aplicación facilitada ("AI facilitates renewable energy integration, digital twin applications, and compliance with international sustainability frameworks"), sin gemelo en los casos.</t>
        </is>
      </c>
      <c r="N214" s="69" t="inlineStr">
        <is>
          <t>E1</t>
        </is>
      </c>
      <c r="O214" s="69" t="n">
        <v>5</v>
      </c>
      <c r="P214" s="69" t="inlineStr">
        <is>
          <t>Exclude</t>
        </is>
      </c>
      <c r="Q214" s="69" t="inlineStr">
        <is>
          <t>E1</t>
        </is>
      </c>
      <c r="R214" s="69" t="inlineStr">
        <is>
          <t>Casos comparativos de IA para descarbonizar cadenas (Túnez); gemelo sólo como aplicación facilitada ("AI facilitates renewable energy integration, digital twin applications, and compliance with international sustainability frameworks"), sin gemelo en los casos.</t>
        </is>
      </c>
      <c r="S214" s="69" t="n"/>
    </row>
    <row r="215" ht="23.25" customHeight="1" s="17">
      <c r="A215" s="26" t="inlineStr">
        <is>
          <t>R0214</t>
        </is>
      </c>
      <c r="B215" s="26" t="inlineStr">
        <is>
          <t>Scopus</t>
        </is>
      </c>
      <c r="C215" s="26" t="inlineStr">
        <is>
          <t>Iacovanelli M.; Mazzuto G.; Ortenzi M.; Ciarapica F.E.; Bevilacqua M.; Vanderwal B.</t>
        </is>
      </c>
      <c r="D215" s="26" t="n">
        <v>2025</v>
      </c>
      <c r="E215" s="27" t="inlineStr">
        <is>
          <t>Enhancing Manufacturing Agility: The Role of Digital Twins and AI in Reconfigurable Production Systems</t>
        </is>
      </c>
      <c r="F215" s="26" t="inlineStr">
        <is>
          <t>Proceedings of the 31st ICE IEEE/ITMC Conference on Engineering, Technology, and Innovation: AI-Driven Industrial Transformation: Digital Leadership in Technology, Engineering, Innovation and Entrepreneurship, ICE 2025</t>
        </is>
      </c>
      <c r="G215" s="26" t="inlineStr">
        <is>
          <t>Conference paper</t>
        </is>
      </c>
      <c r="H215" s="26" t="inlineStr">
        <is>
          <t>10.1109/ice/itmc65658.2025.11106603</t>
        </is>
      </c>
      <c r="I215" s="26" t="inlineStr">
        <is>
          <t>TA</t>
        </is>
      </c>
      <c r="J215" s="37" t="inlineStr">
        <is>
          <t>Exclude</t>
        </is>
      </c>
      <c r="K215" s="37" t="inlineStr">
        <is>
          <t>No supply chain scope</t>
        </is>
      </c>
      <c r="L215" s="28" t="inlineStr">
        <is>
          <t>Strong candidate: twin + supply chain + AI all in title/abstract</t>
        </is>
      </c>
      <c r="M215" s="37" t="inlineStr">
        <is>
          <t>Gemelo DES de línea de procesamiento de alimentos (AGILEHAND, compañero de R0170): "The system models the physical production line, including multiple processing stations and conveyors"; IA para "managing order processing, and addressing inventory overlap"; sin encuadre de cadena del estudio (palabra clave "Logistics" no basta, C1). Precedente R0170.</t>
        </is>
      </c>
      <c r="N215" s="69" t="inlineStr">
        <is>
          <t>E2</t>
        </is>
      </c>
      <c r="O215" s="69" t="n">
        <v>5</v>
      </c>
      <c r="P215" s="69" t="inlineStr">
        <is>
          <t>Exclude</t>
        </is>
      </c>
      <c r="Q215" s="69" t="inlineStr">
        <is>
          <t>E2</t>
        </is>
      </c>
      <c r="R215" s="69" t="inlineStr">
        <is>
          <t>Gemelo DES de línea de procesamiento de alimentos (AGILEHAND, compañero de R0170): "The system models the physical production line, including multiple processing stations and conveyors"; IA para "managing order processing, and addressing inventory overlap"; sin encuadre de cadena del estudio (palabra clave "Logistics" no basta, C1). Precedente R0170.</t>
        </is>
      </c>
      <c r="S215" s="69" t="n"/>
    </row>
    <row r="216" ht="23.25" customHeight="1" s="17">
      <c r="A216" s="26" t="inlineStr">
        <is>
          <t>R0215</t>
        </is>
      </c>
      <c r="B216" s="26" t="inlineStr">
        <is>
          <t>Scopus</t>
        </is>
      </c>
      <c r="C216" s="26" t="inlineStr">
        <is>
          <t>Dewang Y.; Khan A.; Sharma V.; Mohan S.R.</t>
        </is>
      </c>
      <c r="D216" s="26" t="n">
        <v>2025</v>
      </c>
      <c r="E216" s="27" t="inlineStr">
        <is>
          <t>Role of IOT in Additive Manufacturing</t>
        </is>
      </c>
      <c r="F216" s="26" t="inlineStr">
        <is>
          <t>Lecture Notes in Mechanical Engineering</t>
        </is>
      </c>
      <c r="G216" s="26" t="inlineStr">
        <is>
          <t>Conference paper</t>
        </is>
      </c>
      <c r="H216" s="26" t="inlineStr">
        <is>
          <t>10.1007/978-981-97-6016-9_25</t>
        </is>
      </c>
      <c r="I216" s="26" t="inlineStr">
        <is>
          <t>TA</t>
        </is>
      </c>
      <c r="J216" s="37" t="inlineStr">
        <is>
          <t>Exclude</t>
        </is>
      </c>
      <c r="K216" s="37" t="inlineStr">
        <is>
          <t>Wrong publication type</t>
        </is>
      </c>
      <c r="L216" s="28" t="inlineStr">
        <is>
          <t>Strong candidate: twin + supply chain + AI all in title/abstract</t>
        </is>
      </c>
      <c r="M216" s="37" t="inlineStr">
        <is>
          <t>"This literature review explores automated AM processes, their characteristics, and sustainability" (IoT en manufactura aditiva); gemelos y cadena sólo mencionados. Valor para snowballing: bajo.</t>
        </is>
      </c>
      <c r="N216" s="69" t="inlineStr">
        <is>
          <t>E4</t>
        </is>
      </c>
      <c r="O216" s="69" t="n">
        <v>5</v>
      </c>
      <c r="P216" s="69" t="inlineStr">
        <is>
          <t>Exclude</t>
        </is>
      </c>
      <c r="Q216" s="69" t="inlineStr">
        <is>
          <t>E4</t>
        </is>
      </c>
      <c r="R216" s="69" t="inlineStr">
        <is>
          <t>"This literature review explores automated AM processes, their characteristics, and sustainability" (IoT en manufactura aditiva); gemelos y cadena sólo mencionados. Valor para snowballing: bajo.</t>
        </is>
      </c>
      <c r="S216" s="69" t="n"/>
    </row>
    <row r="217" ht="23.25" customHeight="1" s="17">
      <c r="A217" s="26" t="inlineStr">
        <is>
          <t>R0216</t>
        </is>
      </c>
      <c r="B217" s="26" t="inlineStr">
        <is>
          <t>Scopus</t>
        </is>
      </c>
      <c r="C217" s="26" t="inlineStr">
        <is>
          <t>Avhad P.R.; Radhakrishnan G.V.; Parashar J.; Malik K.; Gupta K.; Upreti K.</t>
        </is>
      </c>
      <c r="D217" s="26" t="n">
        <v>2025</v>
      </c>
      <c r="E217" s="27" t="inlineStr">
        <is>
          <t>Patient Digital Twins for Dynamic Hospital Supply Chain Management AI-Based Predictive Resource Allocation</t>
        </is>
      </c>
      <c r="F217" s="26" t="inlineStr">
        <is>
          <t>Proceedings of International Conference on Digital Innovations for Sustainable Solutions, ICDISS 2025</t>
        </is>
      </c>
      <c r="G217" s="26" t="inlineStr">
        <is>
          <t>Conference paper</t>
        </is>
      </c>
      <c r="H217" s="26" t="inlineStr">
        <is>
          <t>10.1109/icdiss68238.2025.11320584</t>
        </is>
      </c>
      <c r="I217" s="26" t="inlineStr">
        <is>
          <t>TA</t>
        </is>
      </c>
      <c r="J217" s="37" t="inlineStr">
        <is>
          <t>Exclude</t>
        </is>
      </c>
      <c r="K217" s="37" t="inlineStr">
        <is>
          <t>No supply chain scope</t>
        </is>
      </c>
      <c r="L217" s="28" t="inlineStr">
        <is>
          <t>Strong candidate: twin + supply chain + AI all in title/abstract</t>
        </is>
      </c>
      <c r="M217" s="37" t="inlineStr">
        <is>
          <t>Resuelto 2026-09-05 por Rodrigo: buena implementación de gemelo con ML ("a patient-specific digital twin framework aimed at forecasting hospital staffing needs and aiding supply planning by means of AI-based analytics"), pero el ámbito (personal y suministros hospitalarios a partir de pacientes) no es el de operaciones de producción o logística que cubre la revisión; también C6 (gemelo de demanda).</t>
        </is>
      </c>
      <c r="N217" s="69" t="inlineStr">
        <is>
          <t>E2</t>
        </is>
      </c>
      <c r="O217" s="69" t="n">
        <v>5</v>
      </c>
      <c r="P217" s="69" t="inlineStr">
        <is>
          <t>Include</t>
        </is>
      </c>
      <c r="Q217" s="69" t="inlineStr">
        <is>
          <t>I</t>
        </is>
      </c>
      <c r="R217" s="69" t="inlineStr">
        <is>
          <t>Cadena de suministro hospitalaria con ML aplicado ("this paper proposes a patient-specific digital twin framework aimed at forecasting hospital staffing needs and aiding supply planning by means of AI-based analytics"); el gemelo se construye con registros operativos ("admission information, medical procedures, room types, usage of supplies, and patterns of staffing"), no es un constructo de mercado como R0128. Incluido por sensibilidad; C6 (gemelo de demanda u operaciones) se decide en texto completo.</t>
        </is>
      </c>
      <c r="S217" s="69" t="n"/>
    </row>
    <row r="218" ht="34.5" customHeight="1" s="17">
      <c r="A218" s="26" t="inlineStr">
        <is>
          <t>R0217</t>
        </is>
      </c>
      <c r="B218" s="26" t="inlineStr">
        <is>
          <t>Scopus + WoS</t>
        </is>
      </c>
      <c r="C218" s="26" t="inlineStr">
        <is>
          <t>Alnaser A.A.; Elmousalami H.</t>
        </is>
      </c>
      <c r="D218" s="26" t="n">
        <v>2025</v>
      </c>
      <c r="E218" s="27" t="inlineStr">
        <is>
          <t>Benefits and Challenges of AI-Based Digital Twin Integration in the Saudi Arabian Construction Industry: A Correspondence Analysis (CA) Approach</t>
        </is>
      </c>
      <c r="F218" s="26" t="inlineStr">
        <is>
          <t>Applied Sciences (Switzerland)</t>
        </is>
      </c>
      <c r="G218" s="26" t="inlineStr">
        <is>
          <t>Article</t>
        </is>
      </c>
      <c r="H218" s="26" t="inlineStr">
        <is>
          <t>10.3390/app15094675</t>
        </is>
      </c>
      <c r="I218" s="26" t="inlineStr">
        <is>
          <t>TA</t>
        </is>
      </c>
      <c r="J218" s="37" t="inlineStr">
        <is>
          <t>Exclude</t>
        </is>
      </c>
      <c r="K218" s="37" t="inlineStr">
        <is>
          <t>No digital twin/model</t>
        </is>
      </c>
      <c r="L218" s="28" t="inlineStr">
        <is>
          <t>Strong candidate: twin + supply chain + AI all in title/abstract</t>
        </is>
      </c>
      <c r="M218" s="37" t="inlineStr">
        <is>
          <t>Recodificado 2026-09-06 en la auditoría final (E2→E1): Estudio de adopción y percepción (C4): encuesta a 106 empresas con análisis de correspondencias ("a structured literature review and a survey were conducted among architecture, engineering, and construction (AEC) firms, with 106 complete responses analyzed using correspondence analysis (CA)"); gemelo e IA como constructos, sin gemelo del estudio; sector construcción (E2 secundario). | Nota original (E2): Encuesta a 106 empresas de construcción con análisis de correspondencias sobre beneficios y retos de gemelos con IA ("a structured literature review and a survey were conducted among architecture, engineering, and construction (AEC) firms"); sector construcción sin encuadre de cadena; también C4 (percepción) y E3.</t>
        </is>
      </c>
      <c r="N218" s="69" t="inlineStr">
        <is>
          <t>E1</t>
        </is>
      </c>
      <c r="O218" s="69" t="n">
        <v>5</v>
      </c>
      <c r="P218" s="69" t="inlineStr">
        <is>
          <t>Exclude</t>
        </is>
      </c>
      <c r="Q218" s="69" t="inlineStr">
        <is>
          <t>E2</t>
        </is>
      </c>
      <c r="R218" s="69" t="inlineStr">
        <is>
          <t>Encuesta a 106 empresas de construcción con análisis de correspondencias sobre beneficios y retos de gemelos con IA ("a structured literature review and a survey were conducted among architecture, engineering, and construction (AEC) firms"); sector construcción sin encuadre de cadena; también C4 (percepción) y E3.</t>
        </is>
      </c>
      <c r="S218" s="69" t="n"/>
    </row>
    <row r="219" ht="23.25" customHeight="1" s="17">
      <c r="A219" s="26" t="inlineStr">
        <is>
          <t>R0218</t>
        </is>
      </c>
      <c r="B219" s="26" t="inlineStr">
        <is>
          <t>Scopus</t>
        </is>
      </c>
      <c r="C219" s="26" t="inlineStr">
        <is>
          <t>Topolsky D.; Beliakova V.; Patrakhina T.</t>
        </is>
      </c>
      <c r="D219" s="26" t="n">
        <v>2025</v>
      </c>
      <c r="E219" s="27" t="inlineStr">
        <is>
          <t>Development of Intelligent Manufacturing Solutions Based on Agent-Service Approach</t>
        </is>
      </c>
      <c r="F219" s="26" t="inlineStr">
        <is>
          <t>Proceedings - 2025 International Conference on Industrial Engineering, Applications and Manufacturing, ICIEAM 2025</t>
        </is>
      </c>
      <c r="G219" s="26" t="inlineStr">
        <is>
          <t>Conference paper</t>
        </is>
      </c>
      <c r="H219" s="26" t="inlineStr">
        <is>
          <t>10.1109/icieam65163.2025.11028375</t>
        </is>
      </c>
      <c r="I219" s="26" t="inlineStr">
        <is>
          <t>TA</t>
        </is>
      </c>
      <c r="J219" s="37" t="inlineStr">
        <is>
          <t>Exclude</t>
        </is>
      </c>
      <c r="K219" s="37" t="inlineStr">
        <is>
          <t>No supply chain scope</t>
        </is>
      </c>
      <c r="L219" s="28" t="inlineStr">
        <is>
          <t>Strong candidate: twin + supply chain + AI all in title/abstract</t>
        </is>
      </c>
      <c r="M219" s="37" t="inlineStr">
        <is>
          <t>Enfoque agente-servicio para manufactura inteligente con gemelo explorado en conjunto; la cadena sólo como aplicación listada ("including supply chain management, predictive maintenance, and quality control"), sin encuadre de planeación ni logística (regla Make). Artículo panorámico.</t>
        </is>
      </c>
      <c r="N219" s="69" t="inlineStr">
        <is>
          <t>E2</t>
        </is>
      </c>
      <c r="O219" s="69" t="n">
        <v>5</v>
      </c>
      <c r="P219" s="69" t="inlineStr">
        <is>
          <t>Exclude</t>
        </is>
      </c>
      <c r="Q219" s="69" t="inlineStr">
        <is>
          <t>E2</t>
        </is>
      </c>
      <c r="R219" s="69" t="inlineStr">
        <is>
          <t>Enfoque agente-servicio para manufactura inteligente con gemelo explorado en conjunto; la cadena sólo como aplicación listada ("including supply chain management, predictive maintenance, and quality control"), sin encuadre de planeación ni logística (regla Make). Artículo panorámico.</t>
        </is>
      </c>
      <c r="S219" s="69" t="n"/>
    </row>
    <row r="220" ht="23.25" customHeight="1" s="17">
      <c r="A220" s="26" t="inlineStr">
        <is>
          <t>R0219</t>
        </is>
      </c>
      <c r="B220" s="26" t="inlineStr">
        <is>
          <t>Scopus</t>
        </is>
      </c>
      <c r="C220" s="26" t="inlineStr">
        <is>
          <t>Chandrakumaran A.</t>
        </is>
      </c>
      <c r="D220" s="26" t="n">
        <v>2025</v>
      </c>
      <c r="E220" s="27" t="inlineStr">
        <is>
          <t>Enhancing SAP Predictive Maintenance and Industrial Analytics with LLM-Driven Automation</t>
        </is>
      </c>
      <c r="F220" s="26" t="inlineStr">
        <is>
          <t>2025 IEEE Madhya Pradesh Section Conference, MPCON 2025</t>
        </is>
      </c>
      <c r="G220" s="26" t="inlineStr">
        <is>
          <t>Conference paper</t>
        </is>
      </c>
      <c r="H220" s="26" t="inlineStr">
        <is>
          <t>10.1109/mpcon66082.2025.11256577</t>
        </is>
      </c>
      <c r="I220" s="26" t="inlineStr">
        <is>
          <t>TA</t>
        </is>
      </c>
      <c r="J220" s="37" t="inlineStr">
        <is>
          <t>Exclude</t>
        </is>
      </c>
      <c r="K220" s="37" t="inlineStr">
        <is>
          <t>No digital twin/model</t>
        </is>
      </c>
      <c r="L220" s="28" t="inlineStr">
        <is>
          <t>Strong candidate: twin + supply chain + AI all in title/abstract</t>
        </is>
      </c>
      <c r="M220" s="37" t="inlineStr">
        <is>
          <t>Marco LLM para analítica y mantenimiento predictivo en SAP; el gemelo sólo como desarrollo futuro que el sistema aceleraría ("can accelerate smart factory initiatives and digital twin development").</t>
        </is>
      </c>
      <c r="N220" s="69" t="inlineStr">
        <is>
          <t>E1</t>
        </is>
      </c>
      <c r="O220" s="69" t="n">
        <v>5</v>
      </c>
      <c r="P220" s="69" t="inlineStr">
        <is>
          <t>Exclude</t>
        </is>
      </c>
      <c r="Q220" s="69" t="inlineStr">
        <is>
          <t>E1</t>
        </is>
      </c>
      <c r="R220" s="69" t="inlineStr">
        <is>
          <t>Marco LLM para analítica y mantenimiento predictivo en SAP; el gemelo sólo como desarrollo futuro que el sistema aceleraría ("can accelerate smart factory initiatives and digital twin development").</t>
        </is>
      </c>
      <c r="S220" s="69" t="n"/>
    </row>
    <row r="221" ht="23.25" customHeight="1" s="17">
      <c r="A221" s="26" t="inlineStr">
        <is>
          <t>R0220</t>
        </is>
      </c>
      <c r="B221" s="26" t="inlineStr">
        <is>
          <t>Scopus</t>
        </is>
      </c>
      <c r="C221" s="26" t="inlineStr">
        <is>
          <t>Hong F.; Ye J.; Liu Z.; Deng J.; Xu Y.; Zheng Y.</t>
        </is>
      </c>
      <c r="D221" s="26" t="n">
        <v>2025</v>
      </c>
      <c r="E221" s="27" t="inlineStr">
        <is>
          <t>AGV Vehicle Dynamics Optimization in Automated Logistics Warehousing Systems</t>
        </is>
      </c>
      <c r="F221" s="26" t="inlineStr">
        <is>
          <t>2025 11th International Symposium on Sensors, Mechatronics and Automation System, ISSMAS 2025</t>
        </is>
      </c>
      <c r="G221" s="26" t="inlineStr">
        <is>
          <t>Conference paper</t>
        </is>
      </c>
      <c r="H221" s="26" t="inlineStr">
        <is>
          <t>10.1109/issmas65783.2025.11102937</t>
        </is>
      </c>
      <c r="I221" s="26" t="inlineStr">
        <is>
          <t>TA</t>
        </is>
      </c>
      <c r="J221" s="37" t="inlineStr">
        <is>
          <t>Exclude</t>
        </is>
      </c>
      <c r="K221" s="37" t="inlineStr">
        <is>
          <t>No AI/ML component</t>
        </is>
      </c>
      <c r="L221" s="28" t="inlineStr">
        <is>
          <t>Strong candidate: twin + supply chain + AI all in title/abstract</t>
        </is>
      </c>
      <c r="M221" s="37" t="inlineStr">
        <is>
          <t>[Antecedente C8: alto] Optimización dinámica de AGV en almacén logístico automatizado con módulo de depuración virtual por gemelo; control (PID adaptativo, MPC) sin método de IA, y el aprendizaje por refuerzo sólo como futuro ("Our future research should focus on breaking through adaptive control strategies based on deep reinforcement learning").</t>
        </is>
      </c>
      <c r="N221" s="69" t="inlineStr">
        <is>
          <t>E3</t>
        </is>
      </c>
      <c r="O221" s="69" t="n">
        <v>5</v>
      </c>
      <c r="P221" s="69" t="inlineStr">
        <is>
          <t>Exclude</t>
        </is>
      </c>
      <c r="Q221" s="69" t="inlineStr">
        <is>
          <t>E3</t>
        </is>
      </c>
      <c r="R221" s="69" t="inlineStr">
        <is>
          <t>Optimización dinámica de AGV en almacén logístico automatizado con módulo de depuración virtual por gemelo; control (PID adaptativo, MPC) sin método de IA, y el aprendizaje por refuerzo sólo como futuro ("Our future research should focus on breaking through adaptive control strategies based on deep reinforcement learning").</t>
        </is>
      </c>
      <c r="S221" s="69" t="n"/>
    </row>
    <row r="222" ht="23.25" customHeight="1" s="17">
      <c r="A222" s="26" t="inlineStr">
        <is>
          <t>R0221</t>
        </is>
      </c>
      <c r="B222" s="26" t="inlineStr">
        <is>
          <t>Scopus</t>
        </is>
      </c>
      <c r="C222" s="26" t="inlineStr">
        <is>
          <t>Nicoletti B.; Appolloni A.</t>
        </is>
      </c>
      <c r="D222" s="26" t="n">
        <v>2025</v>
      </c>
      <c r="E222" s="27" t="inlineStr">
        <is>
          <t>The Impact of AI Foundation models on the future of digital engineering for logistics and supply Chain</t>
        </is>
      </c>
      <c r="F222" s="26" t="inlineStr">
        <is>
          <t>Digital Engineering</t>
        </is>
      </c>
      <c r="G222" s="26" t="inlineStr">
        <is>
          <t>Article</t>
        </is>
      </c>
      <c r="H222" s="26" t="inlineStr">
        <is>
          <t>10.1016/j.dte.2025.100058</t>
        </is>
      </c>
      <c r="I222" s="26" t="inlineStr">
        <is>
          <t>TA</t>
        </is>
      </c>
      <c r="J222" s="37" t="inlineStr">
        <is>
          <t>Include</t>
        </is>
      </c>
      <c r="K222" s="37" t="n"/>
      <c r="L222" s="28" t="inlineStr">
        <is>
          <t>Strong candidate: twin + supply chain + AI all in title/abstract</t>
        </is>
      </c>
      <c r="M222" s="37" t="inlineStr">
        <is>
          <t>Modelos fundacionales de IA en ingeniería digital para LSCM: "This paper presents an integrated functional framework and technical architecture for implementing FM in LSCM, emphasizing the role of DT and CPS in enabling smart, adaptive, and resilient SC", con análisis por componentes SCOR y caso industrial en astillero ("implementing and effectively utilizing AI and DT"). Nota: usa SCOR.</t>
        </is>
      </c>
      <c r="N222" s="69" t="inlineStr">
        <is>
          <t>I</t>
        </is>
      </c>
      <c r="O222" s="69" t="n">
        <v>5</v>
      </c>
      <c r="P222" s="69" t="inlineStr">
        <is>
          <t>Include</t>
        </is>
      </c>
      <c r="Q222" s="69" t="inlineStr">
        <is>
          <t>I</t>
        </is>
      </c>
      <c r="R222" s="69" t="inlineStr">
        <is>
          <t>Modelos fundacionales de IA en ingeniería digital para LSCM: "This paper presents an integrated functional framework and technical architecture for implementing FM in LSCM, emphasizing the role of DT and CPS in enabling smart, adaptive, and resilient SC", con análisis por componentes SCOR y caso industrial en astillero ("implementing and effectively utilizing AI and DT"). Nota: usa SCOR.</t>
        </is>
      </c>
      <c r="S222" s="69" t="n"/>
    </row>
    <row r="223" ht="34.5" customHeight="1" s="17">
      <c r="A223" s="26" t="inlineStr">
        <is>
          <t>R0222</t>
        </is>
      </c>
      <c r="B223" s="26" t="inlineStr">
        <is>
          <t>Scopus</t>
        </is>
      </c>
      <c r="C223" s="26" t="inlineStr">
        <is>
          <t>Sucuoglu H.S.; Aksoy S.; Demircioglu P.; Bogrekci I.</t>
        </is>
      </c>
      <c r="D223" s="26" t="n">
        <v>2025</v>
      </c>
      <c r="E223" s="27" t="inlineStr">
        <is>
          <t>Sustainable Design and Lifecycle Prediction of Crusher Blades Through a Digital Replica-Based Predictive Prototyping Framework and Data-Efficient Machine Learning</t>
        </is>
      </c>
      <c r="F223" s="26" t="inlineStr">
        <is>
          <t>Sustainability (Switzerland)</t>
        </is>
      </c>
      <c r="G223" s="26" t="inlineStr">
        <is>
          <t>Article</t>
        </is>
      </c>
      <c r="H223" s="26" t="inlineStr">
        <is>
          <t>10.3390/su17167543</t>
        </is>
      </c>
      <c r="I223" s="26" t="inlineStr">
        <is>
          <t>TA</t>
        </is>
      </c>
      <c r="J223" s="37" t="inlineStr">
        <is>
          <t>Exclude</t>
        </is>
      </c>
      <c r="K223" s="37" t="inlineStr">
        <is>
          <t>No digital twin/model</t>
        </is>
      </c>
      <c r="L223" s="28" t="inlineStr">
        <is>
          <t>Strong candidate: twin + supply chain + AI all in title/abstract</t>
        </is>
      </c>
      <c r="M223" s="37" t="inlineStr">
        <is>
          <t>Réplica digital (elementos finitos) de cuchillas con XGBoost; los autores hablan de "digital replica" y sitúan el gemelo como integración futura ("providing a foundation for future integration into digital twin systems"), no se infiere gemelo (C1); también E2 (cadena circular sólo como contexto).</t>
        </is>
      </c>
      <c r="N223" s="69" t="inlineStr">
        <is>
          <t>E1</t>
        </is>
      </c>
      <c r="O223" s="69" t="n">
        <v>5</v>
      </c>
      <c r="P223" s="69" t="inlineStr">
        <is>
          <t>Exclude</t>
        </is>
      </c>
      <c r="Q223" s="69" t="inlineStr">
        <is>
          <t>E1</t>
        </is>
      </c>
      <c r="R223" s="69" t="inlineStr">
        <is>
          <t>Réplica digital (elementos finitos) de cuchillas con XGBoost; los autores hablan de "digital replica" y sitúan el gemelo como integración futura ("providing a foundation for future integration into digital twin systems"), no se infiere gemelo (C1); también E2 (cadena circular sólo como contexto).</t>
        </is>
      </c>
      <c r="S223" s="69" t="n"/>
    </row>
    <row r="224" ht="34.5" customHeight="1" s="17">
      <c r="A224" s="26" t="inlineStr">
        <is>
          <t>R0223</t>
        </is>
      </c>
      <c r="B224" s="26" t="inlineStr">
        <is>
          <t>Scopus + WoS</t>
        </is>
      </c>
      <c r="C224" s="26" t="inlineStr">
        <is>
          <t>Ziari M.; Taleizadeh A.A.</t>
        </is>
      </c>
      <c r="D224" s="26" t="n">
        <v>2025</v>
      </c>
      <c r="E224" s="27" t="inlineStr">
        <is>
          <t>Integrated data-driven and artificial intelligence framework to develop digital twins in distribution system of supply chains: A real industrial case</t>
        </is>
      </c>
      <c r="F224" s="26" t="inlineStr">
        <is>
          <t>International Journal of Production Economics</t>
        </is>
      </c>
      <c r="G224" s="26" t="inlineStr">
        <is>
          <t>Article</t>
        </is>
      </c>
      <c r="H224" s="26" t="inlineStr">
        <is>
          <t>10.1016/j.ijpe.2025.109743</t>
        </is>
      </c>
      <c r="I224" s="26" t="inlineStr">
        <is>
          <t>TA</t>
        </is>
      </c>
      <c r="J224" s="37" t="inlineStr">
        <is>
          <t>Include</t>
        </is>
      </c>
      <c r="K224" s="37" t="n"/>
      <c r="L224" s="28" t="inlineStr">
        <is>
          <t>Strong candidate: twin + supply chain + AI all in title/abstract</t>
        </is>
      </c>
      <c r="M224" s="37" t="inlineStr">
        <is>
          <t>"We propose an integrated framework for developing digital twins in distribution systems for managing demand risks" con soporte de decisión "via Regression algorithm in machine learning based on a real industrial case problem" (IJPE).</t>
        </is>
      </c>
      <c r="N224" s="69" t="inlineStr">
        <is>
          <t>I</t>
        </is>
      </c>
      <c r="O224" s="69" t="n">
        <v>5</v>
      </c>
      <c r="P224" s="69" t="inlineStr">
        <is>
          <t>Include</t>
        </is>
      </c>
      <c r="Q224" s="69" t="inlineStr">
        <is>
          <t>I</t>
        </is>
      </c>
      <c r="R224" s="69" t="inlineStr">
        <is>
          <t>"We propose an integrated framework for developing digital twins in distribution systems for managing demand risks" con soporte de decisión "via Regression algorithm in machine learning based on a real industrial case problem" (IJPE).</t>
        </is>
      </c>
      <c r="S224" s="69" t="n"/>
    </row>
    <row r="225" ht="23.25" customHeight="1" s="17">
      <c r="A225" s="26" t="inlineStr">
        <is>
          <t>R0224</t>
        </is>
      </c>
      <c r="B225" s="26" t="inlineStr">
        <is>
          <t>Scopus</t>
        </is>
      </c>
      <c r="C225" s="26" t="inlineStr">
        <is>
          <t>Ichsan F.A.; Noche B.; Lobeck F.</t>
        </is>
      </c>
      <c r="D225" s="26" t="n">
        <v>2025</v>
      </c>
      <c r="E225" s="27" t="inlineStr">
        <is>
          <t>A DIKW-Based Pyramid Framework for Integrating the Metaverse in Supply Chain Management</t>
        </is>
      </c>
      <c r="F225" s="26" t="inlineStr">
        <is>
          <t>IEEE Open Journal on Immersive Displays</t>
        </is>
      </c>
      <c r="G225" s="26" t="inlineStr">
        <is>
          <t>Article</t>
        </is>
      </c>
      <c r="H225" s="26" t="inlineStr">
        <is>
          <t>10.1109/ojid.2025.3639210</t>
        </is>
      </c>
      <c r="I225" s="26" t="inlineStr">
        <is>
          <t>TA</t>
        </is>
      </c>
      <c r="J225" s="37" t="inlineStr">
        <is>
          <t>Exclude</t>
        </is>
      </c>
      <c r="K225" s="37" t="inlineStr">
        <is>
          <t>Wrong publication type</t>
        </is>
      </c>
      <c r="L225" s="28" t="inlineStr">
        <is>
          <t>Strong candidate: twin + supply chain + AI all in title/abstract</t>
        </is>
      </c>
      <c r="M225" s="37" t="inlineStr">
        <is>
          <t>"A PRISMA-based literature review was conducted across multiple databases, yielding 34 relevant studies for in-depth analysis" para un marco DIKW de metaverso en SCM; gemelos como tecnología. Valor para snowballing: medio.</t>
        </is>
      </c>
      <c r="N225" s="69" t="inlineStr">
        <is>
          <t>E4</t>
        </is>
      </c>
      <c r="O225" s="69" t="n">
        <v>5</v>
      </c>
      <c r="P225" s="69" t="inlineStr">
        <is>
          <t>Exclude</t>
        </is>
      </c>
      <c r="Q225" s="69" t="inlineStr">
        <is>
          <t>E4</t>
        </is>
      </c>
      <c r="R225" s="69" t="inlineStr">
        <is>
          <t>"A PRISMA-based literature review was conducted across multiple databases, yielding 34 relevant studies for in-depth analysis" para un marco DIKW de metaverso en SCM; gemelos como tecnología. Valor para snowballing: medio.</t>
        </is>
      </c>
      <c r="S225" s="69" t="n"/>
    </row>
    <row r="226" ht="23.25" customHeight="1" s="17">
      <c r="A226" s="26" t="inlineStr">
        <is>
          <t>R0225</t>
        </is>
      </c>
      <c r="B226" s="26" t="inlineStr">
        <is>
          <t>Scopus</t>
        </is>
      </c>
      <c r="C226" s="26" t="inlineStr">
        <is>
          <t>Kyrtatos P.; Nikolopoulos L.; Nikolopoulos P.; Simatos P.; Chatzidakis K.</t>
        </is>
      </c>
      <c r="D226" s="26" t="n">
        <v>2025</v>
      </c>
      <c r="E226" s="27" t="inlineStr">
        <is>
          <t>DiEM – A Digital Engine Management Platform for Condition-Based Maintenance and Performance Optimization</t>
        </is>
      </c>
      <c r="F226" s="26" t="inlineStr">
        <is>
          <t>SNAME Maritime Convention, SMC 2025</t>
        </is>
      </c>
      <c r="G226" s="26" t="inlineStr">
        <is>
          <t>Conference paper</t>
        </is>
      </c>
      <c r="H226" s="26" t="inlineStr">
        <is>
          <t>10.5957/smc-2025-084</t>
        </is>
      </c>
      <c r="I226" s="26" t="inlineStr">
        <is>
          <t>TA</t>
        </is>
      </c>
      <c r="J226" s="37" t="inlineStr">
        <is>
          <t>Exclude</t>
        </is>
      </c>
      <c r="K226" s="37" t="inlineStr">
        <is>
          <t>No supply chain scope</t>
        </is>
      </c>
      <c r="L226" s="28" t="inlineStr">
        <is>
          <t>Strong candidate: twin + supply chain + AI all in title/abstract</t>
        </is>
      </c>
      <c r="M226" s="37" t="inlineStr">
        <is>
          <t>Gemelo físico de motor de buque GNL con ML para mantenimiento por condición ("physics-based digital twin modeling and machine learning to assess engine health"); la cadena sólo como presión del sector ("supply chain disruptions"), sin encuadre. Mismo trato que R0043 y R0122.</t>
        </is>
      </c>
      <c r="N226" s="69" t="inlineStr">
        <is>
          <t>E2</t>
        </is>
      </c>
      <c r="O226" s="69" t="n">
        <v>5</v>
      </c>
      <c r="P226" s="69" t="inlineStr">
        <is>
          <t>Exclude</t>
        </is>
      </c>
      <c r="Q226" s="69" t="inlineStr">
        <is>
          <t>E2</t>
        </is>
      </c>
      <c r="R226" s="69" t="inlineStr">
        <is>
          <t>Gemelo físico de motor de buque GNL con ML para mantenimiento por condición ("physics-based digital twin modeling and machine learning to assess engine health"); la cadena sólo como presión del sector ("supply chain disruptions"), sin encuadre. Mismo trato que R0043 y R0122.</t>
        </is>
      </c>
      <c r="S226" s="69" t="n"/>
    </row>
    <row r="227" ht="23.25" customHeight="1" s="17">
      <c r="A227" s="26" t="inlineStr">
        <is>
          <t>R0226</t>
        </is>
      </c>
      <c r="B227" s="26" t="inlineStr">
        <is>
          <t>Scopus</t>
        </is>
      </c>
      <c r="C227" s="26" t="inlineStr">
        <is>
          <t>Enugala V.K.; Goel G.</t>
        </is>
      </c>
      <c r="D227" s="26" t="n">
        <v>2025</v>
      </c>
      <c r="E227" s="27" t="inlineStr">
        <is>
          <t>AI-Driven Sustainable Infrastructure and EV Supply Chain Optimization Using BIM, LiDAR, and SAP-Based Automation</t>
        </is>
      </c>
      <c r="F227" s="26" t="inlineStr">
        <is>
          <t>Proceedings of 2025 10th International Conference on Science Technology, Engineering and Mathematics, ICONSTEM 2025</t>
        </is>
      </c>
      <c r="G227" s="26" t="inlineStr">
        <is>
          <t>Conference paper</t>
        </is>
      </c>
      <c r="H227" s="26" t="inlineStr">
        <is>
          <t>10.1109/iconstem65670.2025.11374619</t>
        </is>
      </c>
      <c r="I227" s="26" t="inlineStr">
        <is>
          <t>TA</t>
        </is>
      </c>
      <c r="J227" s="37" t="inlineStr">
        <is>
          <t>Include</t>
        </is>
      </c>
      <c r="K227" s="37" t="n"/>
      <c r="L227" s="28" t="inlineStr">
        <is>
          <t>Strong candidate: twin + supply chain + AI all in title/abstract</t>
        </is>
      </c>
      <c r="M227" s="37" t="inlineStr">
        <is>
          <t>Marco con gemelos BIM-LiDAR de activos y ML en SAP para la cadena de vehículos eléctricos: "Demand prediction, inventory management and carbon footprint management across the EV ecosystem is managed with the help of machine learning algorithms". Nota: verificar la integración gemelo-cadena; texto de tesis en conferencia.</t>
        </is>
      </c>
      <c r="N227" s="69" t="inlineStr">
        <is>
          <t>I</t>
        </is>
      </c>
      <c r="O227" s="69" t="n">
        <v>5</v>
      </c>
      <c r="P227" s="69" t="inlineStr">
        <is>
          <t>Include</t>
        </is>
      </c>
      <c r="Q227" s="69" t="inlineStr">
        <is>
          <t>I</t>
        </is>
      </c>
      <c r="R227" s="69" t="inlineStr">
        <is>
          <t>Marco con gemelos BIM-LiDAR de activos y ML en SAP para la cadena de vehículos eléctricos: "Demand prediction, inventory management and carbon footprint management across the EV ecosystem is managed with the help of machine learning algorithms". Nota: verificar la integración gemelo-cadena; texto de tesis en conferencia.</t>
        </is>
      </c>
      <c r="S227" s="69" t="n"/>
    </row>
    <row r="228" ht="23.25" customHeight="1" s="17">
      <c r="A228" s="26" t="inlineStr">
        <is>
          <t>R0227</t>
        </is>
      </c>
      <c r="B228" s="26" t="inlineStr">
        <is>
          <t>WoS</t>
        </is>
      </c>
      <c r="C228" s="26" t="inlineStr">
        <is>
          <t>Onyshchuk, V; Dubytskyi, O; Bodak, V; Pavlova, I; Riabykh, N</t>
        </is>
      </c>
      <c r="D228" s="26" t="n">
        <v>2025</v>
      </c>
      <c r="E228" s="27" t="inlineStr">
        <is>
          <t>Digital technologies and modelling for enhancing supply chain efficiency in international road transport</t>
        </is>
      </c>
      <c r="F228" s="26" t="inlineStr">
        <is>
          <t>REVISTA GESTAO &amp; TECNOLOGIA-JOURNAL OF MANAGEMENT AND TECHNOLOGY</t>
        </is>
      </c>
      <c r="G228" s="26" t="inlineStr">
        <is>
          <t>Article</t>
        </is>
      </c>
      <c r="H228" s="26" t="inlineStr">
        <is>
          <t>10.20397/2177-6652/2025.v25i1.3114</t>
        </is>
      </c>
      <c r="I228" s="26" t="inlineStr">
        <is>
          <t>TA</t>
        </is>
      </c>
      <c r="J228" s="37" t="inlineStr">
        <is>
          <t>Exclude</t>
        </is>
      </c>
      <c r="K228" s="37" t="inlineStr">
        <is>
          <t>No digital twin/model</t>
        </is>
      </c>
      <c r="L228" s="28" t="inlineStr">
        <is>
          <t>Strong candidate: twin + supply chain + AI all in title/abstract</t>
        </is>
      </c>
      <c r="M228" s="37" t="inlineStr">
        <is>
          <t>Resuelto 2026-09-05 por Rodrigo: el gemelo y la IA se evalúan como factores de influencia mediante "system analysis, mathematical modelling and linear programming", sin implementación explícita de un gemelo ("Digital twins used in route modelling increase process transparency and decision-making efficiency" como afirmación de resultado); regla C4 y C1, no se infiere implementación.</t>
        </is>
      </c>
      <c r="N228" s="69" t="inlineStr">
        <is>
          <t>E1</t>
        </is>
      </c>
      <c r="O228" s="69" t="n">
        <v>5</v>
      </c>
      <c r="P228" s="69" t="inlineStr">
        <is>
          <t>Include</t>
        </is>
      </c>
      <c r="Q228" s="69" t="inlineStr">
        <is>
          <t>I</t>
        </is>
      </c>
      <c r="R228" s="69" t="inlineStr">
        <is>
          <t>Tecnologías digitales en transporte internacional por carretera: "Digital twins used in route modelling increase process transparency and decision-making efficiency. Predictive analytics based on artificial intelligence allows for more efficient inventory management"; modelado matemático y programación lineal. Verificar en texto completo si el gemelo y la IA se modelan o sólo se discuten.</t>
        </is>
      </c>
      <c r="S228" s="69" t="n"/>
    </row>
    <row r="229" ht="23.25" customHeight="1" s="17">
      <c r="A229" s="26" t="inlineStr">
        <is>
          <t>R0228</t>
        </is>
      </c>
      <c r="B229" s="26" t="inlineStr">
        <is>
          <t>WoS</t>
        </is>
      </c>
      <c r="C229" s="26" t="inlineStr">
        <is>
          <t>Krishna, S; Choudhary, A; Dwivedi, R</t>
        </is>
      </c>
      <c r="D229" s="26" t="n">
        <v>2025</v>
      </c>
      <c r="E229" s="27" t="inlineStr">
        <is>
          <t>From Code to Cargo: A Bibliometric Mapping of the Metaverse Revolution in Supply Chain Management</t>
        </is>
      </c>
      <c r="F229" s="26" t="inlineStr">
        <is>
          <t>ZAGREB INTERNATIONAL REVIEW OF ECONOMICS &amp; BUSINESS</t>
        </is>
      </c>
      <c r="G229" s="26" t="inlineStr">
        <is>
          <t>Article</t>
        </is>
      </c>
      <c r="H229" s="26" t="inlineStr">
        <is>
          <t>10.2478/zireb-2025-0008</t>
        </is>
      </c>
      <c r="I229" s="26" t="inlineStr">
        <is>
          <t>TA</t>
        </is>
      </c>
      <c r="J229" s="37" t="inlineStr">
        <is>
          <t>Exclude</t>
        </is>
      </c>
      <c r="K229" s="37" t="inlineStr">
        <is>
          <t>Wrong publication type</t>
        </is>
      </c>
      <c r="L229" s="28" t="inlineStr">
        <is>
          <t>Strong candidate: twin + supply chain + AI all in title/abstract</t>
        </is>
      </c>
      <c r="M229" s="37" t="inlineStr">
        <is>
          <t>Mapeo bibliométrico del metaverso en SCM ("combines bibliometric analysis via the Bibliometrix package in R Studio and network-based content analysis through VOSviewer"); gemelos como tema. Valor para snowballing: medio (ajustado en la auditoría final 2026-09-06, antes bajo: cadena nombrada en el alcance y gemelos como tema analizado).</t>
        </is>
      </c>
      <c r="N229" s="69" t="inlineStr">
        <is>
          <t>E4</t>
        </is>
      </c>
      <c r="O229" s="69" t="n">
        <v>5</v>
      </c>
      <c r="P229" s="69" t="inlineStr">
        <is>
          <t>Exclude</t>
        </is>
      </c>
      <c r="Q229" s="69" t="inlineStr">
        <is>
          <t>E4</t>
        </is>
      </c>
      <c r="R229" s="69" t="inlineStr">
        <is>
          <t>Mapeo bibliométrico del metaverso en SCM ("combines bibliometric analysis via the Bibliometrix package in R Studio and network-based content analysis through VOSviewer"); gemelos como tema. Valor para snowballing: bajo.</t>
        </is>
      </c>
      <c r="S229" s="69" t="n"/>
    </row>
    <row r="230" ht="23.25" customHeight="1" s="17">
      <c r="A230" s="26" t="inlineStr">
        <is>
          <t>R0229</t>
        </is>
      </c>
      <c r="B230" s="26" t="inlineStr">
        <is>
          <t>WoS</t>
        </is>
      </c>
      <c r="C230" s="26" t="inlineStr">
        <is>
          <t>Nahid-Ull-Islam, M; Hasan, SMM</t>
        </is>
      </c>
      <c r="D230" s="26" t="n">
        <v>2025</v>
      </c>
      <c r="E230" s="27" t="inlineStr">
        <is>
          <t>Into the Revolution of Industry 5.0 in Ensuring Ethical Fashion: A Review on Conceptual Framework</t>
        </is>
      </c>
      <c r="F230" s="26" t="inlineStr">
        <is>
          <t>TEKSTILEC</t>
        </is>
      </c>
      <c r="G230" s="26" t="inlineStr">
        <is>
          <t>Article</t>
        </is>
      </c>
      <c r="H230" s="26" t="inlineStr">
        <is>
          <t>10.14502/tekstilec.68.2025057</t>
        </is>
      </c>
      <c r="I230" s="26" t="inlineStr">
        <is>
          <t>TA</t>
        </is>
      </c>
      <c r="J230" s="37" t="inlineStr">
        <is>
          <t>Exclude</t>
        </is>
      </c>
      <c r="K230" s="37" t="inlineStr">
        <is>
          <t>Wrong publication type</t>
        </is>
      </c>
      <c r="L230" s="28" t="inlineStr">
        <is>
          <t>Strong candidate: twin + supply chain + AI all in title/abstract</t>
        </is>
      </c>
      <c r="M230" s="37" t="inlineStr">
        <is>
          <t>Revisión conceptual sobre Industria 5.0 y moda ética ("Through an in-depth review of literature regarding Industry 4.0, Industry 5.0 and ethical fashion, this study develops a framework"); gemelo sólo en lista. Valor para snowballing: bajo.</t>
        </is>
      </c>
      <c r="N230" s="69" t="inlineStr">
        <is>
          <t>E4</t>
        </is>
      </c>
      <c r="O230" s="69" t="n">
        <v>5</v>
      </c>
      <c r="P230" s="69" t="inlineStr">
        <is>
          <t>Exclude</t>
        </is>
      </c>
      <c r="Q230" s="69" t="inlineStr">
        <is>
          <t>E4</t>
        </is>
      </c>
      <c r="R230" s="69" t="inlineStr">
        <is>
          <t>Revisión conceptual sobre Industria 5.0 y moda ética ("Through an in-depth review of literature regarding Industry 4.0, Industry 5.0 and ethical fashion, this study develops a framework"); gemelo sólo en lista. Valor para snowballing: bajo.</t>
        </is>
      </c>
      <c r="S230" s="69" t="n"/>
    </row>
    <row r="231" ht="23.25" customHeight="1" s="17">
      <c r="A231" s="26" t="inlineStr">
        <is>
          <t>R0230</t>
        </is>
      </c>
      <c r="B231" s="26" t="inlineStr">
        <is>
          <t>WoS</t>
        </is>
      </c>
      <c r="C231" s="26" t="inlineStr">
        <is>
          <t>Verma, A; Prasad, VK; Kumari, A; Bhattacharya, P; Srivastava, G; Fang, K; Wang, W; Gadekallu, TR</t>
        </is>
      </c>
      <c r="D231" s="26" t="n">
        <v>2025</v>
      </c>
      <c r="E231" s="27" t="inlineStr">
        <is>
          <t>Industry 6.0: Vision, technical landscape, and opportunities</t>
        </is>
      </c>
      <c r="F231" s="26" t="inlineStr">
        <is>
          <t>ALEXANDRIA ENGINEERING JOURNAL</t>
        </is>
      </c>
      <c r="G231" s="26" t="inlineStr">
        <is>
          <t>Article</t>
        </is>
      </c>
      <c r="H231" s="26" t="inlineStr">
        <is>
          <t>10.1016/j.aej.2025.08.040</t>
        </is>
      </c>
      <c r="I231" s="26" t="inlineStr">
        <is>
          <t>TA</t>
        </is>
      </c>
      <c r="J231" s="37" t="inlineStr">
        <is>
          <t>Exclude</t>
        </is>
      </c>
      <c r="K231" s="37" t="inlineStr">
        <is>
          <t>Wrong publication type</t>
        </is>
      </c>
      <c r="L231" s="28" t="inlineStr">
        <is>
          <t>Strong candidate: twin + supply chain + AI all in title/abstract</t>
        </is>
      </c>
      <c r="M231" s="37" t="inlineStr">
        <is>
          <t>"we present a tutorial-based survey on the vision, technical landscape, and advancements which would drive the Industry 6.0"; gemelos automatizados y cadenas dinámicas como habilitadores. Valor para snowballing: bajo.</t>
        </is>
      </c>
      <c r="N231" s="69" t="inlineStr">
        <is>
          <t>E4</t>
        </is>
      </c>
      <c r="O231" s="69" t="n">
        <v>5</v>
      </c>
      <c r="P231" s="69" t="inlineStr">
        <is>
          <t>Exclude</t>
        </is>
      </c>
      <c r="Q231" s="69" t="inlineStr">
        <is>
          <t>E4</t>
        </is>
      </c>
      <c r="R231" s="69" t="inlineStr">
        <is>
          <t>"we present a tutorial-based survey on the vision, technical landscape, and advancements which would drive the Industry 6.0"; gemelos automatizados y cadenas dinámicas como habilitadores. Valor para snowballing: bajo.</t>
        </is>
      </c>
      <c r="S231" s="69" t="n"/>
    </row>
    <row r="232" ht="23.25" customHeight="1" s="17">
      <c r="A232" s="26" t="inlineStr">
        <is>
          <t>R0231</t>
        </is>
      </c>
      <c r="B232" s="26" t="inlineStr">
        <is>
          <t>WoS</t>
        </is>
      </c>
      <c r="C232" s="26" t="inlineStr">
        <is>
          <t>Faraji, A; Arya, SH; Ghasemi, E; Mahabadi, HA; Perera, S</t>
        </is>
      </c>
      <c r="D232" s="26" t="n">
        <v>2025</v>
      </c>
      <c r="E232" s="27" t="inlineStr">
        <is>
          <t>Exploring the metaverse: integrating emerging technologies for Industry 5.0 advancement</t>
        </is>
      </c>
      <c r="F232" s="26" t="inlineStr">
        <is>
          <t>SMART AND SUSTAINABLE BUILT ENVIRONMENT</t>
        </is>
      </c>
      <c r="G232" s="26" t="inlineStr">
        <is>
          <t>Article; Early Access</t>
        </is>
      </c>
      <c r="H232" s="26" t="inlineStr">
        <is>
          <t>10.1108/sasbe-04-2025-0169</t>
        </is>
      </c>
      <c r="I232" s="26" t="inlineStr">
        <is>
          <t>TA</t>
        </is>
      </c>
      <c r="J232" s="37" t="inlineStr">
        <is>
          <t>Exclude</t>
        </is>
      </c>
      <c r="K232" s="37" t="inlineStr">
        <is>
          <t>Wrong publication type</t>
        </is>
      </c>
      <c r="L232" s="28" t="inlineStr">
        <is>
          <t>Strong candidate: twin + supply chain + AI all in title/abstract</t>
        </is>
      </c>
      <c r="M232" s="37" t="inlineStr">
        <is>
          <t>"This study utilizes a systematic literature review methodology, examining 194 peer-reviewed articles" sobre metaverso en construcción; gemelo e IA como tecnologías, coordinación de cadena como área. Valor para snowballing: bajo.</t>
        </is>
      </c>
      <c r="N232" s="69" t="inlineStr">
        <is>
          <t>E4</t>
        </is>
      </c>
      <c r="O232" s="69" t="n">
        <v>5</v>
      </c>
      <c r="P232" s="69" t="inlineStr">
        <is>
          <t>Exclude</t>
        </is>
      </c>
      <c r="Q232" s="69" t="inlineStr">
        <is>
          <t>E4</t>
        </is>
      </c>
      <c r="R232" s="69" t="inlineStr">
        <is>
          <t>"This study utilizes a systematic literature review methodology, examining 194 peer-reviewed articles" sobre metaverso en construcción; gemelo e IA como tecnologías, coordinación de cadena como área. Valor para snowballing: bajo.</t>
        </is>
      </c>
      <c r="S232" s="69" t="n"/>
    </row>
    <row r="233" ht="23.25" customHeight="1" s="17">
      <c r="A233" s="26" t="inlineStr">
        <is>
          <t>R0232</t>
        </is>
      </c>
      <c r="B233" s="26" t="inlineStr">
        <is>
          <t>Scopus + WoS</t>
        </is>
      </c>
      <c r="C233" s="26" t="inlineStr">
        <is>
          <t>Zhang T.; Lauras M.; Zacharewicz G.; Rabah S.; Benaben F.</t>
        </is>
      </c>
      <c r="D233" s="26" t="n">
        <v>2024</v>
      </c>
      <c r="E233" s="27" t="inlineStr">
        <is>
          <t>Coupling simulation and machine learning for predictive analytics in supply chain management</t>
        </is>
      </c>
      <c r="F233" s="26" t="inlineStr">
        <is>
          <t>International Journal of Production Research</t>
        </is>
      </c>
      <c r="G233" s="26" t="inlineStr">
        <is>
          <t>Article</t>
        </is>
      </c>
      <c r="H233" s="26" t="inlineStr">
        <is>
          <t>10.1080/00207543.2024.2342019</t>
        </is>
      </c>
      <c r="I233" s="26" t="inlineStr">
        <is>
          <t>TA</t>
        </is>
      </c>
      <c r="J233" s="37" t="inlineStr">
        <is>
          <t>Exclude</t>
        </is>
      </c>
      <c r="K233" s="37" t="inlineStr">
        <is>
          <t>No digital twin/model</t>
        </is>
      </c>
      <c r="L233" s="28" t="inlineStr">
        <is>
          <t>Strong candidate: twin + supply chain + AI all in title/abstract</t>
        </is>
      </c>
      <c r="M233" s="37" t="inlineStr">
        <is>
          <t>Simulación acoplada con ML para analítica predictiva en cadena humanitaria (IJPR); el gemelo sólo como posibilidad futura ("which also opens up the possibility of further integration with optimisation and digital twins") y la simulación no se presenta como gemelo (C1).</t>
        </is>
      </c>
      <c r="N233" s="69" t="inlineStr">
        <is>
          <t>E1</t>
        </is>
      </c>
      <c r="O233" s="69" t="n">
        <v>5</v>
      </c>
      <c r="P233" s="69" t="inlineStr">
        <is>
          <t>Exclude</t>
        </is>
      </c>
      <c r="Q233" s="69" t="inlineStr">
        <is>
          <t>E1</t>
        </is>
      </c>
      <c r="R233" s="69" t="inlineStr">
        <is>
          <t>Simulación acoplada con ML para analítica predictiva en cadena humanitaria (IJPR); el gemelo sólo como posibilidad futura ("which also opens up the possibility of further integration with optimisation and digital twins") y la simulación no se presenta como gemelo (C1).</t>
        </is>
      </c>
      <c r="S233" s="69" t="n"/>
    </row>
    <row r="234" ht="23.25" customHeight="1" s="17">
      <c r="A234" s="26" t="inlineStr">
        <is>
          <t>R0233</t>
        </is>
      </c>
      <c r="B234" s="26" t="inlineStr">
        <is>
          <t>Scopus</t>
        </is>
      </c>
      <c r="C234" s="26" t="inlineStr">
        <is>
          <t>Lee D.; Kang Y.-S.; Do Noh S.; Kim J.; Kim H.</t>
        </is>
      </c>
      <c r="D234" s="26" t="n">
        <v>2024</v>
      </c>
      <c r="E234" s="27" t="inlineStr">
        <is>
          <t>Digital Twin-Driven Reinforcement Learning for Dynamic Path Planning of AGV Systems</t>
        </is>
      </c>
      <c r="F234" s="26" t="inlineStr">
        <is>
          <t>IFIP Advances in Information and Communication Technology</t>
        </is>
      </c>
      <c r="G234" s="26" t="inlineStr">
        <is>
          <t>Conference paper</t>
        </is>
      </c>
      <c r="H234" s="26" t="inlineStr">
        <is>
          <t>10.1007/978-3-031-71633-1_25</t>
        </is>
      </c>
      <c r="I234" s="26" t="inlineStr">
        <is>
          <t>TA</t>
        </is>
      </c>
      <c r="J234" s="37" t="inlineStr">
        <is>
          <t>Include</t>
        </is>
      </c>
      <c r="K234" s="37" t="n"/>
      <c r="L234" s="28" t="inlineStr">
        <is>
          <t>Strong candidate: twin + supply chain + AI all in title/abstract</t>
        </is>
      </c>
      <c r="M234" s="37" t="inlineStr">
        <is>
          <t>[Make] Logística de producción (intra-planta): "This paper proposes a novel approach, Digital Twin (DT)-driven reinforcement learning (RL) for dynamic path planning of automated guided vehicles (AGVs) systems"; Q-learning con gemelo, aplicado en planta real. Make (logística intra-planta).</t>
        </is>
      </c>
      <c r="N234" s="69" t="inlineStr">
        <is>
          <t>I</t>
        </is>
      </c>
      <c r="O234" s="69" t="n">
        <v>5</v>
      </c>
      <c r="P234" s="69" t="inlineStr">
        <is>
          <t>Include</t>
        </is>
      </c>
      <c r="Q234" s="69" t="inlineStr">
        <is>
          <t>I</t>
        </is>
      </c>
      <c r="R234" s="69" t="inlineStr">
        <is>
          <t>Logística de producción (intra-planta): "This paper proposes a novel approach, Digital Twin (DT)-driven reinforcement learning (RL) for dynamic path planning of automated guided vehicles (AGVs) systems"; Q-learning con gemelo, aplicado en planta real. Make (logística intra-planta).</t>
        </is>
      </c>
      <c r="S234" s="69" t="inlineStr">
        <is>
          <t>Make</t>
        </is>
      </c>
    </row>
    <row r="235" ht="23.25" customHeight="1" s="17">
      <c r="A235" s="26" t="inlineStr">
        <is>
          <t>R0234</t>
        </is>
      </c>
      <c r="B235" s="26" t="inlineStr">
        <is>
          <t>Scopus</t>
        </is>
      </c>
      <c r="C235" s="26" t="inlineStr">
        <is>
          <t>Luo J.; Xu Z.</t>
        </is>
      </c>
      <c r="D235" s="26" t="n">
        <v>2024</v>
      </c>
      <c r="E235" s="27" t="inlineStr">
        <is>
          <t>Research on the Construction of Supply Chains of Digital Twin Aquatic Products Using Artificial Intelligence</t>
        </is>
      </c>
      <c r="F235" s="26" t="inlineStr">
        <is>
          <t>ACM International Conference Proceeding Series</t>
        </is>
      </c>
      <c r="G235" s="26" t="inlineStr">
        <is>
          <t>Conference paper</t>
        </is>
      </c>
      <c r="H235" s="26" t="inlineStr">
        <is>
          <t>10.1145/3696500.3696504</t>
        </is>
      </c>
      <c r="I235" s="26" t="inlineStr">
        <is>
          <t>TA</t>
        </is>
      </c>
      <c r="J235" s="37" t="inlineStr">
        <is>
          <t>Exclude</t>
        </is>
      </c>
      <c r="K235" s="37" t="inlineStr">
        <is>
          <t>No AI/ML component</t>
        </is>
      </c>
      <c r="L235" s="28" t="inlineStr">
        <is>
          <t>Strong candidate: twin + supply chain + AI all in title/abstract</t>
        </is>
      </c>
      <c r="M235" s="37" t="inlineStr">
        <is>
          <t>[Antecedente C8: medio] Recodificado 2026-09-06 en la auditoría final (I→E3): Modelo conceptual de gemelo de cadena de productos acuáticos ("The DT-based aquatic product supply chain model encompasses 5 layers: perception, data, operation, function, and application"); la IA sólo como requisito sin articular ("the artificial intelligence technologies have to be integrated"), sin método ni papel descrito (C8, primera precisión). Pool medio por gemelo conceptual con cadena central. | Nota original (I): Conceptual: "The DT-based aquatic product supply chain model encompasses 5 layers: perception, data, operation, function, and application" y "the artificial intelligence technologies have to be integrated" con cuatro etapas de gemelo (objeto, proceso, sistema, cadena de valor). Resumen breve; calidad por evaluar.</t>
        </is>
      </c>
      <c r="N235" s="69" t="inlineStr">
        <is>
          <t>E3</t>
        </is>
      </c>
      <c r="O235" s="69" t="n">
        <v>5</v>
      </c>
      <c r="P235" s="69" t="inlineStr">
        <is>
          <t>Include</t>
        </is>
      </c>
      <c r="Q235" s="69" t="inlineStr">
        <is>
          <t>I</t>
        </is>
      </c>
      <c r="R235" s="69" t="inlineStr">
        <is>
          <t>Conceptual: "The DT-based aquatic product supply chain model encompasses 5 layers: perception, data, operation, function, and application" y "the artificial intelligence technologies have to be integrated" con cuatro etapas de gemelo (objeto, proceso, sistema, cadena de valor). Resumen breve; calidad por evaluar.</t>
        </is>
      </c>
      <c r="S235" s="69" t="n"/>
    </row>
    <row r="236" ht="34.5" customHeight="1" s="17">
      <c r="A236" s="26" t="inlineStr">
        <is>
          <t>R0235</t>
        </is>
      </c>
      <c r="B236" s="26" t="inlineStr">
        <is>
          <t>Scopus + WoS</t>
        </is>
      </c>
      <c r="C236" s="26" t="inlineStr">
        <is>
          <t>Fernandes A.; Gutierres D.; Fugihara M.; de Norman B.</t>
        </is>
      </c>
      <c r="D236" s="26" t="n">
        <v>2024</v>
      </c>
      <c r="E236" s="27" t="inlineStr">
        <is>
          <t>PORT MANAGEMENT DIGITAL TWIN AND CONTROL TOWER INTEGRATION: AN APPROACH TO SUPPORT REAL-TIME DECISION MAKING</t>
        </is>
      </c>
      <c r="F236" s="26" t="inlineStr">
        <is>
          <t>Proceedings - Winter Simulation Conference</t>
        </is>
      </c>
      <c r="G236" s="26" t="inlineStr">
        <is>
          <t>Conference paper</t>
        </is>
      </c>
      <c r="H236" s="26" t="inlineStr">
        <is>
          <t>10.1109/wsc63780.2024.10838965</t>
        </is>
      </c>
      <c r="I236" s="26" t="inlineStr">
        <is>
          <t>TA</t>
        </is>
      </c>
      <c r="J236" s="37" t="inlineStr">
        <is>
          <t>Exclude</t>
        </is>
      </c>
      <c r="K236" s="37" t="inlineStr">
        <is>
          <t>No AI/ML component</t>
        </is>
      </c>
      <c r="L236" s="28" t="inlineStr">
        <is>
          <t>Strong candidate: twin + supply chain + AI all in title/abstract</t>
        </is>
      </c>
      <c r="M236" s="37" t="inlineStr">
        <is>
          <t>[Antecedente C8: alto] Gemelo en tiempo real de puerto brasileño con torre de control y simulación de eventos discretos; el ML sólo como desarrollo futuro ("Future development lies in enhancing the predictive analytics capabilities of the model by leveraging machine learning algorithms").</t>
        </is>
      </c>
      <c r="N236" s="69" t="inlineStr">
        <is>
          <t>E3</t>
        </is>
      </c>
      <c r="O236" s="69" t="n">
        <v>5</v>
      </c>
      <c r="P236" s="69" t="inlineStr">
        <is>
          <t>Exclude</t>
        </is>
      </c>
      <c r="Q236" s="69" t="inlineStr">
        <is>
          <t>E3</t>
        </is>
      </c>
      <c r="R236" s="69" t="inlineStr">
        <is>
          <t>Gemelo en tiempo real de puerto brasileño con torre de control y simulación de eventos discretos; el ML sólo como desarrollo futuro ("Future development lies in enhancing the predictive analytics capabilities of the model by leveraging machine learning algorithms").</t>
        </is>
      </c>
      <c r="S236" s="69" t="n"/>
    </row>
    <row r="237" ht="23.25" customHeight="1" s="17">
      <c r="A237" s="26" t="inlineStr">
        <is>
          <t>R0236</t>
        </is>
      </c>
      <c r="B237" s="26" t="inlineStr">
        <is>
          <t>Scopus + WoS</t>
        </is>
      </c>
      <c r="C237" s="26" t="inlineStr">
        <is>
          <t>Qiu H.; Tseng S.W.; Zhang X.; Huang C.; Wu K.-J.</t>
        </is>
      </c>
      <c r="D237" s="26" t="n">
        <v>2024</v>
      </c>
      <c r="E237" s="27" t="inlineStr">
        <is>
          <t>Revealing the compound interrelationships toward sustainable transition in semiconductor supply chain: A sensitivity analysis</t>
        </is>
      </c>
      <c r="F237" s="26" t="inlineStr">
        <is>
          <t>International Journal of Production Economics</t>
        </is>
      </c>
      <c r="G237" s="26" t="inlineStr">
        <is>
          <t>Article</t>
        </is>
      </c>
      <c r="H237" s="26" t="inlineStr">
        <is>
          <t>10.1016/j.ijpe.2024.109218</t>
        </is>
      </c>
      <c r="I237" s="26" t="inlineStr">
        <is>
          <t>TA</t>
        </is>
      </c>
      <c r="J237" s="37" t="inlineStr">
        <is>
          <t>Exclude</t>
        </is>
      </c>
      <c r="K237" s="37" t="inlineStr">
        <is>
          <t>No digital twin/model</t>
        </is>
      </c>
      <c r="L237" s="28" t="inlineStr">
        <is>
          <t>Strong candidate: twin + supply chain + AI all in title/abstract</t>
        </is>
      </c>
      <c r="M237" s="37" t="inlineStr">
        <is>
          <t>Cadena de semiconductores (IJPE) con ML, pero el gemelo es sólo la etiqueta de un método de análisis de sensibilidad entre criterios ("The proposed hybrid digital twin sensitivity analysis method used in this study integrates clustering, machine learning, a cloud model, and the Monte Carlo simulation method"), no un modelo sincronizado de operaciones (C6); "digital twin" ausente del título y de las palabras clave.</t>
        </is>
      </c>
      <c r="N237" s="69" t="inlineStr">
        <is>
          <t>E1</t>
        </is>
      </c>
      <c r="O237" s="69" t="n">
        <v>5</v>
      </c>
      <c r="P237" s="69" t="inlineStr">
        <is>
          <t>Exclude</t>
        </is>
      </c>
      <c r="Q237" s="69" t="inlineStr">
        <is>
          <t>E1</t>
        </is>
      </c>
      <c r="R237" s="69" t="inlineStr">
        <is>
          <t>Cadena de semiconductores (IJPE) con ML, pero el gemelo es sólo la etiqueta de un método de análisis de sensibilidad entre criterios ("The proposed hybrid digital twin sensitivity analysis method used in this study integrates clustering, machine learning, a cloud model, and the Monte Carlo simulation method"), no un modelo sincronizado de operaciones (C6); "digital twin" ausente del título y de las palabras clave.</t>
        </is>
      </c>
      <c r="S237" s="69" t="n"/>
    </row>
    <row r="238" ht="23.25" customHeight="1" s="17">
      <c r="A238" s="26" t="inlineStr">
        <is>
          <t>R0237</t>
        </is>
      </c>
      <c r="B238" s="26" t="inlineStr">
        <is>
          <t>Scopus</t>
        </is>
      </c>
      <c r="C238" s="26" t="inlineStr">
        <is>
          <t>Monizza G.P.; Mozaffari M.; Fabbrizzi S.; Gamper J.; Lanz O.; Matt D.T.</t>
        </is>
      </c>
      <c r="D238" s="26" t="n">
        <v>2024</v>
      </c>
      <c r="E238" s="27" t="inlineStr">
        <is>
          <t>Defining a Cognitive Digital Twin architecture in food supply chains: the early outcomes of DSS4LCO initiative</t>
        </is>
      </c>
      <c r="F238" s="26" t="inlineStr">
        <is>
          <t>Proceedings of the International Food Operations and Processing Simulation Workshop, FOODOPS</t>
        </is>
      </c>
      <c r="G238" s="26" t="inlineStr">
        <is>
          <t>Conference paper</t>
        </is>
      </c>
      <c r="H238" s="26" t="inlineStr">
        <is>
          <t>10.46354/i3m.2024.foodops.010</t>
        </is>
      </c>
      <c r="I238" s="26" t="inlineStr">
        <is>
          <t>TA</t>
        </is>
      </c>
      <c r="J238" s="37" t="inlineStr">
        <is>
          <t>Include</t>
        </is>
      </c>
      <c r="K238" s="37" t="n"/>
      <c r="L238" s="28" t="inlineStr">
        <is>
          <t>Strong candidate: twin + supply chain + AI all in title/abstract</t>
        </is>
      </c>
      <c r="M238" s="37" t="inlineStr">
        <is>
          <t>Conceptual (design science, iniciativa DSS4LCO): "Multi-objective and Artificial Intelligence-enhanced optimization methods support the decision makers" dando lugar a "a Cognitive Digital Twin framework" para "implementing a CDT architecture in food supply chains".</t>
        </is>
      </c>
      <c r="N238" s="69" t="inlineStr">
        <is>
          <t>I</t>
        </is>
      </c>
      <c r="O238" s="69" t="n">
        <v>5</v>
      </c>
      <c r="P238" s="69" t="inlineStr">
        <is>
          <t>Include</t>
        </is>
      </c>
      <c r="Q238" s="69" t="inlineStr">
        <is>
          <t>I</t>
        </is>
      </c>
      <c r="R238" s="69" t="inlineStr">
        <is>
          <t>Conceptual (design science, iniciativa DSS4LCO): "Multi-objective and Artificial Intelligence-enhanced optimization methods support the decision makers" dando lugar a "a Cognitive Digital Twin framework" para "implementing a CDT architecture in food supply chains".</t>
        </is>
      </c>
      <c r="S238" s="69" t="n"/>
    </row>
    <row r="239" ht="34.5" customHeight="1" s="17">
      <c r="A239" s="26" t="inlineStr">
        <is>
          <t>R0238</t>
        </is>
      </c>
      <c r="B239" s="26" t="inlineStr">
        <is>
          <t>Scopus + WoS</t>
        </is>
      </c>
      <c r="C239" s="26" t="inlineStr">
        <is>
          <t>Crespo-Aguado M.; Lozano R.; Hernandez-Gobertti F.; Molner N.; Gomez-Barquero D.</t>
        </is>
      </c>
      <c r="D239" s="26" t="n">
        <v>2024</v>
      </c>
      <c r="E239" s="27" t="inlineStr">
        <is>
          <t>Flexible Hyper-Distributed IoT–Edge–Cloud Platform for Real-Time Digital Twin Applications on 6G-Intended Testbeds for Logistics and Industry</t>
        </is>
      </c>
      <c r="F239" s="26" t="inlineStr">
        <is>
          <t>Future Internet</t>
        </is>
      </c>
      <c r="G239" s="26" t="inlineStr">
        <is>
          <t>Article</t>
        </is>
      </c>
      <c r="H239" s="26" t="inlineStr">
        <is>
          <t>10.3390/fi16110431</t>
        </is>
      </c>
      <c r="I239" s="26" t="inlineStr">
        <is>
          <t>TA</t>
        </is>
      </c>
      <c r="J239" s="37" t="inlineStr">
        <is>
          <t>Exclude</t>
        </is>
      </c>
      <c r="K239" s="37" t="inlineStr">
        <is>
          <t>No AI/ML component</t>
        </is>
      </c>
      <c r="L239" s="28" t="inlineStr">
        <is>
          <t>Strong candidate: twin + supply chain + AI all in title/abstract</t>
        </is>
      </c>
      <c r="M239" s="37" t="inlineStr">
        <is>
          <t>Resuelto 2026-09-05 por Rodrigo: la IA sólo asigna recursos de cómputo ("Artificial intelligence and machine learning are used to allocate computing resources for real-time services by an end-to-end intelligent orchestrator") y no interviene en decisiones operativas del gemelo ni de la logística; la logística es sólo el entorno de pruebas (E2 secundario).</t>
        </is>
      </c>
      <c r="N239" s="69" t="inlineStr">
        <is>
          <t>E3</t>
        </is>
      </c>
      <c r="O239" s="69" t="n">
        <v>5</v>
      </c>
      <c r="P239" s="69" t="inlineStr">
        <is>
          <t>Include</t>
        </is>
      </c>
      <c r="Q239" s="69" t="inlineStr">
        <is>
          <t>I</t>
        </is>
      </c>
      <c r="R239" s="69" t="inlineStr">
        <is>
          <t>Plataforma IoT-borde-nube para "real-time Digital Twins in real logistics and industrial environments"; "Artificial intelligence and machine learning are used to allocate computing resources for real-time services by an end-to-end intelligent orchestrator". Nota: la IA orquesta cómputo, no decisiones logísticas; verificar relevancia en texto completo.</t>
        </is>
      </c>
      <c r="S239" s="69" t="n"/>
    </row>
    <row r="240" ht="23.25" customHeight="1" s="17">
      <c r="A240" s="26" t="inlineStr">
        <is>
          <t>R0239</t>
        </is>
      </c>
      <c r="B240" s="26" t="inlineStr">
        <is>
          <t>Scopus</t>
        </is>
      </c>
      <c r="C240" s="26" t="inlineStr">
        <is>
          <t>Hasan M.K.; Mun H.-S.; Ampode K.M.B.; Lagua E.B.; Park H.-R.; Kim Y.-H.; Sharifuzzaman M.; Yang C.-J.</t>
        </is>
      </c>
      <c r="D240" s="26" t="n">
        <v>2024</v>
      </c>
      <c r="E240" s="27" t="inlineStr">
        <is>
          <t>A Systematic Literature Review on the Uses, Benefits, Challenges, and Prospects of Digital Twins in Livestock Farm Management</t>
        </is>
      </c>
      <c r="F240" s="26" t="inlineStr">
        <is>
          <t>Advances in Animal and Veterinary Sciences</t>
        </is>
      </c>
      <c r="G240" s="26" t="inlineStr">
        <is>
          <t>Article</t>
        </is>
      </c>
      <c r="H240" s="26" t="inlineStr">
        <is>
          <t>10.17582/journal.aavs/2024/12.12.2301.2314</t>
        </is>
      </c>
      <c r="I240" s="26" t="inlineStr">
        <is>
          <t>TA</t>
        </is>
      </c>
      <c r="J240" s="37" t="inlineStr">
        <is>
          <t>Exclude</t>
        </is>
      </c>
      <c r="K240" s="37" t="inlineStr">
        <is>
          <t>Wrong publication type</t>
        </is>
      </c>
      <c r="L240" s="28" t="inlineStr">
        <is>
          <t>Strong candidate: twin + supply chain + AI all in title/abstract</t>
        </is>
      </c>
      <c r="M240" s="37" t="inlineStr">
        <is>
          <t>"The objective of this study is to conduct a comprehensive review of the literature to determine the status of DT application in livestock farm management" (PRISMA); cadena sólo como prospecto. Valor para snowballing: bajo.</t>
        </is>
      </c>
      <c r="N240" s="69" t="inlineStr">
        <is>
          <t>E4</t>
        </is>
      </c>
      <c r="O240" s="69" t="n">
        <v>5</v>
      </c>
      <c r="P240" s="69" t="inlineStr">
        <is>
          <t>Exclude</t>
        </is>
      </c>
      <c r="Q240" s="69" t="inlineStr">
        <is>
          <t>E4</t>
        </is>
      </c>
      <c r="R240" s="69" t="inlineStr">
        <is>
          <t>"The objective of this study is to conduct a comprehensive review of the literature to determine the status of DT application in livestock farm management" (PRISMA); cadena sólo como prospecto. Valor para snowballing: bajo.</t>
        </is>
      </c>
      <c r="S240" s="69" t="n"/>
    </row>
    <row r="241" ht="23.25" customHeight="1" s="17">
      <c r="A241" s="26" t="inlineStr">
        <is>
          <t>R0240</t>
        </is>
      </c>
      <c r="B241" s="26" t="inlineStr">
        <is>
          <t>Scopus</t>
        </is>
      </c>
      <c r="C241" s="26" t="inlineStr">
        <is>
          <t>Palaniappan R.</t>
        </is>
      </c>
      <c r="D241" s="26" t="n">
        <v>2024</v>
      </c>
      <c r="E241" s="27" t="inlineStr">
        <is>
          <t>Predictive manufacturing: State of the art, design standards, limitations, challenges, and future perspectives</t>
        </is>
      </c>
      <c r="F241" s="26" t="inlineStr">
        <is>
          <t>AIP Conference Proceedings</t>
        </is>
      </c>
      <c r="G241" s="26" t="inlineStr">
        <is>
          <t>Conference paper</t>
        </is>
      </c>
      <c r="H241" s="26" t="inlineStr">
        <is>
          <t>10.1063/5.0235999</t>
        </is>
      </c>
      <c r="I241" s="26" t="inlineStr">
        <is>
          <t>TA</t>
        </is>
      </c>
      <c r="J241" s="37" t="inlineStr">
        <is>
          <t>Exclude</t>
        </is>
      </c>
      <c r="K241" s="37" t="inlineStr">
        <is>
          <t>Wrong publication type</t>
        </is>
      </c>
      <c r="L241" s="28" t="inlineStr">
        <is>
          <t>Strong candidate: twin + supply chain + AI all in title/abstract</t>
        </is>
      </c>
      <c r="M241" s="37" t="inlineStr">
        <is>
          <t>Panorama del estado del arte en manufactura predictiva ("providing a thorough overview of them"); gemelos y aplicaciones en cadena como perspectivas. Valor para snowballing: bajo.</t>
        </is>
      </c>
      <c r="N241" s="69" t="inlineStr">
        <is>
          <t>E4</t>
        </is>
      </c>
      <c r="O241" s="69" t="n">
        <v>5</v>
      </c>
      <c r="P241" s="69" t="inlineStr">
        <is>
          <t>Exclude</t>
        </is>
      </c>
      <c r="Q241" s="69" t="inlineStr">
        <is>
          <t>E4</t>
        </is>
      </c>
      <c r="R241" s="69" t="inlineStr">
        <is>
          <t>Panorama del estado del arte en manufactura predictiva ("providing a thorough overview of them"); gemelos y aplicaciones en cadena como perspectivas. Valor para snowballing: bajo.</t>
        </is>
      </c>
      <c r="S241" s="69" t="n"/>
    </row>
    <row r="242" ht="23.25" customHeight="1" s="17">
      <c r="A242" s="26" t="inlineStr">
        <is>
          <t>R0241</t>
        </is>
      </c>
      <c r="B242" s="26" t="inlineStr">
        <is>
          <t>Scopus + WoS</t>
        </is>
      </c>
      <c r="C242" s="26" t="inlineStr">
        <is>
          <t>Serôdio C.; Mestre P.; Cabral J.; Gomes M.; Branco F.</t>
        </is>
      </c>
      <c r="D242" s="26" t="n">
        <v>2024</v>
      </c>
      <c r="E242" s="27" t="inlineStr">
        <is>
          <t>Software and Architecture Orchestration for Process Control in Industry 4.0 Enabled by Cyber-Physical Systems Technologies</t>
        </is>
      </c>
      <c r="F242" s="26" t="inlineStr">
        <is>
          <t>Applied Sciences (Switzerland)</t>
        </is>
      </c>
      <c r="G242" s="26" t="inlineStr">
        <is>
          <t>Article</t>
        </is>
      </c>
      <c r="H242" s="26" t="inlineStr">
        <is>
          <t>10.3390/app14052160</t>
        </is>
      </c>
      <c r="I242" s="26" t="inlineStr">
        <is>
          <t>TA</t>
        </is>
      </c>
      <c r="J242" s="37" t="inlineStr">
        <is>
          <t>Exclude</t>
        </is>
      </c>
      <c r="K242" s="37" t="inlineStr">
        <is>
          <t>No digital twin/model</t>
        </is>
      </c>
      <c r="L242" s="28" t="inlineStr">
        <is>
          <t>Strong candidate: twin + supply chain + AI all in title/abstract</t>
        </is>
      </c>
      <c r="M242" s="37" t="inlineStr">
        <is>
          <t>Arquitectura CPS y plataforma de rastreo de vehículos logísticos (Supply Chain 4.0, TMS); gemelo e IA sólo en la lista introductoria ("including Cyber–Physical Systems (CPS), Big Data, Internet of Things (IoT), digital twins, and Artificial Intelligence (AI)"); también E3.</t>
        </is>
      </c>
      <c r="N242" s="69" t="inlineStr">
        <is>
          <t>E1</t>
        </is>
      </c>
      <c r="O242" s="69" t="n">
        <v>5</v>
      </c>
      <c r="P242" s="69" t="inlineStr">
        <is>
          <t>Exclude</t>
        </is>
      </c>
      <c r="Q242" s="69" t="inlineStr">
        <is>
          <t>E1</t>
        </is>
      </c>
      <c r="R242" s="69" t="inlineStr">
        <is>
          <t>Arquitectura CPS y plataforma de rastreo de vehículos logísticos (Supply Chain 4.0, TMS); gemelo e IA sólo en la lista introductoria ("including Cyber–Physical Systems (CPS), Big Data, Internet of Things (IoT), digital twins, and Artificial Intelligence (AI)"); también E3.</t>
        </is>
      </c>
      <c r="S242" s="69" t="n"/>
    </row>
    <row r="243" ht="23.25" customHeight="1" s="17">
      <c r="A243" s="26" t="inlineStr">
        <is>
          <t>R0242</t>
        </is>
      </c>
      <c r="B243" s="26" t="inlineStr">
        <is>
          <t>Scopus + WoS</t>
        </is>
      </c>
      <c r="C243" s="26" t="inlineStr">
        <is>
          <t>Hirata E.; Watanabe D.; Chalmoukis A.; Lambrou M.</t>
        </is>
      </c>
      <c r="D243" s="26" t="n">
        <v>2024</v>
      </c>
      <c r="E243" s="27" t="inlineStr">
        <is>
          <t>A Topic Modeling Approach to Determine Supply Chain Management Priorities Enabled by Digital Twin Technology</t>
        </is>
      </c>
      <c r="F243" s="26" t="inlineStr">
        <is>
          <t>Sustainability (Switzerland)</t>
        </is>
      </c>
      <c r="G243" s="26" t="inlineStr">
        <is>
          <t>Article</t>
        </is>
      </c>
      <c r="H243" s="26" t="inlineStr">
        <is>
          <t>10.3390/su16093552</t>
        </is>
      </c>
      <c r="I243" s="26" t="inlineStr">
        <is>
          <t>TA</t>
        </is>
      </c>
      <c r="J243" s="37" t="inlineStr">
        <is>
          <t>Exclude</t>
        </is>
      </c>
      <c r="K243" s="37" t="inlineStr">
        <is>
          <t>Wrong publication type</t>
        </is>
      </c>
      <c r="L243" s="28" t="inlineStr">
        <is>
          <t>Strong candidate: twin + supply chain + AI all in title/abstract</t>
        </is>
      </c>
      <c r="M243" s="37" t="inlineStr">
        <is>
          <t>Análisis de literatura sobre gemelos en cadenas mediante modelado de tópicos ("This paper examines scientific papers in the field of digital twins to explore the different areas of application in supply chains"). Valor para snowballing: alto.</t>
        </is>
      </c>
      <c r="N243" s="69" t="inlineStr">
        <is>
          <t>E4</t>
        </is>
      </c>
      <c r="O243" s="69" t="n">
        <v>5</v>
      </c>
      <c r="P243" s="69" t="inlineStr">
        <is>
          <t>Exclude</t>
        </is>
      </c>
      <c r="Q243" s="69" t="inlineStr">
        <is>
          <t>E4</t>
        </is>
      </c>
      <c r="R243" s="69" t="inlineStr">
        <is>
          <t>Análisis de literatura sobre gemelos en cadenas mediante modelado de tópicos ("This paper examines scientific papers in the field of digital twins to explore the different areas of application in supply chains"). Valor para snowballing: alto.</t>
        </is>
      </c>
      <c r="S243" s="69" t="n"/>
    </row>
    <row r="244" ht="34.5" customHeight="1" s="17">
      <c r="A244" s="26" t="inlineStr">
        <is>
          <t>R0243</t>
        </is>
      </c>
      <c r="B244" s="26" t="inlineStr">
        <is>
          <t>Scopus + WoS</t>
        </is>
      </c>
      <c r="C244" s="26" t="inlineStr">
        <is>
          <t>Qiu K.; Zhao K.</t>
        </is>
      </c>
      <c r="D244" s="26" t="n">
        <v>2024</v>
      </c>
      <c r="E244" s="27" t="inlineStr">
        <is>
          <t>The integration of green energy and artificial intelligence in next-generation energy supply chain: An analysis of economic, social, and environmental impacts</t>
        </is>
      </c>
      <c r="F244" s="26" t="inlineStr">
        <is>
          <t>Sustainable Energy Technologies and Assessments</t>
        </is>
      </c>
      <c r="G244" s="26" t="inlineStr">
        <is>
          <t>Article</t>
        </is>
      </c>
      <c r="H244" s="26" t="inlineStr">
        <is>
          <t>10.1016/j.seta.2024.103660</t>
        </is>
      </c>
      <c r="I244" s="26" t="inlineStr">
        <is>
          <t>TA</t>
        </is>
      </c>
      <c r="J244" s="37" t="inlineStr">
        <is>
          <t>Exclude</t>
        </is>
      </c>
      <c r="K244" s="37" t="inlineStr">
        <is>
          <t>No supply chain scope</t>
        </is>
      </c>
      <c r="L244" s="28" t="inlineStr">
        <is>
          <t>Strong candidate: twin + supply chain + AI all in title/abstract</t>
        </is>
      </c>
      <c r="M244" s="37" t="inlineStr">
        <is>
          <t>Despacho económico de microrred con marco de gemelo y algoritmo de biogeografía (MBOA); "energy supply chain" sólo en el título, el objeto es "microgrid (MG) management operations", sin encuadre de cadena ni logística. Nota: la IA del título es una metaheurística, no ML.</t>
        </is>
      </c>
      <c r="N244" s="69" t="inlineStr">
        <is>
          <t>E2</t>
        </is>
      </c>
      <c r="O244" s="69" t="n">
        <v>5</v>
      </c>
      <c r="P244" s="69" t="inlineStr">
        <is>
          <t>Exclude</t>
        </is>
      </c>
      <c r="Q244" s="69" t="inlineStr">
        <is>
          <t>E2</t>
        </is>
      </c>
      <c r="R244" s="69" t="inlineStr">
        <is>
          <t>Despacho económico de microrred con marco de gemelo y algoritmo de biogeografía (MBOA); "energy supply chain" sólo en el título, el objeto es "microgrid (MG) management operations", sin encuadre de cadena ni logística. Nota: la IA del título es una metaheurística, no ML.</t>
        </is>
      </c>
      <c r="S244" s="69" t="n"/>
    </row>
    <row r="245" ht="23.25" customHeight="1" s="17">
      <c r="A245" s="26" t="inlineStr">
        <is>
          <t>R0244</t>
        </is>
      </c>
      <c r="B245" s="26" t="inlineStr">
        <is>
          <t>Scopus</t>
        </is>
      </c>
      <c r="C245" s="26" t="inlineStr">
        <is>
          <t>Prayudi A.; Sukaridhoto S.; Al Rasyid M.U.H.; Hakim O.S.; Panduman Y.Y.F.; Budiarti R.P.N.</t>
        </is>
      </c>
      <c r="D245" s="26" t="n">
        <v>2024</v>
      </c>
      <c r="E245" s="27" t="inlineStr">
        <is>
          <t>Implementation of Multi Extension in Blockchain-Based IoT Platform for Industrial IoT Devices</t>
        </is>
      </c>
      <c r="F245" s="26" t="inlineStr">
        <is>
          <t>International Journal on Informatics Visualization</t>
        </is>
      </c>
      <c r="G245" s="26" t="inlineStr">
        <is>
          <t>Article</t>
        </is>
      </c>
      <c r="H245" s="26" t="inlineStr">
        <is>
          <t>10.62527/joiv.8.2.2401</t>
        </is>
      </c>
      <c r="I245" s="26" t="inlineStr">
        <is>
          <t>TA</t>
        </is>
      </c>
      <c r="J245" s="37" t="inlineStr">
        <is>
          <t>Exclude</t>
        </is>
      </c>
      <c r="K245" s="37" t="inlineStr">
        <is>
          <t>No supply chain scope</t>
        </is>
      </c>
      <c r="L245" s="28" t="inlineStr">
        <is>
          <t>Strong candidate: twin + supply chain + AI all in title/abstract</t>
        </is>
      </c>
      <c r="M245" s="37" t="inlineStr">
        <is>
          <t>Plataforma IoT con extensiones blockchain, AIoT y gemelo de edificio ("Digital Twin, integrated into the IoT platform to perform and control 3D assets such as the postgraduate PENS building"); la cadena sólo como área de aplicación de IoT.</t>
        </is>
      </c>
      <c r="N245" s="69" t="inlineStr">
        <is>
          <t>E2</t>
        </is>
      </c>
      <c r="O245" s="69" t="n">
        <v>5</v>
      </c>
      <c r="P245" s="69" t="inlineStr">
        <is>
          <t>Exclude</t>
        </is>
      </c>
      <c r="Q245" s="69" t="inlineStr">
        <is>
          <t>E2</t>
        </is>
      </c>
      <c r="R245" s="69" t="inlineStr">
        <is>
          <t>Plataforma IoT con extensiones blockchain, AIoT y gemelo de edificio ("Digital Twin, integrated into the IoT platform to perform and control 3D assets such as the postgraduate PENS building"); la cadena sólo como área de aplicación de IoT.</t>
        </is>
      </c>
      <c r="S245" s="69" t="n"/>
    </row>
    <row r="246" ht="34.5" customHeight="1" s="17">
      <c r="A246" s="26" t="inlineStr">
        <is>
          <t>R0245</t>
        </is>
      </c>
      <c r="B246" s="26" t="inlineStr">
        <is>
          <t>Scopus</t>
        </is>
      </c>
      <c r="C246" s="26" t="inlineStr">
        <is>
          <t>Favour D.A.</t>
        </is>
      </c>
      <c r="D246" s="26" t="n">
        <v>2024</v>
      </c>
      <c r="E246" s="27" t="inlineStr">
        <is>
          <t>Petroleum Industry Value Chain Optimization: the Inevitability of Artificial Intelligence and Data Science in Midstream and Downstream Development</t>
        </is>
      </c>
      <c r="F246" s="26" t="inlineStr">
        <is>
          <t>Society of Petroleum Engineers - SPE Nigeria Annual International Conference and Exhibition, NAIC 2024</t>
        </is>
      </c>
      <c r="G246" s="26" t="inlineStr">
        <is>
          <t>Conference paper</t>
        </is>
      </c>
      <c r="H246" s="26" t="inlineStr">
        <is>
          <t>10.2118/221799-ms</t>
        </is>
      </c>
      <c r="I246" s="26" t="inlineStr">
        <is>
          <t>TA</t>
        </is>
      </c>
      <c r="J246" s="37" t="inlineStr">
        <is>
          <t>Exclude</t>
        </is>
      </c>
      <c r="K246" s="37" t="inlineStr">
        <is>
          <t>No digital twin/model</t>
        </is>
      </c>
      <c r="L246" s="28" t="inlineStr">
        <is>
          <t>Strong candidate: twin + supply chain + AI all in title/abstract</t>
        </is>
      </c>
      <c r="M246" s="37" t="inlineStr">
        <is>
          <t>Recodificado 2026-09-06 en la auditoría final (I→E1): El objeto del texto es la IA y la ciencia de datos en la cadena de valor petrolera; el gemelo no es objeto ni componente del estudio, sólo una aplicación descrita de terceros de forma genérica ("Companies like Shell and Chevron leverage in real-time data from sensors, cameras, and drones to create dynamic representations of operations and equipment") (C1; precedente R0634: un resumen de soluciones de industria no es revisión ni gemelo propio); la IA como técnicas genéricas ("AI techniques like optimization (model creation and updating), generative modelling, data analytics, predictive analytics") (E3 secundario). | Nota original (I): Panorama SPE de IA y ciencia de datos en midstream/downstream: "digital twin technology plays a crucial role, offering applications like pipeline monitoring and logistics optimization" y "AI techniques like optimization (model creation and updating), generative modelling" para mantener los gemelos. Incluido por sensibilidad; riesgo de E4 o E5 (literatura de conferencia sectorial) en texto completo.</t>
        </is>
      </c>
      <c r="N246" s="69" t="inlineStr">
        <is>
          <t>E1</t>
        </is>
      </c>
      <c r="O246" s="69" t="n">
        <v>5</v>
      </c>
      <c r="P246" s="69" t="inlineStr">
        <is>
          <t>Include</t>
        </is>
      </c>
      <c r="Q246" s="69" t="inlineStr">
        <is>
          <t>I</t>
        </is>
      </c>
      <c r="R246" s="69" t="inlineStr">
        <is>
          <t>Panorama SPE de IA y ciencia de datos en midstream/downstream: "digital twin technology plays a crucial role, offering applications like pipeline monitoring and logistics optimization" y "AI techniques like optimization (model creation and updating), generative modelling" para mantener los gemelos. Incluido por sensibilidad; riesgo de E4 o E5 (literatura de conferencia sectorial) en texto completo.</t>
        </is>
      </c>
      <c r="S246" s="69" t="n"/>
    </row>
    <row r="247" ht="23.25" customHeight="1" s="17">
      <c r="A247" s="26" t="inlineStr">
        <is>
          <t>R0246</t>
        </is>
      </c>
      <c r="B247" s="26" t="inlineStr">
        <is>
          <t>Scopus + WoS</t>
        </is>
      </c>
      <c r="C247" s="26" t="inlineStr">
        <is>
          <t>Kuo H.-T.; Choi T.-M.</t>
        </is>
      </c>
      <c r="D247" s="26" t="n">
        <v>2024</v>
      </c>
      <c r="E247" s="27" t="inlineStr">
        <is>
          <t>Metaverse in transportation and logistics operations: An AI-supported digital technological framework</t>
        </is>
      </c>
      <c r="F247" s="26" t="inlineStr">
        <is>
          <t>Transportation Research Part E: Logistics and Transportation Review</t>
        </is>
      </c>
      <c r="G247" s="26" t="inlineStr">
        <is>
          <t>Article</t>
        </is>
      </c>
      <c r="H247" s="26" t="inlineStr">
        <is>
          <t>10.1016/j.tre.2024.103496</t>
        </is>
      </c>
      <c r="I247" s="26" t="inlineStr">
        <is>
          <t>TA</t>
        </is>
      </c>
      <c r="J247" s="37" t="inlineStr">
        <is>
          <t>Exclude</t>
        </is>
      </c>
      <c r="K247" s="37" t="inlineStr">
        <is>
          <t>Wrong publication type</t>
        </is>
      </c>
      <c r="L247" s="28" t="inlineStr">
        <is>
          <t>Strong candidate: twin + supply chain + AI all in title/abstract</t>
        </is>
      </c>
      <c r="M247" s="37" t="inlineStr">
        <is>
          <t>Marco conceptual (TR-E) derivado de "a selective critical review" con casos ilustrativos (MTR): "We establish an AI supported digital technological framework, called the ABCDE framework, for transportation and logistics companies to adopt with their use of metaverse", con IA, blockchain, gemelos y realidad extendida como constructos separados y sin sistema propuesto (precedente R0190; mismo trato que R0224). Valor para snowballing: alto.</t>
        </is>
      </c>
      <c r="N247" s="69" t="inlineStr">
        <is>
          <t>E4</t>
        </is>
      </c>
      <c r="O247" s="69" t="n">
        <v>5</v>
      </c>
      <c r="P247" s="69" t="inlineStr">
        <is>
          <t>Exclude</t>
        </is>
      </c>
      <c r="Q247" s="69" t="inlineStr">
        <is>
          <t>E4</t>
        </is>
      </c>
      <c r="R247" s="69" t="inlineStr">
        <is>
          <t>Marco conceptual (TR-E) derivado de "a selective critical review" con casos ilustrativos (MTR): "We establish an AI supported digital technological framework, called the ABCDE framework, for transportation and logistics companies to adopt with their use of metaverse", con IA, blockchain, gemelos y realidad extendida como constructos separados y sin sistema propuesto (precedente R0190; mismo trato que R0224). Valor para snowballing: alto.</t>
        </is>
      </c>
      <c r="S247" s="69" t="n"/>
    </row>
    <row r="248" ht="23.25" customHeight="1" s="17">
      <c r="A248" s="26" t="inlineStr">
        <is>
          <t>R0247</t>
        </is>
      </c>
      <c r="B248" s="26" t="inlineStr">
        <is>
          <t>Scopus + WoS</t>
        </is>
      </c>
      <c r="C248" s="26" t="inlineStr">
        <is>
          <t>Khalaj O.; Hassas P.; Mašek B.; Štadler C.; Svoboda J.</t>
        </is>
      </c>
      <c r="D248" s="26" t="n">
        <v>2024</v>
      </c>
      <c r="E248" s="27" t="inlineStr">
        <is>
          <t>Optimization of cooling rate of Q-P treated 42SiCr steel using AI digital twinning</t>
        </is>
      </c>
      <c r="F248" s="26" t="inlineStr">
        <is>
          <t>Heliyon</t>
        </is>
      </c>
      <c r="G248" s="26" t="inlineStr">
        <is>
          <t>Article</t>
        </is>
      </c>
      <c r="H248" s="26" t="inlineStr">
        <is>
          <t>10.1016/j.heliyon.2024.e32101</t>
        </is>
      </c>
      <c r="I248" s="26" t="inlineStr">
        <is>
          <t>TA</t>
        </is>
      </c>
      <c r="J248" s="37" t="inlineStr">
        <is>
          <t>Exclude</t>
        </is>
      </c>
      <c r="K248" s="37" t="inlineStr">
        <is>
          <t>No supply chain scope</t>
        </is>
      </c>
      <c r="L248" s="28" t="inlineStr">
        <is>
          <t>Strong candidate: twin + supply chain + AI all in title/abstract</t>
        </is>
      </c>
      <c r="M248" s="37" t="inlineStr">
        <is>
          <t>Gemelo con IA para optimizar la velocidad de enfriamiento en tratamiento Q-P de acero; la cadena sólo como posibilidad de integración con el metaverso ("training simulations, analytics, and complete supply chain visibility"), sin encuadre.</t>
        </is>
      </c>
      <c r="N248" s="69" t="inlineStr">
        <is>
          <t>E2</t>
        </is>
      </c>
      <c r="O248" s="69" t="n">
        <v>5</v>
      </c>
      <c r="P248" s="69" t="inlineStr">
        <is>
          <t>Exclude</t>
        </is>
      </c>
      <c r="Q248" s="69" t="inlineStr">
        <is>
          <t>E2</t>
        </is>
      </c>
      <c r="R248" s="69" t="inlineStr">
        <is>
          <t>Gemelo con IA para optimizar la velocidad de enfriamiento en tratamiento Q-P de acero; la cadena sólo como posibilidad de integración con el metaverso ("training simulations, analytics, and complete supply chain visibility"), sin encuadre.</t>
        </is>
      </c>
      <c r="S248" s="69" t="n"/>
    </row>
    <row r="249" ht="45.75" customHeight="1" s="17">
      <c r="A249" s="26" t="inlineStr">
        <is>
          <t>R0248</t>
        </is>
      </c>
      <c r="B249" s="26" t="inlineStr">
        <is>
          <t>Scopus + WoS</t>
        </is>
      </c>
      <c r="C249" s="26" t="inlineStr">
        <is>
          <t>Lăzăroiu G.; Gedeon T.; Valaskova K.; Vrbka J.; Šuleř P.; Zvarikova K.; Kramarova K.; Rowland Z.; Stehel V.; Gajanova L.; Horák J.; Grupac M.; Caha Z.; Blazek R.; Kovalova E.; Nagy M.</t>
        </is>
      </c>
      <c r="D249" s="26" t="n">
        <v>2024</v>
      </c>
      <c r="E249" s="27" t="inlineStr">
        <is>
          <t>Cognitive digital twin-based Internet of Robotic Things, multi-sensory extended reality and simulation modeling technologies, and generative artificial intelligence and cyber–physical manufacturing systems in the immersive industrial metaverse</t>
        </is>
      </c>
      <c r="F249" s="26" t="inlineStr">
        <is>
          <t>Equilibrium. Quarterly Journal of Economics and Economic Policy</t>
        </is>
      </c>
      <c r="G249" s="26" t="inlineStr">
        <is>
          <t>Article</t>
        </is>
      </c>
      <c r="H249" s="26" t="inlineStr">
        <is>
          <t>10.24136/eq.3131</t>
        </is>
      </c>
      <c r="I249" s="26" t="inlineStr">
        <is>
          <t>TA</t>
        </is>
      </c>
      <c r="J249" s="37" t="inlineStr">
        <is>
          <t>Exclude</t>
        </is>
      </c>
      <c r="K249" s="37" t="inlineStr">
        <is>
          <t>Wrong publication type</t>
        </is>
      </c>
      <c r="L249" s="28" t="inlineStr">
        <is>
          <t>Strong candidate: twin + supply chain + AI all in title/abstract</t>
        </is>
      </c>
      <c r="M249" s="37" t="inlineStr">
        <is>
          <t>"This collective writing cumulates and debates upon the most recent and relevant literature on cognitive digital twin-based Internet of Robotic Things" (metaverso industrial); logística de producción sólo como tema. Valor para snowballing: bajo.</t>
        </is>
      </c>
      <c r="N249" s="69" t="inlineStr">
        <is>
          <t>E4</t>
        </is>
      </c>
      <c r="O249" s="69" t="n">
        <v>5</v>
      </c>
      <c r="P249" s="69" t="inlineStr">
        <is>
          <t>Exclude</t>
        </is>
      </c>
      <c r="Q249" s="69" t="inlineStr">
        <is>
          <t>E4</t>
        </is>
      </c>
      <c r="R249" s="69" t="inlineStr">
        <is>
          <t>"This collective writing cumulates and debates upon the most recent and relevant literature on cognitive digital twin-based Internet of Robotic Things" (metaverso industrial); logística de producción sólo como tema. Valor para snowballing: bajo.</t>
        </is>
      </c>
      <c r="S249" s="69" t="n"/>
    </row>
    <row r="250" ht="23.25" customHeight="1" s="17">
      <c r="A250" s="26" t="inlineStr">
        <is>
          <t>R0249</t>
        </is>
      </c>
      <c r="B250" s="26" t="inlineStr">
        <is>
          <t>Scopus</t>
        </is>
      </c>
      <c r="C250" s="26" t="inlineStr">
        <is>
          <t>Campos M.G.G.; van Beurden P.</t>
        </is>
      </c>
      <c r="D250" s="26" t="n">
        <v>2024</v>
      </c>
      <c r="E250" s="27" t="inlineStr">
        <is>
          <t>Potential of Applying Artificial Intelligence to Hot Metal Logistics Management</t>
        </is>
      </c>
      <c r="F250" s="26" t="inlineStr">
        <is>
          <t>China's Refractories</t>
        </is>
      </c>
      <c r="G250" s="26" t="inlineStr">
        <is>
          <t>Article</t>
        </is>
      </c>
      <c r="H250" s="26" t="inlineStr">
        <is>
          <t>10.19691/j.cnki.1004-4493.2024.03.006</t>
        </is>
      </c>
      <c r="I250" s="26" t="inlineStr">
        <is>
          <t>TA</t>
        </is>
      </c>
      <c r="J250" s="37" t="inlineStr">
        <is>
          <t>Include</t>
        </is>
      </c>
      <c r="K250" s="37" t="n"/>
      <c r="L250" s="28" t="inlineStr">
        <is>
          <t>Strong candidate: twin + supply chain + AI all in title/abstract</t>
        </is>
      </c>
      <c r="M250" s="37" t="inlineStr">
        <is>
          <t>[Make] Logística intra-planta de metal caliente en acería: "This paper integrated digital twins with reinforcement learning algorithms to investigate the logistics of torpedoes and hot metal ladles"; sistema de soporte a decisión. Make (logística intra-planta).</t>
        </is>
      </c>
      <c r="N250" s="69" t="inlineStr">
        <is>
          <t>I</t>
        </is>
      </c>
      <c r="O250" s="69" t="n">
        <v>5</v>
      </c>
      <c r="P250" s="69" t="inlineStr">
        <is>
          <t>Include</t>
        </is>
      </c>
      <c r="Q250" s="69" t="inlineStr">
        <is>
          <t>I</t>
        </is>
      </c>
      <c r="R250" s="69" t="inlineStr">
        <is>
          <t>Logística intra-planta de metal caliente en acería: "This paper integrated digital twins with reinforcement learning algorithms to investigate the logistics of torpedoes and hot metal ladles"; sistema de soporte a decisión. Make (logística intra-planta).</t>
        </is>
      </c>
      <c r="S250" s="69" t="inlineStr">
        <is>
          <t>Make</t>
        </is>
      </c>
    </row>
    <row r="251" ht="34.5" customHeight="1" s="17">
      <c r="A251" s="26" t="inlineStr">
        <is>
          <t>R0250</t>
        </is>
      </c>
      <c r="B251" s="26" t="inlineStr">
        <is>
          <t>Scopus + WoS</t>
        </is>
      </c>
      <c r="C251" s="26" t="inlineStr">
        <is>
          <t>Badakhshan E.; Mustafee N.; Bahadori R.</t>
        </is>
      </c>
      <c r="D251" s="26" t="n">
        <v>2024</v>
      </c>
      <c r="E251" s="27" t="inlineStr">
        <is>
          <t>Application of simulation and machine learning in supply chain management: A synthesis of the literature using the Sim-ML literature classification framework</t>
        </is>
      </c>
      <c r="F251" s="26" t="inlineStr">
        <is>
          <t>Computers and Industrial Engineering</t>
        </is>
      </c>
      <c r="G251" s="26" t="inlineStr">
        <is>
          <t>Article</t>
        </is>
      </c>
      <c r="H251" s="26" t="inlineStr">
        <is>
          <t>10.1016/j.cie.2024.110649</t>
        </is>
      </c>
      <c r="I251" s="26" t="inlineStr">
        <is>
          <t>TA</t>
        </is>
      </c>
      <c r="J251" s="37" t="inlineStr">
        <is>
          <t>Exclude</t>
        </is>
      </c>
      <c r="K251" s="37" t="inlineStr">
        <is>
          <t>Wrong publication type</t>
        </is>
      </c>
      <c r="L251" s="28" t="inlineStr">
        <is>
          <t>Strong candidate: twin + supply chain + AI all in title/abstract</t>
        </is>
      </c>
      <c r="M251" s="37" t="inlineStr">
        <is>
          <t>Revisión de 99 artículos con el marco Sim-ML ("we developed the Sim-ML Literature Classification Framework") sobre simulación y ML en SCM; señala que los gemelos están subrepresentados. Valor para snowballing: medio (ajustado en la auditoría final 2026-09-06, antes alto: la intersección exacta requiere gemelos como objeto; aquí sólo se señalan como subrepresentados).</t>
        </is>
      </c>
      <c r="N251" s="69" t="inlineStr">
        <is>
          <t>E4</t>
        </is>
      </c>
      <c r="O251" s="69" t="n">
        <v>5</v>
      </c>
      <c r="P251" s="69" t="inlineStr">
        <is>
          <t>Exclude</t>
        </is>
      </c>
      <c r="Q251" s="69" t="inlineStr">
        <is>
          <t>E4</t>
        </is>
      </c>
      <c r="R251" s="69" t="inlineStr">
        <is>
          <t>Revisión de 99 artículos con el marco Sim-ML ("we developed the Sim-ML Literature Classification Framework") sobre simulación y ML en SCM; señala que los gemelos están subrepresentados. Valor para snowballing: alto.</t>
        </is>
      </c>
      <c r="S251" s="69" t="n"/>
    </row>
    <row r="252" ht="23.25" customHeight="1" s="17">
      <c r="A252" s="26" t="inlineStr">
        <is>
          <t>R0251</t>
        </is>
      </c>
      <c r="B252" s="26" t="inlineStr">
        <is>
          <t>Scopus + WoS</t>
        </is>
      </c>
      <c r="C252" s="26" t="inlineStr">
        <is>
          <t>Jin L.; Zhai X.; Wang K.; Zhang K.; Wu D.; Nazir A.; Jiang J.; Liao W.-H.</t>
        </is>
      </c>
      <c r="D252" s="26" t="n">
        <v>2024</v>
      </c>
      <c r="E252" s="27" t="inlineStr">
        <is>
          <t>Big data, machine learning, and digital twin assisted additive manufacturing: A review</t>
        </is>
      </c>
      <c r="F252" s="26" t="inlineStr">
        <is>
          <t>Materials and Design</t>
        </is>
      </c>
      <c r="G252" s="26" t="inlineStr">
        <is>
          <t>Article</t>
        </is>
      </c>
      <c r="H252" s="26" t="inlineStr">
        <is>
          <t>10.1016/j.matdes.2024.113086</t>
        </is>
      </c>
      <c r="I252" s="26" t="inlineStr">
        <is>
          <t>TA</t>
        </is>
      </c>
      <c r="J252" s="37" t="inlineStr">
        <is>
          <t>Exclude</t>
        </is>
      </c>
      <c r="K252" s="37" t="inlineStr">
        <is>
          <t>Wrong publication type</t>
        </is>
      </c>
      <c r="L252" s="28" t="inlineStr">
        <is>
          <t>Strong candidate: twin + supply chain + AI all in title/abstract</t>
        </is>
      </c>
      <c r="M252" s="37" t="inlineStr">
        <is>
          <t>"This review paper aims to examine present research and development in the convergence of big data, machine learning, and digital twin-assisted AM"; cadena sólo como aspecto optimizable. Valor para snowballing: medio (ML y gemelos en manufactura aditiva).</t>
        </is>
      </c>
      <c r="N252" s="69" t="inlineStr">
        <is>
          <t>E4</t>
        </is>
      </c>
      <c r="O252" s="69" t="n">
        <v>6</v>
      </c>
      <c r="P252" s="69" t="inlineStr">
        <is>
          <t>Exclude</t>
        </is>
      </c>
      <c r="Q252" s="69" t="inlineStr">
        <is>
          <t>E4</t>
        </is>
      </c>
      <c r="R252" s="69" t="inlineStr">
        <is>
          <t>"This review paper aims to examine present research and development in the convergence of big data, machine learning, and digital twin-assisted AM"; cadena sólo como aspecto optimizable. Valor para snowballing: medio (ML y gemelos en manufactura aditiva).</t>
        </is>
      </c>
      <c r="S252" s="69" t="n"/>
    </row>
    <row r="253" ht="23.25" customHeight="1" s="17">
      <c r="A253" s="26" t="inlineStr">
        <is>
          <t>R0252</t>
        </is>
      </c>
      <c r="B253" s="26" t="inlineStr">
        <is>
          <t>Scopus + WoS</t>
        </is>
      </c>
      <c r="C253" s="26" t="inlineStr">
        <is>
          <t>Corsini R.R.; Costa A.; Fichera S.; Framinan J.M.</t>
        </is>
      </c>
      <c r="D253" s="26" t="n">
        <v>2024</v>
      </c>
      <c r="E253" s="27" t="inlineStr">
        <is>
          <t>Digital twin model with machine learning and optimization for resilient production–distribution systems under disruptions</t>
        </is>
      </c>
      <c r="F253" s="26" t="inlineStr">
        <is>
          <t>Computers and Industrial Engineering</t>
        </is>
      </c>
      <c r="G253" s="26" t="inlineStr">
        <is>
          <t>Article</t>
        </is>
      </c>
      <c r="H253" s="26" t="inlineStr">
        <is>
          <t>10.1016/j.cie.2024.110145</t>
        </is>
      </c>
      <c r="I253" s="26" t="inlineStr">
        <is>
          <t>TA</t>
        </is>
      </c>
      <c r="J253" s="37" t="inlineStr">
        <is>
          <t>Include</t>
        </is>
      </c>
      <c r="K253" s="37" t="n"/>
      <c r="L253" s="28" t="inlineStr">
        <is>
          <t>Strong candidate: twin + supply chain + AI all in title/abstract</t>
        </is>
      </c>
      <c r="M253" s="37" t="inlineStr">
        <is>
          <t>Gemelo de sistema producción-distribución bajo disrupciones (CAIE, caso semiconductores): "The digital twin architecture combines data analytics, simulation modeling, machine learning, and a metaheuristic. More specifically, an Artificial Neural Network learns from the manufacturer's operations and generates predictive models"; ajusta parámetros de reabastecimiento.</t>
        </is>
      </c>
      <c r="N253" s="69" t="inlineStr">
        <is>
          <t>I</t>
        </is>
      </c>
      <c r="O253" s="69" t="n">
        <v>6</v>
      </c>
      <c r="P253" s="69" t="inlineStr">
        <is>
          <t>Include</t>
        </is>
      </c>
      <c r="Q253" s="69" t="inlineStr">
        <is>
          <t>I</t>
        </is>
      </c>
      <c r="R253" s="69" t="inlineStr">
        <is>
          <t>Gemelo de sistema producción-distribución bajo disrupciones (CAIE, caso semiconductores): "The digital twin architecture combines data analytics, simulation modeling, machine learning, and a metaheuristic. More specifically, an Artificial Neural Network learns from the manufacturer's operations and generates predictive models"; ajusta parámetros de reabastecimiento.</t>
        </is>
      </c>
      <c r="S253" s="69" t="n"/>
    </row>
    <row r="254" ht="23.25" customHeight="1" s="17">
      <c r="A254" s="26" t="inlineStr">
        <is>
          <t>R0253</t>
        </is>
      </c>
      <c r="B254" s="26" t="inlineStr">
        <is>
          <t>Scopus + WoS</t>
        </is>
      </c>
      <c r="C254" s="26" t="inlineStr">
        <is>
          <t>Choi J.W.; Patil S.; Lee C.; Park J.-H.</t>
        </is>
      </c>
      <c r="D254" s="26" t="n">
        <v>2024</v>
      </c>
      <c r="E254" s="27" t="inlineStr">
        <is>
          <t>Instance Segmentation and Digital Twin Use Case for WIP Tracking in Heavy Industry</t>
        </is>
      </c>
      <c r="F254" s="26" t="inlineStr">
        <is>
          <t>IFIP Advances in Information and Communication Technology</t>
        </is>
      </c>
      <c r="G254" s="26" t="inlineStr">
        <is>
          <t>Conference paper</t>
        </is>
      </c>
      <c r="H254" s="26" t="inlineStr">
        <is>
          <t>10.1007/978-3-031-71633-1_26</t>
        </is>
      </c>
      <c r="I254" s="26" t="inlineStr">
        <is>
          <t>TA</t>
        </is>
      </c>
      <c r="J254" s="37" t="inlineStr">
        <is>
          <t>Include</t>
        </is>
      </c>
      <c r="K254" s="37" t="n"/>
      <c r="L254" s="28" t="inlineStr">
        <is>
          <t>Strong candidate: twin + supply chain + AI all in title/abstract</t>
        </is>
      </c>
      <c r="M254" s="37" t="inlineStr">
        <is>
          <t>[Make] Gemelo de planta ferroviaria con visión por IA (segmentación de instancias) para rastrear piezas y "facilitate work-in-process logistics within factory workstations"; "timely production and logistics critical". Make (logística intra-planta).</t>
        </is>
      </c>
      <c r="N254" s="69" t="inlineStr">
        <is>
          <t>I</t>
        </is>
      </c>
      <c r="O254" s="69" t="n">
        <v>6</v>
      </c>
      <c r="P254" s="69" t="inlineStr">
        <is>
          <t>Include</t>
        </is>
      </c>
      <c r="Q254" s="69" t="inlineStr">
        <is>
          <t>I</t>
        </is>
      </c>
      <c r="R254" s="69" t="inlineStr">
        <is>
          <t>Gemelo de planta ferroviaria con visión por IA (segmentación de instancias) para rastrear piezas y "facilitate work-in-process logistics within factory workstations"; "timely production and logistics critical". Make (logística intra-planta).</t>
        </is>
      </c>
      <c r="S254" s="69" t="inlineStr">
        <is>
          <t>Make</t>
        </is>
      </c>
    </row>
    <row r="255" ht="34.5" customHeight="1" s="17">
      <c r="A255" s="26" t="inlineStr">
        <is>
          <t>R0254</t>
        </is>
      </c>
      <c r="B255" s="26" t="inlineStr">
        <is>
          <t>Scopus + WoS</t>
        </is>
      </c>
      <c r="C255" s="26" t="inlineStr">
        <is>
          <t>Dossou P.-E.; Alvarez-de-los-Mozos E.; Pawlewski P.</t>
        </is>
      </c>
      <c r="D255" s="26" t="n">
        <v>2024</v>
      </c>
      <c r="E255" s="27" t="inlineStr">
        <is>
          <t>A Conceptual Framework for Optimizing Performance in Sustainable Supply Chain Management and Digital Transformation towards Industry 5.0</t>
        </is>
      </c>
      <c r="F255" s="26" t="inlineStr">
        <is>
          <t>Mathematics</t>
        </is>
      </c>
      <c r="G255" s="26" t="inlineStr">
        <is>
          <t>Article</t>
        </is>
      </c>
      <c r="H255" s="26" t="inlineStr">
        <is>
          <t>10.3390/math12172737</t>
        </is>
      </c>
      <c r="I255" s="26" t="inlineStr">
        <is>
          <t>TA</t>
        </is>
      </c>
      <c r="J255" s="37" t="inlineStr">
        <is>
          <t>Exclude</t>
        </is>
      </c>
      <c r="K255" s="37" t="inlineStr">
        <is>
          <t>No AI/ML component</t>
        </is>
      </c>
      <c r="L255" s="28" t="inlineStr">
        <is>
          <t>Strong candidate: twin + supply chain + AI all in title/abstract</t>
        </is>
      </c>
      <c r="M255" s="37" t="inlineStr">
        <is>
          <t>Marco conceptual de SCM sostenible con dos casos de uso ("two use cases on optimization and digital twin"); la IA sólo como concepto de Industria 4.0 mencionado ("Industry 4.0 concepts like digital twin and artificial intelligence"), sin método aplicado ni propuesto.</t>
        </is>
      </c>
      <c r="N255" s="69" t="inlineStr">
        <is>
          <t>E3</t>
        </is>
      </c>
      <c r="O255" s="69" t="n">
        <v>6</v>
      </c>
      <c r="P255" s="69" t="inlineStr">
        <is>
          <t>Exclude</t>
        </is>
      </c>
      <c r="Q255" s="69" t="inlineStr">
        <is>
          <t>E3</t>
        </is>
      </c>
      <c r="R255" s="69" t="inlineStr">
        <is>
          <t>Marco conceptual de SCM sostenible con dos casos de uso ("two use cases on optimization and digital twin"); la IA sólo como concepto de Industria 4.0 mencionado ("Industry 4.0 concepts like digital twin and artificial intelligence"), sin método aplicado ni propuesto.</t>
        </is>
      </c>
      <c r="S255" s="69" t="n"/>
    </row>
    <row r="256" ht="23.25" customHeight="1" s="17">
      <c r="A256" s="26" t="inlineStr">
        <is>
          <t>R0255</t>
        </is>
      </c>
      <c r="B256" s="26" t="inlineStr">
        <is>
          <t>Scopus</t>
        </is>
      </c>
      <c r="C256" s="26" t="inlineStr">
        <is>
          <t>Zhang J.; Wang Y.; Jia Z.; Ren L.</t>
        </is>
      </c>
      <c r="D256" s="26" t="n">
        <v>2024</v>
      </c>
      <c r="E256" s="27" t="inlineStr">
        <is>
          <t>A Supply Chain Digital Twins Framework with Generative Knowledge Graph</t>
        </is>
      </c>
      <c r="F256" s="26" t="inlineStr">
        <is>
          <t>Proceedings - 2024 IEEE Smart World Congress, SWC 2024 - 2024 IEEE Ubiquitous Intelligence and Computing, Autonomous and Trusted Computing, Digital Twin, Metaverse, Privacy Computing and Data Security, Scalable Computing and Communications</t>
        </is>
      </c>
      <c r="G256" s="26" t="inlineStr">
        <is>
          <t>Conference paper</t>
        </is>
      </c>
      <c r="H256" s="26" t="inlineStr">
        <is>
          <t>10.1109/swc62898.2024.00315</t>
        </is>
      </c>
      <c r="I256" s="26" t="inlineStr">
        <is>
          <t>TA</t>
        </is>
      </c>
      <c r="J256" s="37" t="inlineStr">
        <is>
          <t>Include</t>
        </is>
      </c>
      <c r="K256" s="37" t="n"/>
      <c r="L256" s="28" t="inlineStr">
        <is>
          <t>Strong candidate: twin + supply chain + AI all in title/abstract</t>
        </is>
      </c>
      <c r="M256" s="37" t="inlineStr">
        <is>
          <t>Conceptual: "this paper designs the supply chain digital twins framework with generative knowledge graph(SCDT-GKG), based on digital twin technology" con IA generativa (AIGC) sobre un modelo pentadimensional de gemelo de cadena.</t>
        </is>
      </c>
      <c r="N256" s="69" t="inlineStr">
        <is>
          <t>I</t>
        </is>
      </c>
      <c r="O256" s="69" t="n">
        <v>6</v>
      </c>
      <c r="P256" s="69" t="inlineStr">
        <is>
          <t>Include</t>
        </is>
      </c>
      <c r="Q256" s="69" t="inlineStr">
        <is>
          <t>I</t>
        </is>
      </c>
      <c r="R256" s="69" t="inlineStr">
        <is>
          <t>Conceptual: "this paper designs the supply chain digital twins framework with generative knowledge graph(SCDT-GKG), based on digital twin technology" con IA generativa (AIGC) sobre un modelo pentadimensional de gemelo de cadena.</t>
        </is>
      </c>
      <c r="S256" s="69" t="n"/>
    </row>
    <row r="257" ht="23.25" customHeight="1" s="17">
      <c r="A257" s="26" t="inlineStr">
        <is>
          <t>R0256</t>
        </is>
      </c>
      <c r="B257" s="26" t="inlineStr">
        <is>
          <t>Scopus</t>
        </is>
      </c>
      <c r="C257" s="26" t="inlineStr">
        <is>
          <t>Tyapukhin A.; Yumatov A.; Vidishcheva R.</t>
        </is>
      </c>
      <c r="D257" s="26" t="n">
        <v>2024</v>
      </c>
      <c r="E257" s="27" t="inlineStr">
        <is>
          <t>Digital Twin Prototype Structure of Value, Demand and Supply Chain Management</t>
        </is>
      </c>
      <c r="F257" s="26" t="inlineStr">
        <is>
          <t>Lecture Notes in Information Systems and Organisation</t>
        </is>
      </c>
      <c r="G257" s="26" t="inlineStr">
        <is>
          <t>Conference paper</t>
        </is>
      </c>
      <c r="H257" s="26" t="inlineStr">
        <is>
          <t>10.1007/978-3-031-66801-2_19</t>
        </is>
      </c>
      <c r="I257" s="26" t="inlineStr">
        <is>
          <t>TA</t>
        </is>
      </c>
      <c r="J257" s="37" t="inlineStr">
        <is>
          <t>Exclude</t>
        </is>
      </c>
      <c r="K257" s="37" t="inlineStr">
        <is>
          <t>No AI/ML component</t>
        </is>
      </c>
      <c r="L257" s="28" t="inlineStr">
        <is>
          <t>Strong candidate: twin + supply chain + AI all in title/abstract</t>
        </is>
      </c>
      <c r="M257" s="37" t="inlineStr">
        <is>
          <t>[Antecedente C8: medio] Resuelto 2026-09-05 por Rodrigo: no implementa. Estructura conceptual de prototipo de gemelo para cadenas de valor, demanda y suministro; la IA sólo como posibilidad justificada ("the justification of the possibility of using artificial intelligence in the management of non-physical objects of chain management"), sin método aplicado ni propuesto.</t>
        </is>
      </c>
      <c r="N257" s="69" t="inlineStr">
        <is>
          <t>E3</t>
        </is>
      </c>
      <c r="O257" s="69" t="n">
        <v>6</v>
      </c>
      <c r="P257" s="69" t="inlineStr">
        <is>
          <t>Include</t>
        </is>
      </c>
      <c r="Q257" s="69" t="inlineStr">
        <is>
          <t>I</t>
        </is>
      </c>
      <c r="R257" s="69" t="inlineStr">
        <is>
          <t>Estructura conceptual de prototipo de gemelo para gestión de cadenas de valor, demanda y suministro; la IA como posibilidad justificada en los resultados ("the justification of the possibility of using artificial intelligence in the management of non-physical objects of chain management"). Incluido por sensibilidad; resumen muy abstracto, riesgo E3 en texto completo.</t>
        </is>
      </c>
      <c r="S257" s="69" t="n"/>
    </row>
    <row r="258" ht="23.25" customHeight="1" s="17">
      <c r="A258" s="26" t="inlineStr">
        <is>
          <t>R0257</t>
        </is>
      </c>
      <c r="B258" s="26" t="inlineStr">
        <is>
          <t>Scopus + WoS</t>
        </is>
      </c>
      <c r="C258" s="26" t="inlineStr">
        <is>
          <t>Ahatsi E.; Akpan J.; Olanrewaju O.</t>
        </is>
      </c>
      <c r="D258" s="26" t="n">
        <v>2024</v>
      </c>
      <c r="E258" s="27" t="inlineStr">
        <is>
          <t>The Convergence of Artificial Intelligence and Big Data for Humanitarian Supply Chain Resilience</t>
        </is>
      </c>
      <c r="F258" s="26" t="inlineStr">
        <is>
          <t>2024 7th IEEE International Humanitarian Technologies Conference, IHTC 2024</t>
        </is>
      </c>
      <c r="G258" s="26" t="inlineStr">
        <is>
          <t>Conference paper</t>
        </is>
      </c>
      <c r="H258" s="26" t="inlineStr">
        <is>
          <t>10.1109/ihtc61819.2024.10855125</t>
        </is>
      </c>
      <c r="I258" s="26" t="inlineStr">
        <is>
          <t>TA</t>
        </is>
      </c>
      <c r="J258" s="37" t="inlineStr">
        <is>
          <t>Exclude</t>
        </is>
      </c>
      <c r="K258" s="37" t="inlineStr">
        <is>
          <t>Wrong publication type</t>
        </is>
      </c>
      <c r="L258" s="28" t="inlineStr">
        <is>
          <t>Strong candidate: twin + supply chain + AI all in title/abstract</t>
        </is>
      </c>
      <c r="M258" s="37" t="inlineStr">
        <is>
          <t>Síntesis de casos ("This paper presents a summary of 10 case studies employing primarily 2 of these digital technologies (artificial intelligence, and big data) in the humanitarian supply chain"); gemelo sólo en la lista de ocho tecnologías. Valor para snowballing: medio (ajustado en la auditoría final 2026-09-06, antes bajo: cadena humanitaria nombrada e IA como objeto de los casos).</t>
        </is>
      </c>
      <c r="N258" s="69" t="inlineStr">
        <is>
          <t>E4</t>
        </is>
      </c>
      <c r="O258" s="69" t="n">
        <v>6</v>
      </c>
      <c r="P258" s="69" t="inlineStr">
        <is>
          <t>Exclude</t>
        </is>
      </c>
      <c r="Q258" s="69" t="inlineStr">
        <is>
          <t>E4</t>
        </is>
      </c>
      <c r="R258" s="69" t="inlineStr">
        <is>
          <t>Síntesis de casos ("This paper presents a summary of 10 case studies employing primarily 2 of these digital technologies (artificial intelligence, and big data) in the humanitarian supply chain"); gemelo sólo en la lista de ocho tecnologías. Valor para snowballing: bajo.</t>
        </is>
      </c>
      <c r="S258" s="69" t="n"/>
    </row>
    <row r="259" ht="34.5" customHeight="1" s="17">
      <c r="A259" s="26" t="inlineStr">
        <is>
          <t>R0258</t>
        </is>
      </c>
      <c r="B259" s="26" t="inlineStr">
        <is>
          <t>Scopus</t>
        </is>
      </c>
      <c r="C259" s="26" t="inlineStr">
        <is>
          <t>Abdellatif G.; Alexandre P.; Fouad B.-A.; Christophe J.; Alain G.</t>
        </is>
      </c>
      <c r="D259" s="26" t="n">
        <v>2024</v>
      </c>
      <c r="E259" s="27" t="inlineStr">
        <is>
          <t>Leveraging the Metaverse for Enhanced Decision-Making in Supply Chain Management: A Framework for Addressing Industry 5.0 Challenges</t>
        </is>
      </c>
      <c r="F259" s="26" t="inlineStr">
        <is>
          <t>2024 International Conference on Smart-Digital-Green Technologies and Artificial Intelligence Sciences, CSDGAIS 2024</t>
        </is>
      </c>
      <c r="G259" s="26" t="inlineStr">
        <is>
          <t>Conference paper</t>
        </is>
      </c>
      <c r="H259" s="26" t="inlineStr">
        <is>
          <t>10.1109/csdgais64098.2024.11064834</t>
        </is>
      </c>
      <c r="I259" s="26" t="inlineStr">
        <is>
          <t>TA</t>
        </is>
      </c>
      <c r="J259" s="37" t="inlineStr">
        <is>
          <t>Exclude</t>
        </is>
      </c>
      <c r="K259" s="37" t="inlineStr">
        <is>
          <t>No digital twin/model</t>
        </is>
      </c>
      <c r="L259" s="28" t="inlineStr">
        <is>
          <t>Strong candidate: twin + supply chain + AI all in title/abstract</t>
        </is>
      </c>
      <c r="M259" s="37" t="inlineStr">
        <is>
          <t>Exploración conceptual temprana del metaverso en SCM; gemelo e IA sólo en la definición del metaverso ("integrating advanced technologies such as digital twins(DT), artificial intelligence (AI), and the Internet of Things (IoT)"); también E3.</t>
        </is>
      </c>
      <c r="N259" s="69" t="inlineStr">
        <is>
          <t>E1</t>
        </is>
      </c>
      <c r="O259" s="69" t="n">
        <v>6</v>
      </c>
      <c r="P259" s="69" t="inlineStr">
        <is>
          <t>Exclude</t>
        </is>
      </c>
      <c r="Q259" s="69" t="inlineStr">
        <is>
          <t>E1</t>
        </is>
      </c>
      <c r="R259" s="69" t="inlineStr">
        <is>
          <t>Exploración conceptual temprana del metaverso en SCM; gemelo e IA sólo en la definición del metaverso ("integrating advanced technologies such as digital twins(DT), artificial intelligence (AI), and the Internet of Things (IoT)"); también E3.</t>
        </is>
      </c>
      <c r="S259" s="69" t="n"/>
    </row>
    <row r="260" ht="23.25" customHeight="1" s="17">
      <c r="A260" s="26" t="inlineStr">
        <is>
          <t>R0259</t>
        </is>
      </c>
      <c r="B260" s="26" t="inlineStr">
        <is>
          <t>Scopus</t>
        </is>
      </c>
      <c r="C260" s="26" t="inlineStr">
        <is>
          <t>Boldt M.; Filipecka Z.; Nitschke F.; Ventre F.</t>
        </is>
      </c>
      <c r="D260" s="26" t="n">
        <v>2024</v>
      </c>
      <c r="E260" s="27" t="inlineStr">
        <is>
          <t>Digital Moon: Usage of Artificial Intelligence and Digital Twins for a Sustainable Lunar Economy</t>
        </is>
      </c>
      <c r="F260" s="26" t="inlineStr">
        <is>
          <t>Proceedings of the International Astronautical Congress, IAC</t>
        </is>
      </c>
      <c r="G260" s="26" t="inlineStr">
        <is>
          <t>Conference paper</t>
        </is>
      </c>
      <c r="H260" s="26" t="inlineStr">
        <is>
          <t>10.52202/078374-0047</t>
        </is>
      </c>
      <c r="I260" s="26" t="inlineStr">
        <is>
          <t>TA</t>
        </is>
      </c>
      <c r="J260" s="37" t="inlineStr">
        <is>
          <t>Exclude</t>
        </is>
      </c>
      <c r="K260" s="37" t="inlineStr">
        <is>
          <t>Wrong publication type</t>
        </is>
      </c>
      <c r="L260" s="28" t="inlineStr">
        <is>
          <t>Strong candidate: twin + supply chain + AI all in title/abstract</t>
        </is>
      </c>
      <c r="M260" s="37" t="inlineStr">
        <is>
          <t>Recodificado 2026-09-06 en la auditoría final (E2→E4): Análisis cualitativo que parte de una revisión del estado del arte y presenta un marco (C3): "The study begins by reviewing the current state-of-the-art technologies on the lunar economy" y "Then a framework for implementation of these technologies is presented"; dominio de economía lunar, cadena sólo como dificultad ("as well as supply chain difficulties"). Valor para snowballing: bajo. | Nota original (E2): Análisis cualitativo del papel de IA y gemelos en una economía lunar sostenible; la cadena sólo como dificultad mencionada ("as well as supply chain difficulties"), sin encuadre de cadena ni logística.</t>
        </is>
      </c>
      <c r="N260" s="69" t="inlineStr">
        <is>
          <t>E4</t>
        </is>
      </c>
      <c r="O260" s="69" t="n">
        <v>6</v>
      </c>
      <c r="P260" s="69" t="inlineStr">
        <is>
          <t>Exclude</t>
        </is>
      </c>
      <c r="Q260" s="69" t="inlineStr">
        <is>
          <t>E2</t>
        </is>
      </c>
      <c r="R260" s="69" t="inlineStr">
        <is>
          <t>Análisis cualitativo del papel de IA y gemelos en una economía lunar sostenible; la cadena sólo como dificultad mencionada ("as well as supply chain difficulties"), sin encuadre de cadena ni logística.</t>
        </is>
      </c>
      <c r="S260" s="69" t="n"/>
    </row>
    <row r="261" ht="23.25" customHeight="1" s="17">
      <c r="A261" s="26" t="inlineStr">
        <is>
          <t>R0260</t>
        </is>
      </c>
      <c r="B261" s="26" t="inlineStr">
        <is>
          <t>Scopus</t>
        </is>
      </c>
      <c r="C261" s="26" t="inlineStr">
        <is>
          <t>Waghanna P.; Reddy A.; Deshpande S.; Chavan S.; Jaiswal V.R.; Naranje V.</t>
        </is>
      </c>
      <c r="D261" s="26" t="n">
        <v>2024</v>
      </c>
      <c r="E261" s="27" t="inlineStr">
        <is>
          <t>Effects of Adopting Industry 4.0 on a Manufacturing Plant</t>
        </is>
      </c>
      <c r="F261" s="26" t="inlineStr">
        <is>
          <t>2024 11th International Conference on Reliability, Infocom Technologies and Optimization (Trends and Future Directions), ICRITO 2024</t>
        </is>
      </c>
      <c r="G261" s="26" t="inlineStr">
        <is>
          <t>Conference paper</t>
        </is>
      </c>
      <c r="H261" s="26" t="inlineStr">
        <is>
          <t>10.1109/icrito61523.2024.10522189</t>
        </is>
      </c>
      <c r="I261" s="26" t="inlineStr">
        <is>
          <t>TA</t>
        </is>
      </c>
      <c r="J261" s="37" t="inlineStr">
        <is>
          <t>Exclude</t>
        </is>
      </c>
      <c r="K261" s="37" t="inlineStr">
        <is>
          <t>Wrong publication type</t>
        </is>
      </c>
      <c r="L261" s="28" t="inlineStr">
        <is>
          <t>Strong candidate: twin + supply chain + AI all in title/abstract</t>
        </is>
      </c>
      <c r="M261" s="37" t="inlineStr">
        <is>
          <t>"This survey is a practical guide for anyone interested in understanding the current state and where Smart Manufacturing is headed"; gemelos y cadena inteligente como aplicaciones. Valor para snowballing: bajo.</t>
        </is>
      </c>
      <c r="N261" s="69" t="inlineStr">
        <is>
          <t>E4</t>
        </is>
      </c>
      <c r="O261" s="69" t="n">
        <v>6</v>
      </c>
      <c r="P261" s="69" t="inlineStr">
        <is>
          <t>Exclude</t>
        </is>
      </c>
      <c r="Q261" s="69" t="inlineStr">
        <is>
          <t>E4</t>
        </is>
      </c>
      <c r="R261" s="69" t="inlineStr">
        <is>
          <t>"This survey is a practical guide for anyone interested in understanding the current state and where Smart Manufacturing is headed"; gemelos y cadena inteligente como aplicaciones. Valor para snowballing: bajo.</t>
        </is>
      </c>
      <c r="S261" s="69" t="n"/>
    </row>
    <row r="262" ht="23.25" customHeight="1" s="17">
      <c r="A262" s="26" t="inlineStr">
        <is>
          <t>R0261</t>
        </is>
      </c>
      <c r="B262" s="26" t="inlineStr">
        <is>
          <t>Scopus</t>
        </is>
      </c>
      <c r="C262" s="26" t="inlineStr">
        <is>
          <t>Goel V.; Arora A.; Rani R.; Goel N.; Thakar P.; Arora H.</t>
        </is>
      </c>
      <c r="D262" s="26" t="n">
        <v>2024</v>
      </c>
      <c r="E262" s="27" t="inlineStr">
        <is>
          <t>Machine Learning Model for a Digital Twin for Predictive Maintenance and Optimization in A Fruit Supply Chain</t>
        </is>
      </c>
      <c r="F262" s="26" t="inlineStr">
        <is>
          <t>2024 International Conference on Artificial Intelligence and Quantum Computation-Based Sensor Applications, ICAIQSA 2024 - Proceedings</t>
        </is>
      </c>
      <c r="G262" s="26" t="inlineStr">
        <is>
          <t>Conference paper</t>
        </is>
      </c>
      <c r="H262" s="26" t="inlineStr">
        <is>
          <t>10.1109/icaiqsa64000.2024.10882378</t>
        </is>
      </c>
      <c r="I262" s="26" t="inlineStr">
        <is>
          <t>TA</t>
        </is>
      </c>
      <c r="J262" s="37" t="inlineStr">
        <is>
          <t>Include</t>
        </is>
      </c>
      <c r="K262" s="37" t="n"/>
      <c r="L262" s="28" t="inlineStr">
        <is>
          <t>Strong candidate: twin + supply chain + AI all in title/abstract</t>
        </is>
      </c>
      <c r="M262" s="37" t="inlineStr">
        <is>
          <t>"the development of a machine learning model for the implementation of a digital twin to help fruit storage warehouses prolong the shelf-life" (Decision Tree, Random Forest, Naïve Bayes, SVM); "Digital twin creates a virtual replica of the supply chain".</t>
        </is>
      </c>
      <c r="N262" s="69" t="inlineStr">
        <is>
          <t>I</t>
        </is>
      </c>
      <c r="O262" s="69" t="n">
        <v>6</v>
      </c>
      <c r="P262" s="69" t="inlineStr">
        <is>
          <t>Include</t>
        </is>
      </c>
      <c r="Q262" s="69" t="inlineStr">
        <is>
          <t>I</t>
        </is>
      </c>
      <c r="R262" s="69" t="inlineStr">
        <is>
          <t>"the development of a machine learning model for the implementation of a digital twin to help fruit storage warehouses prolong the shelf-life" (Decision Tree, Random Forest, Naïve Bayes, SVM); "Digital twin creates a virtual replica of the supply chain".</t>
        </is>
      </c>
      <c r="S262" s="69" t="n"/>
    </row>
    <row r="263" ht="23.25" customHeight="1" s="17">
      <c r="A263" s="26" t="inlineStr">
        <is>
          <t>R0262</t>
        </is>
      </c>
      <c r="B263" s="26" t="inlineStr">
        <is>
          <t>Scopus</t>
        </is>
      </c>
      <c r="C263" s="26" t="inlineStr">
        <is>
          <t>Taniguchi E.; Thompson R.G.; Qureshi A.G.</t>
        </is>
      </c>
      <c r="D263" s="26" t="n">
        <v>2024</v>
      </c>
      <c r="E263" s="27" t="inlineStr">
        <is>
          <t>Recent developments in urban freight analytics for collaborative city logistics</t>
        </is>
      </c>
      <c r="F263" s="26" t="inlineStr">
        <is>
          <t>Transportation Research Procedia</t>
        </is>
      </c>
      <c r="G263" s="26" t="inlineStr">
        <is>
          <t>Conference paper</t>
        </is>
      </c>
      <c r="H263" s="26" t="inlineStr">
        <is>
          <t>10.1016/j.trpro.2024.03.003</t>
        </is>
      </c>
      <c r="I263" s="26" t="inlineStr">
        <is>
          <t>TA</t>
        </is>
      </c>
      <c r="J263" s="37" t="inlineStr">
        <is>
          <t>Exclude</t>
        </is>
      </c>
      <c r="K263" s="37" t="inlineStr">
        <is>
          <t>Wrong publication type</t>
        </is>
      </c>
      <c r="L263" s="28" t="inlineStr">
        <is>
          <t>Strong candidate: twin + supply chain + AI all in title/abstract</t>
        </is>
      </c>
      <c r="M263" s="37" t="inlineStr">
        <is>
          <t>"This paper presents recent developments in urban freight analytics for collaborative city logistics"; gemelos e IA como tecnologías emergentes descritas. Valor para snowballing: medio.</t>
        </is>
      </c>
      <c r="N263" s="69" t="inlineStr">
        <is>
          <t>E4</t>
        </is>
      </c>
      <c r="O263" s="69" t="n">
        <v>6</v>
      </c>
      <c r="P263" s="69" t="inlineStr">
        <is>
          <t>Exclude</t>
        </is>
      </c>
      <c r="Q263" s="69" t="inlineStr">
        <is>
          <t>E4</t>
        </is>
      </c>
      <c r="R263" s="69" t="inlineStr">
        <is>
          <t>"This paper presents recent developments in urban freight analytics for collaborative city logistics"; gemelos e IA como tecnologías emergentes descritas. Valor para snowballing: medio.</t>
        </is>
      </c>
      <c r="S263" s="69" t="n"/>
    </row>
    <row r="264" ht="23.25" customHeight="1" s="17">
      <c r="A264" s="26" t="inlineStr">
        <is>
          <t>R0263</t>
        </is>
      </c>
      <c r="B264" s="26" t="inlineStr">
        <is>
          <t>Scopus</t>
        </is>
      </c>
      <c r="C264" s="26" t="inlineStr">
        <is>
          <t>Ghabak V.; Chaugule R.</t>
        </is>
      </c>
      <c r="D264" s="26" t="n">
        <v>2024</v>
      </c>
      <c r="E264" s="27" t="inlineStr">
        <is>
          <t>Digital Twin Framework in Supply Chain Governance</t>
        </is>
      </c>
      <c r="F264" s="26" t="inlineStr">
        <is>
          <t>Proceedings - International Conference on Computing, Power, and Communication Technologies, IC2PCT 2024</t>
        </is>
      </c>
      <c r="G264" s="26" t="inlineStr">
        <is>
          <t>Conference paper</t>
        </is>
      </c>
      <c r="H264" s="26" t="inlineStr">
        <is>
          <t>10.1109/ic2pct60090.2024.10486732</t>
        </is>
      </c>
      <c r="I264" s="26" t="inlineStr">
        <is>
          <t>TA</t>
        </is>
      </c>
      <c r="J264" s="37" t="inlineStr">
        <is>
          <t>Exclude</t>
        </is>
      </c>
      <c r="K264" s="37" t="inlineStr">
        <is>
          <t>Wrong publication type</t>
        </is>
      </c>
      <c r="L264" s="28" t="inlineStr">
        <is>
          <t>Strong candidate: twin + supply chain + AI all in title/abstract</t>
        </is>
      </c>
      <c r="M264" s="37" t="inlineStr">
        <is>
          <t>Recodificado 2026-09-06 en la auditoría final (E3→E4): Estudio basado en casos y revisiones (C3): "through the use of case studies, literature reviews, and qualitative methods"; gemelos de cadena como objeto ("virtual copies of actual supply chain systems"), IA sólo listada ("Digital Twin (DT), Big Data, artificial intelligence (AI), Internet of Things (IoT), etc."). Sale del pool Antecedente C8 por ser revisión. Valor para snowballing: medio. | Nota original (E3) (antes en el pool de antecedentes, valor medio): Marco conceptual para implementar gemelos en la gobernanza de cadena (casos, revisiones, métodos cualitativos); la IA sólo en la lista de tecnologías disruptivas ("Digital Twin (DT), Big Data, artificial intelligence (AI), Internet of Things (IoT), etc."), sin método.</t>
        </is>
      </c>
      <c r="N264" s="69" t="inlineStr">
        <is>
          <t>E4</t>
        </is>
      </c>
      <c r="O264" s="69" t="n">
        <v>6</v>
      </c>
      <c r="P264" s="69" t="inlineStr">
        <is>
          <t>Exclude</t>
        </is>
      </c>
      <c r="Q264" s="69" t="inlineStr">
        <is>
          <t>E3</t>
        </is>
      </c>
      <c r="R264" s="69" t="inlineStr">
        <is>
          <t>Marco conceptual para implementar gemelos en la gobernanza de cadena (casos, revisiones, métodos cualitativos); la IA sólo en la lista de tecnologías disruptivas ("Digital Twin (DT), Big Data, artificial intelligence (AI), Internet of Things (IoT), etc."), sin método.</t>
        </is>
      </c>
      <c r="S264" s="69" t="n"/>
    </row>
    <row r="265" ht="34.5" customHeight="1" s="17">
      <c r="A265" s="26" t="inlineStr">
        <is>
          <t>R0264</t>
        </is>
      </c>
      <c r="B265" s="26" t="inlineStr">
        <is>
          <t>Scopus</t>
        </is>
      </c>
      <c r="C265" s="26" t="inlineStr">
        <is>
          <t>Rizqi Z.U.; Chou S.-Y.; Yu T.H.-K.</t>
        </is>
      </c>
      <c r="D265" s="26" t="n">
        <v>2024</v>
      </c>
      <c r="E265" s="27" t="inlineStr">
        <is>
          <t>Data-driven approach for dwell point positioning in automated storage and retrieval system: a metaheuristic-optimized ensemble learning</t>
        </is>
      </c>
      <c r="F265" s="26" t="inlineStr">
        <is>
          <t>Annals of Operations Research</t>
        </is>
      </c>
      <c r="G265" s="26" t="inlineStr">
        <is>
          <t>Article</t>
        </is>
      </c>
      <c r="H265" s="26" t="inlineStr">
        <is>
          <t>10.1007/s10479-024-06342-5</t>
        </is>
      </c>
      <c r="I265" s="26" t="inlineStr">
        <is>
          <t>TA</t>
        </is>
      </c>
      <c r="J265" s="37" t="inlineStr">
        <is>
          <t>Exclude</t>
        </is>
      </c>
      <c r="K265" s="37" t="inlineStr">
        <is>
          <t>No digital twin/model</t>
        </is>
      </c>
      <c r="L265" s="28" t="inlineStr">
        <is>
          <t>Strong candidate: twin + supply chain + AI all in title/abstract</t>
        </is>
      </c>
      <c r="M265" s="37" t="inlineStr">
        <is>
          <t>Posicionamiento del punto de reposo en AS/RS con aprendizaje de conjunto (regresión logística, KNN, árbol) optimizado por metaheurística; el gemelo sólo como realización futura apoyada ("this study also supports the realization of digital twin for smart warehouse").</t>
        </is>
      </c>
      <c r="N265" s="69" t="inlineStr">
        <is>
          <t>E1</t>
        </is>
      </c>
      <c r="O265" s="69" t="n">
        <v>6</v>
      </c>
      <c r="P265" s="69" t="inlineStr">
        <is>
          <t>Exclude</t>
        </is>
      </c>
      <c r="Q265" s="69" t="inlineStr">
        <is>
          <t>E1</t>
        </is>
      </c>
      <c r="R265" s="69" t="inlineStr">
        <is>
          <t>Posicionamiento del punto de reposo en AS/RS con aprendizaje de conjunto (regresión logística, KNN, árbol) optimizado por metaheurística; el gemelo sólo como realización futura apoyada ("this study also supports the realization of digital twin for smart warehouse").</t>
        </is>
      </c>
      <c r="S265" s="69" t="n"/>
    </row>
    <row r="266" ht="23.25" customHeight="1" s="17">
      <c r="A266" s="26" t="inlineStr">
        <is>
          <t>R0265</t>
        </is>
      </c>
      <c r="B266" s="26" t="inlineStr">
        <is>
          <t>Scopus + WoS</t>
        </is>
      </c>
      <c r="C266" s="26" t="inlineStr">
        <is>
          <t>Javed A.; Basit A.; Ejaz F.; Hameed A.; Fodor Z.J.; Hossain M.B.</t>
        </is>
      </c>
      <c r="D266" s="26" t="n">
        <v>2024</v>
      </c>
      <c r="E266" s="27" t="inlineStr">
        <is>
          <t>The role of advanced technologies and supply chain collaboration: during COVID-19 on sustainable supply chain performance</t>
        </is>
      </c>
      <c r="F266" s="26" t="inlineStr">
        <is>
          <t>Discover Sustainability</t>
        </is>
      </c>
      <c r="G266" s="26" t="inlineStr">
        <is>
          <t>Article</t>
        </is>
      </c>
      <c r="H266" s="26" t="inlineStr">
        <is>
          <t>10.1007/s43621-024-00228-z</t>
        </is>
      </c>
      <c r="I266" s="26" t="inlineStr">
        <is>
          <t>TA</t>
        </is>
      </c>
      <c r="J266" s="37" t="inlineStr">
        <is>
          <t>Exclude</t>
        </is>
      </c>
      <c r="K266" s="37" t="inlineStr">
        <is>
          <t>No digital twin/model</t>
        </is>
      </c>
      <c r="L266" s="28" t="inlineStr">
        <is>
          <t>Strong candidate: twin + supply chain + AI all in title/abstract</t>
        </is>
      </c>
      <c r="M266" s="37" t="inlineStr">
        <is>
          <t>Encuesta con modelado de ecuaciones estructurales en empresas de Pakistán (regla C4): "structural equation modeling and data collected from Pakistani companies"; gemelo e IA como constructos de tecnologías avanzadas; también E3.</t>
        </is>
      </c>
      <c r="N266" s="69" t="inlineStr">
        <is>
          <t>E1</t>
        </is>
      </c>
      <c r="O266" s="69" t="n">
        <v>6</v>
      </c>
      <c r="P266" s="69" t="inlineStr">
        <is>
          <t>Exclude</t>
        </is>
      </c>
      <c r="Q266" s="69" t="inlineStr">
        <is>
          <t>E1</t>
        </is>
      </c>
      <c r="R266" s="69" t="inlineStr">
        <is>
          <t>Encuesta con modelado de ecuaciones estructurales en empresas de Pakistán (regla C4): "structural equation modeling and data collected from Pakistani companies"; gemelo e IA como constructos de tecnologías avanzadas; también E3.</t>
        </is>
      </c>
      <c r="S266" s="69" t="n"/>
    </row>
    <row r="267" ht="23.25" customHeight="1" s="17">
      <c r="A267" s="26" t="inlineStr">
        <is>
          <t>R0266</t>
        </is>
      </c>
      <c r="B267" s="26" t="inlineStr">
        <is>
          <t>Scopus + WoS</t>
        </is>
      </c>
      <c r="C267" s="26" t="inlineStr">
        <is>
          <t>Vedashree R.; Ashok P.; Pillai S.</t>
        </is>
      </c>
      <c r="D267" s="26" t="n">
        <v>2024</v>
      </c>
      <c r="E267" s="27" t="inlineStr">
        <is>
          <t>Transforming Cold Chain Management: The Role of Digital Twins in Post-Harvest Logistics</t>
        </is>
      </c>
      <c r="F267" s="26" t="inlineStr">
        <is>
          <t>2024 2nd World Conference on Communication and Computing, WCONF 2024</t>
        </is>
      </c>
      <c r="G267" s="26" t="inlineStr">
        <is>
          <t>Conference paper</t>
        </is>
      </c>
      <c r="H267" s="26" t="inlineStr">
        <is>
          <t>10.1109/wconf61366.2024.10691976</t>
        </is>
      </c>
      <c r="I267" s="26" t="inlineStr">
        <is>
          <t>TA</t>
        </is>
      </c>
      <c r="J267" s="37" t="inlineStr">
        <is>
          <t>Exclude</t>
        </is>
      </c>
      <c r="K267" s="37" t="inlineStr">
        <is>
          <t>No AI/ML component</t>
        </is>
      </c>
      <c r="L267" s="28" t="inlineStr">
        <is>
          <t>Strong candidate: twin + supply chain + AI all in title/abstract</t>
        </is>
      </c>
      <c r="M267" s="37" t="inlineStr">
        <is>
          <t>[Antecedente C8: medio] Implementación breve de gemelo con IoT para la cadena poscosecha ("a brief implementation of the technologies Digital Twins (DT) along with the Internet of Things (IoT)"); el ML sólo en la descripción genérica de los gemelos ("sensors, data analytics, and machine learning"), sin método aplicado.</t>
        </is>
      </c>
      <c r="N267" s="69" t="inlineStr">
        <is>
          <t>E3</t>
        </is>
      </c>
      <c r="O267" s="69" t="n">
        <v>6</v>
      </c>
      <c r="P267" s="69" t="inlineStr">
        <is>
          <t>Exclude</t>
        </is>
      </c>
      <c r="Q267" s="69" t="inlineStr">
        <is>
          <t>E3</t>
        </is>
      </c>
      <c r="R267" s="69" t="inlineStr">
        <is>
          <t>Implementación breve de gemelo con IoT para la cadena poscosecha ("a brief implementation of the technologies Digital Twins (DT) along with the Internet of Things (IoT)"); el ML sólo en la descripción genérica de los gemelos ("sensors, data analytics, and machine learning"), sin método aplicado.</t>
        </is>
      </c>
      <c r="S267" s="69" t="n"/>
    </row>
    <row r="268" ht="34.5" customHeight="1" s="17">
      <c r="A268" s="26" t="inlineStr">
        <is>
          <t>R0267</t>
        </is>
      </c>
      <c r="B268" s="26" t="inlineStr">
        <is>
          <t>Scopus</t>
        </is>
      </c>
      <c r="C268" s="26" t="inlineStr">
        <is>
          <t>Xing J.; Yang X.; Cao C.; Meng L.; Ning Y.; Liu H.; Wang S.</t>
        </is>
      </c>
      <c r="D268" s="26" t="n">
        <v>2024</v>
      </c>
      <c r="E268" s="27" t="inlineStr">
        <is>
          <t>Construction of Beidou Space Time Technology Application Micromajor and Practice of Characteristic New Engineering Education</t>
        </is>
      </c>
      <c r="F268" s="26" t="inlineStr">
        <is>
          <t>Lecture Notes in Electrical Engineering</t>
        </is>
      </c>
      <c r="G268" s="26" t="inlineStr">
        <is>
          <t>Conference paper</t>
        </is>
      </c>
      <c r="H268" s="26" t="inlineStr">
        <is>
          <t>10.1007/978-981-99-6928-9_21</t>
        </is>
      </c>
      <c r="I268" s="26" t="inlineStr">
        <is>
          <t>TA</t>
        </is>
      </c>
      <c r="J268" s="37" t="inlineStr">
        <is>
          <t>Exclude</t>
        </is>
      </c>
      <c r="K268" s="37" t="inlineStr">
        <is>
          <t>No digital twin/model</t>
        </is>
      </c>
      <c r="L268" s="28" t="inlineStr">
        <is>
          <t>Strong candidate: twin + supply chain + AI all in title/abstract</t>
        </is>
      </c>
      <c r="M268" s="37" t="inlineStr">
        <is>
          <t>Diseño de una microespecialidad educativa sobre Beidou; gemelo sólo en lista de tecnologías ("UAV + digital twin processing"); también E2 (logística sólo como proyecto demostrativo).</t>
        </is>
      </c>
      <c r="N268" s="69" t="inlineStr">
        <is>
          <t>E1</t>
        </is>
      </c>
      <c r="O268" s="69" t="n">
        <v>6</v>
      </c>
      <c r="P268" s="69" t="inlineStr">
        <is>
          <t>Exclude</t>
        </is>
      </c>
      <c r="Q268" s="69" t="inlineStr">
        <is>
          <t>E1</t>
        </is>
      </c>
      <c r="R268" s="69" t="inlineStr">
        <is>
          <t>Diseño de una microespecialidad educativa sobre Beidou; gemelo sólo en lista de tecnologías ("UAV + digital twin processing"); también E2 (logística sólo como proyecto demostrativo).</t>
        </is>
      </c>
      <c r="S268" s="69" t="n"/>
    </row>
    <row r="269" ht="23.25" customHeight="1" s="17">
      <c r="A269" s="26" t="inlineStr">
        <is>
          <t>R0268</t>
        </is>
      </c>
      <c r="B269" s="26" t="inlineStr">
        <is>
          <t>Scopus</t>
        </is>
      </c>
      <c r="C269" s="26" t="inlineStr">
        <is>
          <t>Thakkar B.; Shaikh S.; Katkade P.; Shukre V.A.</t>
        </is>
      </c>
      <c r="D269" s="26" t="n">
        <v>2024</v>
      </c>
      <c r="E269" s="27" t="inlineStr">
        <is>
          <t>Leveraging Artificial Intelligence, Internet of Things, and Digital Twins in Sustainable Agriculture</t>
        </is>
      </c>
      <c r="F269" s="26" t="inlineStr">
        <is>
          <t>IEEE International Conference on Signal Processing and Advance Research in Computing, SPARC 2024</t>
        </is>
      </c>
      <c r="G269" s="26" t="inlineStr">
        <is>
          <t>Conference paper</t>
        </is>
      </c>
      <c r="H269" s="26" t="inlineStr">
        <is>
          <t>10.1109/sparc61891.2024.10829179</t>
        </is>
      </c>
      <c r="I269" s="26" t="inlineStr">
        <is>
          <t>TA</t>
        </is>
      </c>
      <c r="J269" s="37" t="inlineStr">
        <is>
          <t>Exclude</t>
        </is>
      </c>
      <c r="K269" s="37" t="inlineStr">
        <is>
          <t>Wrong publication type</t>
        </is>
      </c>
      <c r="L269" s="28" t="inlineStr">
        <is>
          <t>Strong candidate: twin + supply chain + AI all in title/abstract</t>
        </is>
      </c>
      <c r="M269" s="37" t="inlineStr">
        <is>
          <t>Panorama con síntesis de casos ("This study provides an in-depth analysis of how AI, IoT, and digital twins are being incorporated into sustainable agriculture"; "Through the examination of case studies, the paper showcases how these technologies effectively enhance crop yield"); la cadena sólo como aplicación listada. Valor para snowballing: bajo.</t>
        </is>
      </c>
      <c r="N269" s="69" t="inlineStr">
        <is>
          <t>E4</t>
        </is>
      </c>
      <c r="O269" s="69" t="n">
        <v>6</v>
      </c>
      <c r="P269" s="69" t="inlineStr">
        <is>
          <t>Exclude</t>
        </is>
      </c>
      <c r="Q269" s="69" t="inlineStr">
        <is>
          <t>E4</t>
        </is>
      </c>
      <c r="R269" s="69" t="inlineStr">
        <is>
          <t>Panorama con síntesis de casos ("This study provides an in-depth analysis of how AI, IoT, and digital twins are being incorporated into sustainable agriculture"; "Through the examination of case studies, the paper showcases how these technologies effectively enhance crop yield"); la cadena sólo como aplicación listada. Valor para snowballing: bajo.</t>
        </is>
      </c>
      <c r="S269" s="69" t="n"/>
    </row>
    <row r="270" ht="23.25" customHeight="1" s="17">
      <c r="A270" s="26" t="inlineStr">
        <is>
          <t>R0269</t>
        </is>
      </c>
      <c r="B270" s="26" t="inlineStr">
        <is>
          <t>Scopus</t>
        </is>
      </c>
      <c r="C270" s="26" t="inlineStr">
        <is>
          <t>Pandey P.; Mücke N.T.; Jain S.; Ramachandran P.; Bohté S.M.; Oosterlee C.W.</t>
        </is>
      </c>
      <c r="D270" s="26" t="n">
        <v>2024</v>
      </c>
      <c r="E270" s="27" t="inlineStr">
        <is>
          <t>Machine Learning-Based Digital Twin for Water Distribution Network Anomaly Detection and Localization †</t>
        </is>
      </c>
      <c r="F270" s="26" t="inlineStr">
        <is>
          <t>Engineering Proceedings</t>
        </is>
      </c>
      <c r="G270" s="26" t="inlineStr">
        <is>
          <t>Article</t>
        </is>
      </c>
      <c r="H270" s="26" t="inlineStr">
        <is>
          <t>10.3390/engproc2024069201</t>
        </is>
      </c>
      <c r="I270" s="26" t="inlineStr">
        <is>
          <t>TA</t>
        </is>
      </c>
      <c r="J270" s="37" t="inlineStr">
        <is>
          <t>Exclude</t>
        </is>
      </c>
      <c r="K270" s="37" t="inlineStr">
        <is>
          <t>No supply chain scope</t>
        </is>
      </c>
      <c r="L270" s="28" t="inlineStr">
        <is>
          <t>Strong candidate: twin + supply chain + AI all in title/abstract</t>
        </is>
      </c>
      <c r="M270" s="37" t="inlineStr">
        <is>
          <t>Gemelo con ML para "detect and localize the leaks in water distribution networks (WDNs)"; sin cadena ni logística (falso positivo por "Logistic Regression").</t>
        </is>
      </c>
      <c r="N270" s="69" t="inlineStr">
        <is>
          <t>E2</t>
        </is>
      </c>
      <c r="O270" s="69" t="n">
        <v>6</v>
      </c>
      <c r="P270" s="69" t="inlineStr">
        <is>
          <t>Exclude</t>
        </is>
      </c>
      <c r="Q270" s="69" t="inlineStr">
        <is>
          <t>E2</t>
        </is>
      </c>
      <c r="R270" s="69" t="inlineStr">
        <is>
          <t>Gemelo con ML para "detect and localize the leaks in water distribution networks (WDNs)"; sin cadena ni logística (falso positivo por "Logistic Regression").</t>
        </is>
      </c>
      <c r="S270" s="69" t="n"/>
    </row>
    <row r="271" ht="23.25" customHeight="1" s="17">
      <c r="A271" s="26" t="inlineStr">
        <is>
          <t>R0270</t>
        </is>
      </c>
      <c r="B271" s="26" t="inlineStr">
        <is>
          <t>Scopus + WoS</t>
        </is>
      </c>
      <c r="C271" s="26" t="inlineStr">
        <is>
          <t>Yang C.; Yu H.; Zheng Y.; Ala-Laurinaho R.; Feng L.; Tammi K.</t>
        </is>
      </c>
      <c r="D271" s="26" t="n">
        <v>2024</v>
      </c>
      <c r="E271" s="27" t="inlineStr">
        <is>
          <t>Towards Human-Centric Manufacturing: Leveraging Digital Twin for Enhanced Industrial Processes</t>
        </is>
      </c>
      <c r="F271" s="26" t="inlineStr">
        <is>
          <t>IECON Proceedings (Industrial Electronics Conference)</t>
        </is>
      </c>
      <c r="G271" s="26" t="inlineStr">
        <is>
          <t>Conference paper</t>
        </is>
      </c>
      <c r="H271" s="26" t="inlineStr">
        <is>
          <t>10.1109/iecon55916.2024.10905474</t>
        </is>
      </c>
      <c r="I271" s="26" t="inlineStr">
        <is>
          <t>TA</t>
        </is>
      </c>
      <c r="J271" s="37" t="inlineStr">
        <is>
          <t>Include</t>
        </is>
      </c>
      <c r="K271" s="37" t="n"/>
      <c r="L271" s="28" t="inlineStr">
        <is>
          <t>Strong candidate: twin + supply chain + AI all in title/abstract</t>
        </is>
      </c>
      <c r="M271" s="37" t="inlineStr">
        <is>
          <t>[Make] Marco de gemelo humano-céntrico con "Artificial Intelligence (AI) Engine for incorporating advanced machine learning models", validado "through a practical in-plant logistics transport use case"; apoyo a la percepción y decisión del operador. Make (logística intra-planta); relevante para HITL.</t>
        </is>
      </c>
      <c r="N271" s="69" t="inlineStr">
        <is>
          <t>I</t>
        </is>
      </c>
      <c r="O271" s="69" t="n">
        <v>6</v>
      </c>
      <c r="P271" s="69" t="inlineStr">
        <is>
          <t>Include</t>
        </is>
      </c>
      <c r="Q271" s="69" t="inlineStr">
        <is>
          <t>I</t>
        </is>
      </c>
      <c r="R271" s="69" t="inlineStr">
        <is>
          <t>Marco de gemelo humano-céntrico con "Artificial Intelligence (AI) Engine for incorporating advanced machine learning models", validado "through a practical in-plant logistics transport use case"; apoyo a la percepción y decisión del operador. Make (logística intra-planta); relevante para HITL.</t>
        </is>
      </c>
      <c r="S271" s="69" t="inlineStr">
        <is>
          <t>Make</t>
        </is>
      </c>
    </row>
    <row r="272" ht="23.25" customHeight="1" s="17">
      <c r="A272" s="26" t="inlineStr">
        <is>
          <t>R0271</t>
        </is>
      </c>
      <c r="B272" s="26" t="inlineStr">
        <is>
          <t>Scopus + WoS</t>
        </is>
      </c>
      <c r="C272" s="26" t="inlineStr">
        <is>
          <t>Nick G.; Zeleny K.; Kovács T.; Járvás T.; Pocsarovszky K.; Kő A.</t>
        </is>
      </c>
      <c r="D272" s="26" t="n">
        <v>2024</v>
      </c>
      <c r="E272" s="27" t="inlineStr">
        <is>
          <t>Artificial intelligence enriched industry 4.0 readiness in manufacturing: the extended CCMS2.0e maturity model</t>
        </is>
      </c>
      <c r="F272" s="26" t="inlineStr">
        <is>
          <t>Production and Manufacturing Research</t>
        </is>
      </c>
      <c r="G272" s="26" t="inlineStr">
        <is>
          <t>Article</t>
        </is>
      </c>
      <c r="H272" s="26" t="inlineStr">
        <is>
          <t>10.1080/21693277.2024.2357683</t>
        </is>
      </c>
      <c r="I272" s="26" t="inlineStr">
        <is>
          <t>TA</t>
        </is>
      </c>
      <c r="J272" s="37" t="inlineStr">
        <is>
          <t>Exclude</t>
        </is>
      </c>
      <c r="K272" s="37" t="inlineStr">
        <is>
          <t>No digital twin/model</t>
        </is>
      </c>
      <c r="L272" s="28" t="inlineStr">
        <is>
          <t>Strong candidate: twin + supply chain + AI all in title/abstract</t>
        </is>
      </c>
      <c r="M272" s="37" t="inlineStr">
        <is>
          <t>Modelo de madurez de Industria 4.0 con dimensión de IA, construido con "a literature review and expert interviews" y probado en cuatro casos (regla C4); gemelo e IA como dimensiones de evaluación, no sistema aplicado; también E3.</t>
        </is>
      </c>
      <c r="N272" s="69" t="inlineStr">
        <is>
          <t>E1</t>
        </is>
      </c>
      <c r="O272" s="69" t="n">
        <v>6</v>
      </c>
      <c r="P272" s="69" t="inlineStr">
        <is>
          <t>Exclude</t>
        </is>
      </c>
      <c r="Q272" s="69" t="inlineStr">
        <is>
          <t>E1</t>
        </is>
      </c>
      <c r="R272" s="69" t="inlineStr">
        <is>
          <t>Modelo de madurez de Industria 4.0 con dimensión de IA, construido con "a literature review and expert interviews" y probado en cuatro casos (regla C4); gemelo e IA como dimensiones de evaluación, no sistema aplicado; también E3.</t>
        </is>
      </c>
      <c r="S272" s="69" t="n"/>
    </row>
    <row r="273" ht="23.25" customHeight="1" s="17">
      <c r="A273" s="26" t="inlineStr">
        <is>
          <t>R0272</t>
        </is>
      </c>
      <c r="B273" s="26" t="inlineStr">
        <is>
          <t>Scopus + WoS</t>
        </is>
      </c>
      <c r="C273" s="26" t="inlineStr">
        <is>
          <t>Badakhshan E.; Ball P.</t>
        </is>
      </c>
      <c r="D273" s="26" t="n">
        <v>2024</v>
      </c>
      <c r="E273" s="27" t="inlineStr">
        <is>
          <t>Deploying hybrid modelling to support the development of a digital twin for supply chain master planning under disruptions</t>
        </is>
      </c>
      <c r="F273" s="26" t="inlineStr">
        <is>
          <t>International Journal of Production Research</t>
        </is>
      </c>
      <c r="G273" s="26" t="inlineStr">
        <is>
          <t>Article</t>
        </is>
      </c>
      <c r="H273" s="26" t="inlineStr">
        <is>
          <t>10.1080/00207543.2023.2244604</t>
        </is>
      </c>
      <c r="I273" s="26" t="inlineStr">
        <is>
          <t>TA</t>
        </is>
      </c>
      <c r="J273" s="37" t="inlineStr">
        <is>
          <t>Include</t>
        </is>
      </c>
      <c r="K273" s="37" t="n"/>
      <c r="L273" s="28" t="inlineStr">
        <is>
          <t>Strong candidate: twin + supply chain + AI all in title/abstract</t>
        </is>
      </c>
      <c r="M273" s="37" t="inlineStr">
        <is>
          <t>Confirmado 2026-09-05 por Rodrigo: el gemelo existe como objetivo declarado del artículo (título y palabras clave), aunque los autores llamen precursor al marco: "The proposed framework, which is a precursor to a SC digital twin, integrates simulation, machine learning, and optimisation to identify the production, storage, and distribution values" (IJPR). | Auditoría final 2026-09-06: Estudio distinto de R0298/R0315 (mismo grupo): plan maestro bajo disrupciones frente a gestión de inventario y efectivo; se conserva.</t>
        </is>
      </c>
      <c r="N273" s="69" t="inlineStr">
        <is>
          <t>I</t>
        </is>
      </c>
      <c r="O273" s="69" t="n">
        <v>6</v>
      </c>
      <c r="P273" s="69" t="inlineStr">
        <is>
          <t>Include</t>
        </is>
      </c>
      <c r="Q273" s="69" t="inlineStr">
        <is>
          <t>I</t>
        </is>
      </c>
      <c r="R273" s="69" t="inlineStr">
        <is>
          <t>Marco híbrido para desarrollar el gemelo de planeación maestra de cadena bajo disrupciones (IJPR): "The proposed framework, which is a precursor to a SC digital twin, integrates simulation, machine learning, and optimisation to identify the production, storage, and distribution values". Límite C1: los autores lo llaman precursor del gemelo, pero el gemelo es el objetivo declarado en título y palabras clave (a diferencia de R0285, donde era un resultado futuro remoto). Inclusión por sensibilidad; confirmar.</t>
        </is>
      </c>
      <c r="S273" s="69" t="n"/>
    </row>
    <row r="274" ht="23.25" customHeight="1" s="17">
      <c r="A274" s="26" t="inlineStr">
        <is>
          <t>R0273</t>
        </is>
      </c>
      <c r="B274" s="26" t="inlineStr">
        <is>
          <t>Scopus + WoS</t>
        </is>
      </c>
      <c r="C274" s="26" t="inlineStr">
        <is>
          <t>Ivanov D.</t>
        </is>
      </c>
      <c r="D274" s="26" t="n">
        <v>2024</v>
      </c>
      <c r="E274" s="27" t="inlineStr">
        <is>
          <t>Conceptualisation of a 7-element digital twin framework in supply chain and operations management</t>
        </is>
      </c>
      <c r="F274" s="26" t="inlineStr">
        <is>
          <t>International Journal of Production Research</t>
        </is>
      </c>
      <c r="G274" s="26" t="inlineStr">
        <is>
          <t>Article</t>
        </is>
      </c>
      <c r="H274" s="26" t="inlineStr">
        <is>
          <t>10.1080/00207543.2023.2217291</t>
        </is>
      </c>
      <c r="I274" s="26" t="inlineStr">
        <is>
          <t>TA</t>
        </is>
      </c>
      <c r="J274" s="37" t="inlineStr">
        <is>
          <t>Include</t>
        </is>
      </c>
      <c r="K274" s="37" t="n"/>
      <c r="L274" s="28" t="inlineStr">
        <is>
          <t>Strong candidate: twin + supply chain + AI all in title/abstract</t>
        </is>
      </c>
      <c r="M274" s="37" t="inlineStr">
        <is>
          <t>Conceptualización del gemelo en SCOM (IJPR) a partir de revisión integradora e ilustración en anyLogistix: "digital twins in SCOM are not merely a simulation-based replica of a real object but a complex socio-technical phenomenon involved in continuous human-artificial intelligence interactions". Conceptual; relevante para HITL.</t>
        </is>
      </c>
      <c r="N274" s="69" t="inlineStr">
        <is>
          <t>I</t>
        </is>
      </c>
      <c r="O274" s="69" t="n">
        <v>6</v>
      </c>
      <c r="P274" s="69" t="inlineStr">
        <is>
          <t>Include</t>
        </is>
      </c>
      <c r="Q274" s="69" t="inlineStr">
        <is>
          <t>I</t>
        </is>
      </c>
      <c r="R274" s="69" t="inlineStr">
        <is>
          <t>Conceptualización del gemelo en SCOM (IJPR) a partir de revisión integradora e ilustración en anyLogistix: "digital twins in SCOM are not merely a simulation-based replica of a real object but a complex socio-technical phenomenon involved in continuous human-artificial intelligence interactions". Conceptual; relevante para HITL.</t>
        </is>
      </c>
      <c r="S274" s="69" t="n"/>
    </row>
    <row r="275" ht="23.25" customHeight="1" s="17">
      <c r="A275" s="26" t="inlineStr">
        <is>
          <t>R0274</t>
        </is>
      </c>
      <c r="B275" s="26" t="inlineStr">
        <is>
          <t>Scopus</t>
        </is>
      </c>
      <c r="C275" s="26" t="inlineStr">
        <is>
          <t>Yuan S.</t>
        </is>
      </c>
      <c r="D275" s="26" t="n">
        <v>2024</v>
      </c>
      <c r="E275" s="27" t="inlineStr">
        <is>
          <t>IKEA’s digital transformation: Lessons, achievements, and prospects in supply chain management</t>
        </is>
      </c>
      <c r="F275" s="26" t="inlineStr">
        <is>
          <t>Exploring the Financial Landscape in the Digital Age - Proceedings of the International Conference on Financial Management and the Digital Economy, ICFMDE 2023</t>
        </is>
      </c>
      <c r="G275" s="26" t="inlineStr">
        <is>
          <t>Conference paper</t>
        </is>
      </c>
      <c r="H275" s="26" t="inlineStr">
        <is>
          <t>10.1201/9781003508816-92</t>
        </is>
      </c>
      <c r="I275" s="26" t="inlineStr">
        <is>
          <t>TA</t>
        </is>
      </c>
      <c r="J275" s="37" t="inlineStr">
        <is>
          <t>Exclude</t>
        </is>
      </c>
      <c r="K275" s="37" t="inlineStr">
        <is>
          <t>No digital twin/model</t>
        </is>
      </c>
      <c r="L275" s="28" t="inlineStr">
        <is>
          <t>Strong candidate: twin + supply chain + AI all in title/abstract</t>
        </is>
      </c>
      <c r="M275" s="37" t="inlineStr">
        <is>
          <t>Caso IKEA con datos secundarios; gemelo e IA sólo en lista de tecnologías empleadas ("cutting-edge technologies like artificial intelligence, augmented reality, and digital twins across its supply chain management stages"), sin describir el gemelo ni su integración (a diferencia de R0184).</t>
        </is>
      </c>
      <c r="N275" s="69" t="inlineStr">
        <is>
          <t>E1</t>
        </is>
      </c>
      <c r="O275" s="69" t="n">
        <v>6</v>
      </c>
      <c r="P275" s="69" t="inlineStr">
        <is>
          <t>Exclude</t>
        </is>
      </c>
      <c r="Q275" s="69" t="inlineStr">
        <is>
          <t>E1</t>
        </is>
      </c>
      <c r="R275" s="69" t="inlineStr">
        <is>
          <t>Caso IKEA con datos secundarios; gemelo e IA sólo en lista de tecnologías empleadas ("cutting-edge technologies like artificial intelligence, augmented reality, and digital twins across its supply chain management stages"), sin describir el gemelo ni su integración (a diferencia de R0184).</t>
        </is>
      </c>
      <c r="S275" s="69" t="n"/>
    </row>
    <row r="276" ht="23.25" customHeight="1" s="17">
      <c r="A276" s="26" t="inlineStr">
        <is>
          <t>R0275</t>
        </is>
      </c>
      <c r="B276" s="26" t="inlineStr">
        <is>
          <t>Scopus + WoS</t>
        </is>
      </c>
      <c r="C276" s="26" t="inlineStr">
        <is>
          <t>Zeneli M.; Marinova G.</t>
        </is>
      </c>
      <c r="D276" s="26" t="n">
        <v>2024</v>
      </c>
      <c r="E276" s="27" t="inlineStr">
        <is>
          <t>Navigating the Future: Digital Twin in Maritime Industry</t>
        </is>
      </c>
      <c r="F276" s="26" t="inlineStr">
        <is>
          <t>CoBCom 2024 - International Conference on Broadband Communications for Next Generation Networks and Multimedia Applications, co-located International Conference and Workshop on Systems, Signals and Image Processing, IWSSIP 2024</t>
        </is>
      </c>
      <c r="G276" s="26" t="inlineStr">
        <is>
          <t>Conference paper</t>
        </is>
      </c>
      <c r="H276" s="26" t="inlineStr">
        <is>
          <t>10.1109/cobcom62281.2024.10631195</t>
        </is>
      </c>
      <c r="I276" s="26" t="inlineStr">
        <is>
          <t>TA</t>
        </is>
      </c>
      <c r="J276" s="37" t="inlineStr">
        <is>
          <t>Exclude</t>
        </is>
      </c>
      <c r="K276" s="37" t="inlineStr">
        <is>
          <t>Wrong publication type</t>
        </is>
      </c>
      <c r="L276" s="28" t="inlineStr">
        <is>
          <t>Strong candidate: twin + supply chain + AI all in title/abstract</t>
        </is>
      </c>
      <c r="M276" s="37" t="inlineStr">
        <is>
          <t>Recodificado 2026-09-06 en la auditoría final (E3→E4): Panorama declarado (C3): "The article starts by giving a thorough overview of digital twins"; gemelos en operaciones portuarias ("port management, logistics, safety, and environmental sustainability") con el ML sólo como técnica de construcción listada ("emphasizing the incorporation of machine learning, simulation, data analytics, and Internet of Things (IoT) sensors"). Sale del pool Antecedente C8 por ser revisión. Valor para snowballing: medio. | Nota original (E3) (antes en el pool de antecedentes, valor medio): Panorama de gemelos en operaciones portuarias ("port management, logistics, safety, and environmental sustainability"); el ML sólo en la lista de técnicas de construcción del gemelo ("emphasizing the incorporation of machine learning, simulation, data analytics, and Internet of Things (IoT) sensors"), sin método ni sistema propuesto (mismo trato que R0266). Alternativa E4 (overview).</t>
        </is>
      </c>
      <c r="N276" s="69" t="inlineStr">
        <is>
          <t>E4</t>
        </is>
      </c>
      <c r="O276" s="69" t="n">
        <v>6</v>
      </c>
      <c r="P276" s="69" t="inlineStr">
        <is>
          <t>Exclude</t>
        </is>
      </c>
      <c r="Q276" s="69" t="inlineStr">
        <is>
          <t>E3</t>
        </is>
      </c>
      <c r="R276" s="69" t="inlineStr">
        <is>
          <t>Panorama de gemelos en operaciones portuarias ("port management, logistics, safety, and environmental sustainability"); el ML sólo en la lista de técnicas de construcción del gemelo ("emphasizing the incorporation of machine learning, simulation, data analytics, and Internet of Things (IoT) sensors"), sin método ni sistema propuesto (mismo trato que R0266). Alternativa E4 (overview).</t>
        </is>
      </c>
      <c r="S276" s="69" t="n"/>
    </row>
    <row r="277" ht="34.5" customHeight="1" s="17">
      <c r="A277" s="26" t="inlineStr">
        <is>
          <t>R0276</t>
        </is>
      </c>
      <c r="B277" s="26" t="inlineStr">
        <is>
          <t>Scopus</t>
        </is>
      </c>
      <c r="C277" s="26" t="inlineStr">
        <is>
          <t>Singh A.B.; Mishra Y.; Dusad C.; Dangayach G.S.; Sarkar P.; Meena M.L.</t>
        </is>
      </c>
      <c r="D277" s="26" t="n">
        <v>2024</v>
      </c>
      <c r="E277" s="27" t="inlineStr">
        <is>
          <t>Navigating Uncertainty: Cutting-Edge Approaches in Process Control and Monitoring for Risk Mitigation in Supply Chain Management †</t>
        </is>
      </c>
      <c r="F277" s="26" t="inlineStr">
        <is>
          <t>Engineering Proceedings</t>
        </is>
      </c>
      <c r="G277" s="26" t="inlineStr">
        <is>
          <t>Article</t>
        </is>
      </c>
      <c r="H277" s="26" t="inlineStr">
        <is>
          <t>10.3390/engproc2024067074</t>
        </is>
      </c>
      <c r="I277" s="26" t="inlineStr">
        <is>
          <t>TA</t>
        </is>
      </c>
      <c r="J277" s="37" t="inlineStr">
        <is>
          <t>Exclude</t>
        </is>
      </c>
      <c r="K277" s="37" t="inlineStr">
        <is>
          <t>Wrong publication type</t>
        </is>
      </c>
      <c r="L277" s="28" t="inlineStr">
        <is>
          <t>Strong candidate: twin + supply chain + AI all in title/abstract</t>
        </is>
      </c>
      <c r="M277" s="37" t="inlineStr">
        <is>
          <t>"This review addresses the pressing issue of supply chain risk management by evaluating cutting-edge solutions" (literatura 2009-2024); IoT, ML y gemelos como hallazgos. Valor para snowballing: medio.</t>
        </is>
      </c>
      <c r="N277" s="69" t="inlineStr">
        <is>
          <t>E4</t>
        </is>
      </c>
      <c r="O277" s="69" t="n">
        <v>6</v>
      </c>
      <c r="P277" s="69" t="inlineStr">
        <is>
          <t>Exclude</t>
        </is>
      </c>
      <c r="Q277" s="69" t="inlineStr">
        <is>
          <t>E4</t>
        </is>
      </c>
      <c r="R277" s="69" t="inlineStr">
        <is>
          <t>"This review addresses the pressing issue of supply chain risk management by evaluating cutting-edge solutions" (literatura 2009-2024); IoT, ML y gemelos como hallazgos. Valor para snowballing: medio.</t>
        </is>
      </c>
      <c r="S277" s="69" t="n"/>
    </row>
    <row r="278" ht="23.25" customHeight="1" s="17">
      <c r="A278" s="26" t="inlineStr">
        <is>
          <t>R0277</t>
        </is>
      </c>
      <c r="B278" s="26" t="inlineStr">
        <is>
          <t>Scopus + WoS</t>
        </is>
      </c>
      <c r="C278" s="26" t="inlineStr">
        <is>
          <t>Antunes J.; Barata J.; da Cunha P.R.; Estima J.; Tavares J.</t>
        </is>
      </c>
      <c r="D278" s="26" t="n">
        <v>2024</v>
      </c>
      <c r="E278" s="27" t="inlineStr">
        <is>
          <t>A Reference Architecture for Dry Port Digital Twins: Preliminary Assessment Using ArchiMate</t>
        </is>
      </c>
      <c r="F278" s="26" t="inlineStr">
        <is>
          <t>Lecture Notes in Business Information Processing</t>
        </is>
      </c>
      <c r="G278" s="26" t="inlineStr">
        <is>
          <t>Conference paper</t>
        </is>
      </c>
      <c r="H278" s="26" t="inlineStr">
        <is>
          <t>10.1007/978-3-031-59465-6_9</t>
        </is>
      </c>
      <c r="I278" s="26" t="inlineStr">
        <is>
          <t>TA</t>
        </is>
      </c>
      <c r="J278" s="37" t="inlineStr">
        <is>
          <t>Exclude</t>
        </is>
      </c>
      <c r="K278" s="37" t="inlineStr">
        <is>
          <t>No AI/ML component</t>
        </is>
      </c>
      <c r="L278" s="28" t="inlineStr">
        <is>
          <t>Strong candidate: twin + supply chain + AI all in title/abstract</t>
        </is>
      </c>
      <c r="M278" s="37" t="inlineStr">
        <is>
          <t>[Antecedente C8: medio] Arquitectura de referencia (ArchiMate) para gemelos de puertos secos; la IA sólo como habilitador de la agenda NEXUS ("assisting in adopting Blockchain, Optical Recognition, and Artificial Intelligence as crucial technological enablers"), sin método en el gemelo.</t>
        </is>
      </c>
      <c r="N278" s="69" t="inlineStr">
        <is>
          <t>E3</t>
        </is>
      </c>
      <c r="O278" s="69" t="n">
        <v>6</v>
      </c>
      <c r="P278" s="69" t="inlineStr">
        <is>
          <t>Exclude</t>
        </is>
      </c>
      <c r="Q278" s="69" t="inlineStr">
        <is>
          <t>E3</t>
        </is>
      </c>
      <c r="R278" s="69" t="inlineStr">
        <is>
          <t>Arquitectura de referencia (ArchiMate) para gemelos de puertos secos; la IA sólo como habilitador de la agenda NEXUS ("assisting in adopting Blockchain, Optical Recognition, and Artificial Intelligence as crucial technological enablers"), sin método en el gemelo.</t>
        </is>
      </c>
      <c r="S278" s="69" t="n"/>
    </row>
    <row r="279" ht="23.25" customHeight="1" s="17">
      <c r="A279" s="26" t="inlineStr">
        <is>
          <t>R0278</t>
        </is>
      </c>
      <c r="B279" s="26" t="inlineStr">
        <is>
          <t>Scopus</t>
        </is>
      </c>
      <c r="C279" s="26" t="inlineStr">
        <is>
          <t>Chaganti K.R.; Kumar B.N.; Gutta P.K.; Elicherla S.L.R.; Nagesh C.; Raghavendar K.</t>
        </is>
      </c>
      <c r="D279" s="26" t="n">
        <v>2024</v>
      </c>
      <c r="E279" s="27" t="inlineStr">
        <is>
          <t>Blockchain Anchored Federated Learning and Tokenized Traceability for Sustainable Food Supply Chains</t>
        </is>
      </c>
      <c r="F279" s="26" t="inlineStr">
        <is>
          <t>Proceedings of the 4th International Conference on Ubiquitous Computing and Intelligent Information Systems, ICUIS 2024</t>
        </is>
      </c>
      <c r="G279" s="26" t="inlineStr">
        <is>
          <t>Conference paper</t>
        </is>
      </c>
      <c r="H279" s="26" t="inlineStr">
        <is>
          <t>10.1109/icuis64676.2024.10866271</t>
        </is>
      </c>
      <c r="I279" s="26" t="inlineStr">
        <is>
          <t>TA</t>
        </is>
      </c>
      <c r="J279" s="37" t="inlineStr">
        <is>
          <t>Exclude</t>
        </is>
      </c>
      <c r="K279" s="37" t="inlineStr">
        <is>
          <t>No digital twin/model</t>
        </is>
      </c>
      <c r="L279" s="28" t="inlineStr">
        <is>
          <t>Strong candidate: twin + supply chain + AI all in title/abstract</t>
        </is>
      </c>
      <c r="M279" s="37" t="inlineStr">
        <is>
          <t>Aprendizaje federado, GNN y trazabilidad tokenizada en cadenas alimentarias; el gemelo es un token de producto ("every product has a digital twin represented by blockchain-anchored tokens"), contenedor de datos y no modelo de operaciones (C6).</t>
        </is>
      </c>
      <c r="N279" s="69" t="inlineStr">
        <is>
          <t>E1</t>
        </is>
      </c>
      <c r="O279" s="69" t="n">
        <v>6</v>
      </c>
      <c r="P279" s="69" t="inlineStr">
        <is>
          <t>Exclude</t>
        </is>
      </c>
      <c r="Q279" s="69" t="inlineStr">
        <is>
          <t>E1</t>
        </is>
      </c>
      <c r="R279" s="69" t="inlineStr">
        <is>
          <t>Aprendizaje federado, GNN y trazabilidad tokenizada en cadenas alimentarias; el gemelo es un token de producto ("every product has a digital twin represented by blockchain-anchored tokens"), contenedor de datos y no modelo de operaciones (C6).</t>
        </is>
      </c>
      <c r="S279" s="69" t="n"/>
    </row>
    <row r="280" ht="23.25" customHeight="1" s="17">
      <c r="A280" s="26" t="inlineStr">
        <is>
          <t>R0279</t>
        </is>
      </c>
      <c r="B280" s="26" t="inlineStr">
        <is>
          <t>Scopus</t>
        </is>
      </c>
      <c r="C280" s="26" t="inlineStr">
        <is>
          <t>Daniela Huayanca Quispe S.; Mirely Moza Villalobos K.; Rodriguez S.</t>
        </is>
      </c>
      <c r="D280" s="26" t="n">
        <v>2024</v>
      </c>
      <c r="E280" s="27" t="inlineStr">
        <is>
          <t>Technologies of Industry 4.0 for the next fashion revolution: A systematic literature review</t>
        </is>
      </c>
      <c r="F280" s="26" t="inlineStr">
        <is>
          <t>Proceedings of the LACCEI international Multi-conference for Engineering, Education and Technology</t>
        </is>
      </c>
      <c r="G280" s="26" t="inlineStr">
        <is>
          <t>Conference paper</t>
        </is>
      </c>
      <c r="H280" s="26" t="inlineStr">
        <is>
          <t>10.18687/laccei2024.1.1.582</t>
        </is>
      </c>
      <c r="I280" s="26" t="inlineStr">
        <is>
          <t>TA</t>
        </is>
      </c>
      <c r="J280" s="37" t="inlineStr">
        <is>
          <t>Exclude</t>
        </is>
      </c>
      <c r="K280" s="37" t="inlineStr">
        <is>
          <t>Wrong publication type</t>
        </is>
      </c>
      <c r="L280" s="28" t="inlineStr">
        <is>
          <t>Strong candidate: twin + supply chain + AI all in title/abstract</t>
        </is>
      </c>
      <c r="M280" s="37" t="inlineStr">
        <is>
          <t>Revisión sistemática (PICOC y PRISMA) de Industria 4.0 en la industria de la moda ("thirty open-access articles from the Scopus database were chosen"); gemelos e IA como tecnologías. Valor para snowballing: bajo.</t>
        </is>
      </c>
      <c r="N280" s="69" t="inlineStr">
        <is>
          <t>E4</t>
        </is>
      </c>
      <c r="O280" s="69" t="n">
        <v>6</v>
      </c>
      <c r="P280" s="69" t="inlineStr">
        <is>
          <t>Exclude</t>
        </is>
      </c>
      <c r="Q280" s="69" t="inlineStr">
        <is>
          <t>E4</t>
        </is>
      </c>
      <c r="R280" s="69" t="inlineStr">
        <is>
          <t>Revisión sistemática (PICOC y PRISMA) de Industria 4.0 en la industria de la moda ("thirty open-access articles from the Scopus database were chosen"); gemelos e IA como tecnologías. Valor para snowballing: bajo.</t>
        </is>
      </c>
      <c r="S280" s="69" t="n"/>
    </row>
    <row r="281" ht="23.25" customHeight="1" s="17">
      <c r="A281" s="26" t="inlineStr">
        <is>
          <t>R0280</t>
        </is>
      </c>
      <c r="B281" s="26" t="inlineStr">
        <is>
          <t>Scopus</t>
        </is>
      </c>
      <c r="C281" s="26" t="inlineStr">
        <is>
          <t>Gupta K.; Kar A.K.; Gupta M.P.</t>
        </is>
      </c>
      <c r="D281" s="26" t="n">
        <v>2024</v>
      </c>
      <c r="E281" s="27" t="inlineStr">
        <is>
          <t>Internet of Things and Sustainability: A Literature Review</t>
        </is>
      </c>
      <c r="F281" s="26" t="inlineStr">
        <is>
          <t>IFIP Advances in Information and Communication Technology</t>
        </is>
      </c>
      <c r="G281" s="26" t="inlineStr">
        <is>
          <t>Conference paper</t>
        </is>
      </c>
      <c r="H281" s="26" t="inlineStr">
        <is>
          <t>10.1007/978-3-031-50204-0_4</t>
        </is>
      </c>
      <c r="I281" s="26" t="inlineStr">
        <is>
          <t>TA</t>
        </is>
      </c>
      <c r="J281" s="37" t="inlineStr">
        <is>
          <t>Exclude</t>
        </is>
      </c>
      <c r="K281" s="37" t="inlineStr">
        <is>
          <t>Wrong publication type</t>
        </is>
      </c>
      <c r="L281" s="28" t="inlineStr">
        <is>
          <t>Strong candidate: twin + supply chain + AI all in title/abstract</t>
        </is>
      </c>
      <c r="M281" s="37" t="inlineStr">
        <is>
          <t>"The purpose of this study is to review the literature of Internet of things research in the sustainability domain"; gemelos y cadena como áreas emergentes. Valor para snowballing: bajo.</t>
        </is>
      </c>
      <c r="N281" s="69" t="inlineStr">
        <is>
          <t>E4</t>
        </is>
      </c>
      <c r="O281" s="69" t="n">
        <v>6</v>
      </c>
      <c r="P281" s="69" t="inlineStr">
        <is>
          <t>Exclude</t>
        </is>
      </c>
      <c r="Q281" s="69" t="inlineStr">
        <is>
          <t>E4</t>
        </is>
      </c>
      <c r="R281" s="69" t="inlineStr">
        <is>
          <t>"The purpose of this study is to review the literature of Internet of things research in the sustainability domain"; gemelos y cadena como áreas emergentes. Valor para snowballing: bajo.</t>
        </is>
      </c>
      <c r="S281" s="69" t="n"/>
    </row>
    <row r="282" ht="23.25" customHeight="1" s="17">
      <c r="A282" s="26" t="inlineStr">
        <is>
          <t>R0281</t>
        </is>
      </c>
      <c r="B282" s="26" t="inlineStr">
        <is>
          <t>WoS</t>
        </is>
      </c>
      <c r="C282" s="26" t="inlineStr">
        <is>
          <t>Pang, DK; Wang, SD; Ge, D; Lin, W; Kang, YQ; Li, RTY</t>
        </is>
      </c>
      <c r="D282" s="26" t="n">
        <v>2024</v>
      </c>
      <c r="E282" s="27" t="inlineStr">
        <is>
          <t>Enhancing E-commerce Management with Machine Learning and Internet of Things: Design and Development</t>
        </is>
      </c>
      <c r="F282" s="26" t="inlineStr">
        <is>
          <t>JOURNAL OF THE KNOWLEDGE ECONOMY</t>
        </is>
      </c>
      <c r="G282" s="26" t="inlineStr">
        <is>
          <t>Article; Early Access</t>
        </is>
      </c>
      <c r="H282" s="26" t="inlineStr">
        <is>
          <t>10.1007/s13132-024-01969-y</t>
        </is>
      </c>
      <c r="I282" s="26" t="inlineStr">
        <is>
          <t>TA</t>
        </is>
      </c>
      <c r="J282" s="37" t="inlineStr">
        <is>
          <t>Exclude</t>
        </is>
      </c>
      <c r="K282" s="37" t="inlineStr">
        <is>
          <t>No supply chain scope</t>
        </is>
      </c>
      <c r="L282" s="28" t="inlineStr">
        <is>
          <t>Strong candidate: twin + supply chain + AI all in title/abstract</t>
        </is>
      </c>
      <c r="M282" s="37" t="inlineStr">
        <is>
          <t>Herramienta educativa: "machine learning and digital twin AI simulation technology" para escenarios de enseñanza en logística de almacenes; el ámbito es la formación, no las operaciones logísticas ("helps students address errors and irregularities in their learning and practice").</t>
        </is>
      </c>
      <c r="N282" s="69" t="inlineStr">
        <is>
          <t>E2</t>
        </is>
      </c>
      <c r="O282" s="69" t="n">
        <v>6</v>
      </c>
      <c r="P282" s="69" t="inlineStr">
        <is>
          <t>Exclude</t>
        </is>
      </c>
      <c r="Q282" s="69" t="inlineStr">
        <is>
          <t>E2</t>
        </is>
      </c>
      <c r="R282" s="69" t="inlineStr">
        <is>
          <t>Herramienta educativa: "machine learning and digital twin AI simulation technology" para escenarios de enseñanza en logística de almacenes; el ámbito es la formación, no las operaciones logísticas ("helps students address errors and irregularities in their learning and practice").</t>
        </is>
      </c>
      <c r="S282" s="69" t="n"/>
    </row>
    <row r="283" ht="34.5" customHeight="1" s="17">
      <c r="A283" s="26" t="inlineStr">
        <is>
          <t>R0282</t>
        </is>
      </c>
      <c r="B283" s="26" t="inlineStr">
        <is>
          <t>WoS</t>
        </is>
      </c>
      <c r="C283" s="26" t="inlineStr">
        <is>
          <t>Kang, J</t>
        </is>
      </c>
      <c r="D283" s="26" t="n">
        <v>2024</v>
      </c>
      <c r="E283" s="27" t="inlineStr">
        <is>
          <t>Software Practice and Experience on Smart Mobility Digital Twin in Transportation and Automotive Industry: Toward SDV-empowered Digital Twin through EV Edge-Cloud and AutoML</t>
        </is>
      </c>
      <c r="F283" s="26" t="inlineStr">
        <is>
          <t>JOURNAL OF WEB ENGINEERING</t>
        </is>
      </c>
      <c r="G283" s="26" t="inlineStr">
        <is>
          <t>Article</t>
        </is>
      </c>
      <c r="H283" s="26" t="inlineStr">
        <is>
          <t>10.13052/jwe1540-9589.2385</t>
        </is>
      </c>
      <c r="I283" s="26" t="inlineStr">
        <is>
          <t>TA</t>
        </is>
      </c>
      <c r="J283" s="37" t="inlineStr">
        <is>
          <t>Exclude</t>
        </is>
      </c>
      <c r="K283" s="37" t="inlineStr">
        <is>
          <t>No supply chain scope</t>
        </is>
      </c>
      <c r="L283" s="28" t="inlineStr">
        <is>
          <t>Strong candidate: twin + supply chain + AI all in title/abstract</t>
        </is>
      </c>
      <c r="M283" s="37" t="inlineStr">
        <is>
          <t>Gemelo de movilidad inteligente con AutoML para predicción de tráfico; la logística sólo como dominio listado ("such as automotive, manufacturing, logistics, and smart cities"), sin encuadre de cadena ni logística.</t>
        </is>
      </c>
      <c r="N283" s="69" t="inlineStr">
        <is>
          <t>E2</t>
        </is>
      </c>
      <c r="O283" s="69" t="n">
        <v>6</v>
      </c>
      <c r="P283" s="69" t="inlineStr">
        <is>
          <t>Exclude</t>
        </is>
      </c>
      <c r="Q283" s="69" t="inlineStr">
        <is>
          <t>E2</t>
        </is>
      </c>
      <c r="R283" s="69" t="inlineStr">
        <is>
          <t>Gemelo de movilidad inteligente con AutoML para predicción de tráfico; la logística sólo como dominio listado ("such as automotive, manufacturing, logistics, and smart cities"), sin encuadre de cadena ni logística.</t>
        </is>
      </c>
      <c r="S283" s="69" t="n"/>
    </row>
    <row r="284" ht="23.25" customHeight="1" s="17">
      <c r="A284" s="26" t="inlineStr">
        <is>
          <t>R0283</t>
        </is>
      </c>
      <c r="B284" s="26" t="inlineStr">
        <is>
          <t>WoS</t>
        </is>
      </c>
      <c r="C284" s="26" t="inlineStr">
        <is>
          <t>Aponte, GM</t>
        </is>
      </c>
      <c r="D284" s="26" t="n">
        <v>2024</v>
      </c>
      <c r="E284" s="27" t="inlineStr">
        <is>
          <t>Trends in scientific production in the area of digital technologies and circular economy</t>
        </is>
      </c>
      <c r="F284" s="26" t="inlineStr">
        <is>
          <t>REVISTA GESTION DE LAS PERSONAS Y TECNOLOGIA</t>
        </is>
      </c>
      <c r="G284" s="26" t="inlineStr">
        <is>
          <t>Article</t>
        </is>
      </c>
      <c r="H284" s="26" t="inlineStr">
        <is>
          <t>10.35588/6436n243</t>
        </is>
      </c>
      <c r="I284" s="26" t="inlineStr">
        <is>
          <t>TA</t>
        </is>
      </c>
      <c r="J284" s="37" t="inlineStr">
        <is>
          <t>Exclude</t>
        </is>
      </c>
      <c r="K284" s="37" t="inlineStr">
        <is>
          <t>Wrong publication type</t>
        </is>
      </c>
      <c r="L284" s="28" t="inlineStr">
        <is>
          <t>Strong candidate: twin + supply chain + AI all in title/abstract</t>
        </is>
      </c>
      <c r="M284" s="37" t="inlineStr">
        <is>
          <t>Análisis de tendencias de literatura ("bibliographic review, bibliometric analysis, and content analysis") sobre tecnologías digitales y economía circular; gemelos e IA en la lista de tecnologías consideradas. Valor para snowballing: bajo.</t>
        </is>
      </c>
      <c r="N284" s="69" t="inlineStr">
        <is>
          <t>E4</t>
        </is>
      </c>
      <c r="O284" s="69" t="n">
        <v>6</v>
      </c>
      <c r="P284" s="69" t="inlineStr">
        <is>
          <t>Exclude</t>
        </is>
      </c>
      <c r="Q284" s="69" t="inlineStr">
        <is>
          <t>E4</t>
        </is>
      </c>
      <c r="R284" s="69" t="inlineStr">
        <is>
          <t>Análisis de tendencias de literatura ("bibliographic review, bibliometric analysis, and content analysis") sobre tecnologías digitales y economía circular; gemelos e IA en la lista de tecnologías consideradas. Valor para snowballing: bajo.</t>
        </is>
      </c>
      <c r="S284" s="69" t="n"/>
    </row>
    <row r="285" ht="23.25" customHeight="1" s="17">
      <c r="A285" s="26" t="inlineStr">
        <is>
          <t>R0284</t>
        </is>
      </c>
      <c r="B285" s="26" t="inlineStr">
        <is>
          <t>Scopus</t>
        </is>
      </c>
      <c r="C285" s="26" t="inlineStr">
        <is>
          <t>Ashima R.; Haleem A.; Bahl S.; Nandan D.; Javaid M.</t>
        </is>
      </c>
      <c r="D285" s="26" t="n">
        <v>2023</v>
      </c>
      <c r="E285" s="27" t="inlineStr">
        <is>
          <t>Automation of AM Via IoT Towards Implementation of e-logistics in Supply Chain for Industry 4.0</t>
        </is>
      </c>
      <c r="F285" s="26" t="inlineStr">
        <is>
          <t>Lecture Notes in Mechanical Engineering</t>
        </is>
      </c>
      <c r="G285" s="26" t="inlineStr">
        <is>
          <t>Conference paper</t>
        </is>
      </c>
      <c r="H285" s="26" t="inlineStr">
        <is>
          <t>10.1007/978-981-16-9057-0_20</t>
        </is>
      </c>
      <c r="I285" s="26" t="inlineStr">
        <is>
          <t>TA</t>
        </is>
      </c>
      <c r="J285" s="37" t="inlineStr">
        <is>
          <t>Exclude</t>
        </is>
      </c>
      <c r="K285" s="37" t="inlineStr">
        <is>
          <t>Wrong publication type</t>
        </is>
      </c>
      <c r="L285" s="28" t="inlineStr">
        <is>
          <t>Strong candidate: twin + supply chain + AI all in title/abstract</t>
        </is>
      </c>
      <c r="M285" s="37" t="inlineStr">
        <is>
          <t>"An intensive desk-based literature survey study identifies potential advantages of incorporating IoT automated additive manufacturing" y e-logística; gemelo sólo en lista. Valor para snowballing: bajo.</t>
        </is>
      </c>
      <c r="N285" s="69" t="inlineStr">
        <is>
          <t>E4</t>
        </is>
      </c>
      <c r="O285" s="69" t="n">
        <v>6</v>
      </c>
      <c r="P285" s="69" t="inlineStr">
        <is>
          <t>Exclude</t>
        </is>
      </c>
      <c r="Q285" s="69" t="inlineStr">
        <is>
          <t>E4</t>
        </is>
      </c>
      <c r="R285" s="69" t="inlineStr">
        <is>
          <t>"An intensive desk-based literature survey study identifies potential advantages of incorporating IoT automated additive manufacturing" y e-logística; gemelo sólo en lista. Valor para snowballing: bajo.</t>
        </is>
      </c>
      <c r="S285" s="69" t="n"/>
    </row>
    <row r="286" ht="23.25" customHeight="1" s="17">
      <c r="A286" s="26" t="inlineStr">
        <is>
          <t>R0285</t>
        </is>
      </c>
      <c r="B286" s="26" t="inlineStr">
        <is>
          <t>Scopus + WoS</t>
        </is>
      </c>
      <c r="C286" s="26" t="inlineStr">
        <is>
          <t>Pattanaik S.; Bagchi S.; Nayak A.K.; Ghanshyam Katre P.; Jenamani M.</t>
        </is>
      </c>
      <c r="D286" s="26" t="n">
        <v>2023</v>
      </c>
      <c r="E286" s="27" t="inlineStr">
        <is>
          <t>An Approach for Estimation of Temperature Profile Inside a Reefer Container During Transportation</t>
        </is>
      </c>
      <c r="F286" s="26" t="inlineStr">
        <is>
          <t>2023 IEEE 2nd Industrial Electronics Society Annual On-Line Conference, ONCON 2023</t>
        </is>
      </c>
      <c r="G286" s="26" t="inlineStr">
        <is>
          <t>Conference paper</t>
        </is>
      </c>
      <c r="H286" s="26" t="inlineStr">
        <is>
          <t>10.1109/oncon60463.2023.10430686</t>
        </is>
      </c>
      <c r="I286" s="26" t="inlineStr">
        <is>
          <t>TA</t>
        </is>
      </c>
      <c r="J286" s="37" t="inlineStr">
        <is>
          <t>Exclude</t>
        </is>
      </c>
      <c r="K286" s="37" t="inlineStr">
        <is>
          <t>No digital twin/model</t>
        </is>
      </c>
      <c r="L286" s="28" t="inlineStr">
        <is>
          <t>Strong candidate: twin + supply chain + AI all in title/abstract</t>
        </is>
      </c>
      <c r="M286" s="37" t="inlineStr">
        <is>
          <t>Modelos ML (redes neuronales, XGBoost, random forest) de temperatura en contenedores refrigerados; el gemelo sólo como desarrollo futuro ("ultimately leading to the development of a digital twin model"), no se infiere (C1).</t>
        </is>
      </c>
      <c r="N286" s="69" t="inlineStr">
        <is>
          <t>E1</t>
        </is>
      </c>
      <c r="O286" s="69" t="n">
        <v>6</v>
      </c>
      <c r="P286" s="69" t="inlineStr">
        <is>
          <t>Exclude</t>
        </is>
      </c>
      <c r="Q286" s="69" t="inlineStr">
        <is>
          <t>E1</t>
        </is>
      </c>
      <c r="R286" s="69" t="inlineStr">
        <is>
          <t>Modelos ML (redes neuronales, XGBoost, random forest) de temperatura en contenedores refrigerados; el gemelo sólo como desarrollo futuro ("ultimately leading to the development of a digital twin model"), no se infiere (C1).</t>
        </is>
      </c>
      <c r="S286" s="69" t="n"/>
    </row>
    <row r="287" ht="23.25" customHeight="1" s="17">
      <c r="A287" s="26" t="inlineStr">
        <is>
          <t>R0286</t>
        </is>
      </c>
      <c r="B287" s="26" t="inlineStr">
        <is>
          <t>Scopus + WoS</t>
        </is>
      </c>
      <c r="C287" s="26" t="inlineStr">
        <is>
          <t>Lam W.S.; Lam W.H.; Lee P.F.</t>
        </is>
      </c>
      <c r="D287" s="26" t="n">
        <v>2023</v>
      </c>
      <c r="E287" s="27" t="inlineStr">
        <is>
          <t>A Bibliometric Analysis of Digital Twin in the Supply Chain</t>
        </is>
      </c>
      <c r="F287" s="26" t="inlineStr">
        <is>
          <t>Mathematics</t>
        </is>
      </c>
      <c r="G287" s="26" t="inlineStr">
        <is>
          <t>Article</t>
        </is>
      </c>
      <c r="H287" s="26" t="inlineStr">
        <is>
          <t>10.3390/math11153350</t>
        </is>
      </c>
      <c r="I287" s="26" t="inlineStr">
        <is>
          <t>TA</t>
        </is>
      </c>
      <c r="J287" s="37" t="inlineStr">
        <is>
          <t>Exclude</t>
        </is>
      </c>
      <c r="K287" s="37" t="inlineStr">
        <is>
          <t>Wrong publication type</t>
        </is>
      </c>
      <c r="L287" s="28" t="inlineStr">
        <is>
          <t>Strong candidate: twin + supply chain + AI all in title/abstract</t>
        </is>
      </c>
      <c r="M287" s="37" t="inlineStr">
        <is>
          <t>"This paper presents a bibliometric analysis of digital twin in the supply chain"; tendencias hacia aprendizaje profundo e IA. Valor para snowballing: alto.</t>
        </is>
      </c>
      <c r="N287" s="69" t="inlineStr">
        <is>
          <t>E4</t>
        </is>
      </c>
      <c r="O287" s="69" t="n">
        <v>6</v>
      </c>
      <c r="P287" s="69" t="inlineStr">
        <is>
          <t>Exclude</t>
        </is>
      </c>
      <c r="Q287" s="69" t="inlineStr">
        <is>
          <t>E4</t>
        </is>
      </c>
      <c r="R287" s="69" t="inlineStr">
        <is>
          <t>"This paper presents a bibliometric analysis of digital twin in the supply chain"; tendencias hacia aprendizaje profundo e IA. Valor para snowballing: alto.</t>
        </is>
      </c>
      <c r="S287" s="69" t="n"/>
    </row>
    <row r="288" ht="23.25" customHeight="1" s="17">
      <c r="A288" s="26" t="inlineStr">
        <is>
          <t>R0287</t>
        </is>
      </c>
      <c r="B288" s="26" t="inlineStr">
        <is>
          <t>Scopus</t>
        </is>
      </c>
      <c r="C288" s="26" t="inlineStr">
        <is>
          <t>Mantravadi S.; Srai J.S.; Møller C.</t>
        </is>
      </c>
      <c r="D288" s="26" t="n">
        <v>2023</v>
      </c>
      <c r="E288" s="27" t="inlineStr">
        <is>
          <t>Application of MES/MOM for Industry 4.0 supply chains: A cross-case analysis</t>
        </is>
      </c>
      <c r="F288" s="26" t="inlineStr">
        <is>
          <t>Computers in Industry</t>
        </is>
      </c>
      <c r="G288" s="26" t="inlineStr">
        <is>
          <t>Article</t>
        </is>
      </c>
      <c r="H288" s="26" t="inlineStr">
        <is>
          <t>10.1016/j.compind.2023.103907</t>
        </is>
      </c>
      <c r="I288" s="26" t="inlineStr">
        <is>
          <t>TA</t>
        </is>
      </c>
      <c r="J288" s="37" t="inlineStr">
        <is>
          <t>Exclude</t>
        </is>
      </c>
      <c r="K288" s="37" t="inlineStr">
        <is>
          <t>No digital twin/model</t>
        </is>
      </c>
      <c r="L288" s="28" t="inlineStr">
        <is>
          <t>Strong candidate: twin + supply chain + AI all in title/abstract</t>
        </is>
      </c>
      <c r="M288" s="37" t="inlineStr">
        <is>
          <t>Análisis cruzado de casos MES/MOM con entrevistas (regla C4); gemelo e IA sólo como inversiones mencionadas ("Industry 4.0 initiatives such as artificial intelligence-based analytics and digital twins"); también E3.</t>
        </is>
      </c>
      <c r="N288" s="69" t="inlineStr">
        <is>
          <t>E1</t>
        </is>
      </c>
      <c r="O288" s="69" t="n">
        <v>6</v>
      </c>
      <c r="P288" s="69" t="inlineStr">
        <is>
          <t>Exclude</t>
        </is>
      </c>
      <c r="Q288" s="69" t="inlineStr">
        <is>
          <t>E1</t>
        </is>
      </c>
      <c r="R288" s="69" t="inlineStr">
        <is>
          <t>Análisis cruzado de casos MES/MOM con entrevistas (regla C4); gemelo e IA sólo como inversiones mencionadas ("Industry 4.0 initiatives such as artificial intelligence-based analytics and digital twins"); también E3.</t>
        </is>
      </c>
      <c r="S288" s="69" t="n"/>
    </row>
    <row r="289" ht="23.25" customHeight="1" s="17">
      <c r="A289" s="26" t="inlineStr">
        <is>
          <t>R0288</t>
        </is>
      </c>
      <c r="B289" s="26" t="inlineStr">
        <is>
          <t>Scopus</t>
        </is>
      </c>
      <c r="C289" s="26" t="inlineStr">
        <is>
          <t>Akhai S.</t>
        </is>
      </c>
      <c r="D289" s="26" t="n">
        <v>2023</v>
      </c>
      <c r="E289" s="27" t="inlineStr">
        <is>
          <t>Navigating the Potential Applications and Challenges of Intelligent and Sustainable Manufacturing for a Greener Future</t>
        </is>
      </c>
      <c r="F289" s="26" t="inlineStr">
        <is>
          <t>Evergreen</t>
        </is>
      </c>
      <c r="G289" s="26" t="inlineStr">
        <is>
          <t>Article</t>
        </is>
      </c>
      <c r="H289" s="26" t="inlineStr">
        <is>
          <t>10.5109/7160899</t>
        </is>
      </c>
      <c r="I289" s="26" t="inlineStr">
        <is>
          <t>TA</t>
        </is>
      </c>
      <c r="J289" s="37" t="inlineStr">
        <is>
          <t>Exclude</t>
        </is>
      </c>
      <c r="K289" s="37" t="inlineStr">
        <is>
          <t>No digital twin/model</t>
        </is>
      </c>
      <c r="L289" s="28" t="inlineStr">
        <is>
          <t>Strong candidate: twin + supply chain + AI all in title/abstract</t>
        </is>
      </c>
      <c r="M289" s="37" t="inlineStr">
        <is>
          <t>Recodificado 2026-09-06 en la auditoría final (E2→E1): Texto expositivo sin gemelo del estudio: el gemelo aparece como tecnología de diseño y prototipado ("By optimizing simulation, testing, and design, digital twin technology eliminates the need for physical prototypes") (C1/C6); la cadena sólo como componente listado ("Optimization of the supply chain improves the visibility and sustainability of the supply chain"). | Nota original (E2): Panorama de manufactura inteligente y sostenible; el gemelo sólo para diseño y prototipos ("digital twin technology eliminates the need for physical prototypes") y la cadena como componente listado ("Optimization of the supply chain improves the visibility"), sin encuadre (regla Make).</t>
        </is>
      </c>
      <c r="N289" s="69" t="inlineStr">
        <is>
          <t>E1</t>
        </is>
      </c>
      <c r="O289" s="69" t="n">
        <v>6</v>
      </c>
      <c r="P289" s="69" t="inlineStr">
        <is>
          <t>Exclude</t>
        </is>
      </c>
      <c r="Q289" s="69" t="inlineStr">
        <is>
          <t>E2</t>
        </is>
      </c>
      <c r="R289" s="69" t="inlineStr">
        <is>
          <t>Panorama de manufactura inteligente y sostenible; el gemelo sólo para diseño y prototipos ("digital twin technology eliminates the need for physical prototypes") y la cadena como componente listado ("Optimization of the supply chain improves the visibility"), sin encuadre (regla Make).</t>
        </is>
      </c>
      <c r="S289" s="69" t="n"/>
    </row>
    <row r="290" ht="23.25" customHeight="1" s="17">
      <c r="A290" s="26" t="inlineStr">
        <is>
          <t>R0289</t>
        </is>
      </c>
      <c r="B290" s="26" t="inlineStr">
        <is>
          <t>Scopus</t>
        </is>
      </c>
      <c r="C290" s="26" t="inlineStr">
        <is>
          <t>Zhe W.; Xinhua Z.; Yiwei S.; Kaiqiang S.; Liang Z.; Hui D.</t>
        </is>
      </c>
      <c r="D290" s="26" t="n">
        <v>2023</v>
      </c>
      <c r="E290" s="27" t="inlineStr">
        <is>
          <t>Research on Key Technologies of CCUS Supply Chain Digital Twin System for Smart Agriculture</t>
        </is>
      </c>
      <c r="F290" s="26" t="inlineStr">
        <is>
          <t>Energy Proceedings</t>
        </is>
      </c>
      <c r="G290" s="26" t="inlineStr">
        <is>
          <t>Conference paper</t>
        </is>
      </c>
      <c r="H290" s="26" t="inlineStr">
        <is>
          <t>10.46855/energy-proceedings-10547</t>
        </is>
      </c>
      <c r="I290" s="26" t="inlineStr">
        <is>
          <t>TA</t>
        </is>
      </c>
      <c r="J290" s="37" t="inlineStr">
        <is>
          <t>Include</t>
        </is>
      </c>
      <c r="K290" s="37" t="n"/>
      <c r="L290" s="28" t="inlineStr">
        <is>
          <t>Strong candidate: twin + supply chain + AI all in title/abstract</t>
        </is>
      </c>
      <c r="M290" s="37" t="inlineStr">
        <is>
          <t>Gemelo de la cadena de suministro de CCUS agrícola: "The demand for carbon dioxide is predicted through artificial intelligence technology, and carbon capture is conducted according to the prediction results", con "intelligent decision-making and fine control of the whole process of agricultural CCUS supply chain". Calidad por evaluar.</t>
        </is>
      </c>
      <c r="N290" s="69" t="inlineStr">
        <is>
          <t>I</t>
        </is>
      </c>
      <c r="O290" s="69" t="n">
        <v>6</v>
      </c>
      <c r="P290" s="69" t="inlineStr">
        <is>
          <t>Include</t>
        </is>
      </c>
      <c r="Q290" s="69" t="inlineStr">
        <is>
          <t>I</t>
        </is>
      </c>
      <c r="R290" s="69" t="inlineStr">
        <is>
          <t>Gemelo de la cadena de suministro de CCUS agrícola: "The demand for carbon dioxide is predicted through artificial intelligence technology, and carbon capture is conducted according to the prediction results", con "intelligent decision-making and fine control of the whole process of agricultural CCUS supply chain". Calidad por evaluar.</t>
        </is>
      </c>
      <c r="S290" s="69" t="n"/>
    </row>
    <row r="291" ht="23.25" customHeight="1" s="17">
      <c r="A291" s="26" t="inlineStr">
        <is>
          <t>R0290</t>
        </is>
      </c>
      <c r="B291" s="26" t="inlineStr">
        <is>
          <t>Scopus</t>
        </is>
      </c>
      <c r="C291" s="26" t="inlineStr">
        <is>
          <t>Li N.; Sun J.</t>
        </is>
      </c>
      <c r="D291" s="26" t="n">
        <v>2023</v>
      </c>
      <c r="E291" s="27" t="inlineStr">
        <is>
          <t>Research on the Application of Digital Twin Technology in Intelligent Information System of Modern Logistics Warehouse</t>
        </is>
      </c>
      <c r="F291" s="26" t="inlineStr">
        <is>
          <t>2023 IEEE 3rd International Conference on Data Science and Computer Application, ICDSCA 2023</t>
        </is>
      </c>
      <c r="G291" s="26" t="inlineStr">
        <is>
          <t>Conference paper</t>
        </is>
      </c>
      <c r="H291" s="26" t="inlineStr">
        <is>
          <t>10.1109/icdsca59871.2023.10392494</t>
        </is>
      </c>
      <c r="I291" s="26" t="inlineStr">
        <is>
          <t>TA</t>
        </is>
      </c>
      <c r="J291" s="37" t="inlineStr">
        <is>
          <t>Include</t>
        </is>
      </c>
      <c r="K291" s="37" t="n"/>
      <c r="L291" s="28" t="inlineStr">
        <is>
          <t>Strong candidate: twin + supply chain + AI all in title/abstract</t>
        </is>
      </c>
      <c r="M291" s="37" t="inlineStr">
        <is>
          <t>Gemelo 3D de almacén logístico (Siemens PDPS): "The 'end to end' reinforcement learning algorithm is used to realize the cooperative optimal of inventory management and distribution decision for emergencies"; simulación verificada.</t>
        </is>
      </c>
      <c r="N291" s="69" t="inlineStr">
        <is>
          <t>I</t>
        </is>
      </c>
      <c r="O291" s="69" t="n">
        <v>6</v>
      </c>
      <c r="P291" s="69" t="inlineStr">
        <is>
          <t>Include</t>
        </is>
      </c>
      <c r="Q291" s="69" t="inlineStr">
        <is>
          <t>I</t>
        </is>
      </c>
      <c r="R291" s="69" t="inlineStr">
        <is>
          <t>Gemelo 3D de almacén logístico (Siemens PDPS): "The 'end to end' reinforcement learning algorithm is used to realize the cooperative optimal of inventory management and distribution decision for emergencies"; simulación verificada.</t>
        </is>
      </c>
      <c r="S291" s="69" t="n"/>
    </row>
    <row r="292" ht="23.25" customHeight="1" s="17">
      <c r="A292" s="26" t="inlineStr">
        <is>
          <t>R0291</t>
        </is>
      </c>
      <c r="B292" s="26" t="inlineStr">
        <is>
          <t>Scopus + WoS</t>
        </is>
      </c>
      <c r="C292" s="26" t="inlineStr">
        <is>
          <t>Tang Y.M.; Kuo W.T.; Lee C.K.M.</t>
        </is>
      </c>
      <c r="D292" s="26" t="n">
        <v>2023</v>
      </c>
      <c r="E292" s="27" t="inlineStr">
        <is>
          <t>Real-time Mixed Reality (MR) and Artificial Intelligence (AI) object recognition integration for digital twin in Industry 4.0</t>
        </is>
      </c>
      <c r="F292" s="26" t="inlineStr">
        <is>
          <t>Internet of Things (Netherlands)</t>
        </is>
      </c>
      <c r="G292" s="26" t="inlineStr">
        <is>
          <t>Article</t>
        </is>
      </c>
      <c r="H292" s="26" t="inlineStr">
        <is>
          <t>10.1016/j.iot.2023.100753</t>
        </is>
      </c>
      <c r="I292" s="26" t="inlineStr">
        <is>
          <t>TA</t>
        </is>
      </c>
      <c r="J292" s="37" t="inlineStr">
        <is>
          <t>Include</t>
        </is>
      </c>
      <c r="K292" s="37" t="n"/>
      <c r="L292" s="28" t="inlineStr">
        <is>
          <t>Strong candidate: twin + supply chain + AI all in title/abstract</t>
        </is>
      </c>
      <c r="M292" s="37" t="inlineStr">
        <is>
          <t>Arquitectura de gemelo con realidad mixta y "Object recognition is empowered by the AI algorithm in the backend cloud computing and database", con "the warehouse is used as a case scenario with simulations". Nota: la IA hace reconocimiento de objetos; verificar aporte a decisiones logísticas (frontera R0238).</t>
        </is>
      </c>
      <c r="N292" s="69" t="inlineStr">
        <is>
          <t>I</t>
        </is>
      </c>
      <c r="O292" s="69" t="n">
        <v>6</v>
      </c>
      <c r="P292" s="69" t="inlineStr">
        <is>
          <t>Include</t>
        </is>
      </c>
      <c r="Q292" s="69" t="inlineStr">
        <is>
          <t>I</t>
        </is>
      </c>
      <c r="R292" s="69" t="inlineStr">
        <is>
          <t>Arquitectura de gemelo con realidad mixta y "Object recognition is empowered by the AI algorithm in the backend cloud computing and database", con "the warehouse is used as a case scenario with simulations". Nota: la IA hace reconocimiento de objetos; verificar aporte a decisiones logísticas (frontera R0238).</t>
        </is>
      </c>
      <c r="S292" s="69" t="n"/>
    </row>
    <row r="293" ht="34.5" customHeight="1" s="17">
      <c r="A293" s="26" t="inlineStr">
        <is>
          <t>R0292</t>
        </is>
      </c>
      <c r="B293" s="26" t="inlineStr">
        <is>
          <t>Scopus</t>
        </is>
      </c>
      <c r="C293" s="26" t="inlineStr">
        <is>
          <t>Agavanakis K.; Quitard R.; Kousias N.; Mellios G.; Elkaim E.</t>
        </is>
      </c>
      <c r="D293" s="26" t="n">
        <v>2023</v>
      </c>
      <c r="E293" s="27" t="inlineStr">
        <is>
          <t>Driving Sustainability in Logistics Value Chains: A Telematics Data Hub Implementation for Accurate Carbon Footprint Assessment and Reporting Using Global Standards-based Tools</t>
        </is>
      </c>
      <c r="F293" s="26" t="inlineStr">
        <is>
          <t>AIP Conference Proceedings</t>
        </is>
      </c>
      <c r="G293" s="26" t="inlineStr">
        <is>
          <t>Conference paper</t>
        </is>
      </c>
      <c r="H293" s="26" t="inlineStr">
        <is>
          <t>10.1063/5.0171377</t>
        </is>
      </c>
      <c r="I293" s="26" t="inlineStr">
        <is>
          <t>TA</t>
        </is>
      </c>
      <c r="J293" s="37" t="inlineStr">
        <is>
          <t>Exclude</t>
        </is>
      </c>
      <c r="K293" s="37" t="inlineStr">
        <is>
          <t>No digital twin/model</t>
        </is>
      </c>
      <c r="L293" s="28" t="inlineStr">
        <is>
          <t>Strong candidate: twin + supply chain + AI all in title/abstract</t>
        </is>
      </c>
      <c r="M293" s="37" t="inlineStr">
        <is>
          <t>Concentrador de datos telemáticos para huella de carbono en logística; gemelos y ML sólo en lista de tecnologías de apoyo ("such as digital twins modeling, machine learning, NoSQL databases, elastic cloud services"); también E3.</t>
        </is>
      </c>
      <c r="N293" s="69" t="inlineStr">
        <is>
          <t>E1</t>
        </is>
      </c>
      <c r="O293" s="69" t="n">
        <v>6</v>
      </c>
      <c r="P293" s="69" t="inlineStr">
        <is>
          <t>Exclude</t>
        </is>
      </c>
      <c r="Q293" s="69" t="inlineStr">
        <is>
          <t>E1</t>
        </is>
      </c>
      <c r="R293" s="69" t="inlineStr">
        <is>
          <t>Concentrador de datos telemáticos para huella de carbono en logística; gemelos y ML sólo en lista de tecnologías de apoyo ("such as digital twins modeling, machine learning, NoSQL databases, elastic cloud services"); también E3.</t>
        </is>
      </c>
      <c r="S293" s="69" t="n"/>
    </row>
    <row r="294" ht="23.25" customHeight="1" s="17">
      <c r="A294" s="26" t="inlineStr">
        <is>
          <t>R0293</t>
        </is>
      </c>
      <c r="B294" s="26" t="inlineStr">
        <is>
          <t>Scopus</t>
        </is>
      </c>
      <c r="C294" s="26" t="inlineStr">
        <is>
          <t>Gaurav A.; Gupta B.B.; Tai Chui K.; Arya V.; Benkhelifa E.</t>
        </is>
      </c>
      <c r="D294" s="26" t="n">
        <v>2023</v>
      </c>
      <c r="E294" s="27" t="inlineStr">
        <is>
          <t>A DDoS Attack Detection System for Industry 5.0 using Digital Twins and Machine Learning</t>
        </is>
      </c>
      <c r="F294" s="26" t="inlineStr">
        <is>
          <t>GCCE 2023 - 2023 IEEE 12th Global Conference on Consumer Electronics</t>
        </is>
      </c>
      <c r="G294" s="26" t="inlineStr">
        <is>
          <t>Conference paper</t>
        </is>
      </c>
      <c r="H294" s="26" t="inlineStr">
        <is>
          <t>10.1109/gcce59613.2023.10315663</t>
        </is>
      </c>
      <c r="I294" s="26" t="inlineStr">
        <is>
          <t>TA</t>
        </is>
      </c>
      <c r="J294" s="37" t="inlineStr">
        <is>
          <t>Exclude</t>
        </is>
      </c>
      <c r="K294" s="37" t="inlineStr">
        <is>
          <t>No supply chain scope</t>
        </is>
      </c>
      <c r="L294" s="28" t="inlineStr">
        <is>
          <t>Strong candidate: twin + supply chain + AI all in title/abstract</t>
        </is>
      </c>
      <c r="M294" s="37" t="inlineStr">
        <is>
          <t>Detección de ataques DDoS con gemelos del flujo de producción y árboles de decisión; la cadena sólo como motivación ("disrupt the whole supply chain"), sin encuadre de planeación ni logística (regla Make).</t>
        </is>
      </c>
      <c r="N294" s="69" t="inlineStr">
        <is>
          <t>E2</t>
        </is>
      </c>
      <c r="O294" s="69" t="n">
        <v>6</v>
      </c>
      <c r="P294" s="69" t="inlineStr">
        <is>
          <t>Exclude</t>
        </is>
      </c>
      <c r="Q294" s="69" t="inlineStr">
        <is>
          <t>E2</t>
        </is>
      </c>
      <c r="R294" s="69" t="inlineStr">
        <is>
          <t>Detección de ataques DDoS con gemelos del flujo de producción y árboles de decisión; la cadena sólo como motivación ("disrupt the whole supply chain"), sin encuadre de planeación ni logística (regla Make).</t>
        </is>
      </c>
      <c r="S294" s="69" t="n"/>
    </row>
    <row r="295" ht="23.25" customHeight="1" s="17">
      <c r="A295" s="26" t="inlineStr">
        <is>
          <t>R0294</t>
        </is>
      </c>
      <c r="B295" s="26" t="inlineStr">
        <is>
          <t>Scopus + WoS</t>
        </is>
      </c>
      <c r="C295" s="26" t="inlineStr">
        <is>
          <t>Jamshidi M.; Dehghaniyan Serej A.; Jamshidi A.; Moztarzadeh O.</t>
        </is>
      </c>
      <c r="D295" s="26" t="n">
        <v>2023</v>
      </c>
      <c r="E295" s="27" t="inlineStr">
        <is>
          <t>The Meta-Metaverse: Ideation and Future Directions</t>
        </is>
      </c>
      <c r="F295" s="26" t="inlineStr">
        <is>
          <t>Future Internet</t>
        </is>
      </c>
      <c r="G295" s="26" t="inlineStr">
        <is>
          <t>Article</t>
        </is>
      </c>
      <c r="H295" s="26" t="inlineStr">
        <is>
          <t>10.3390/fi15080252</t>
        </is>
      </c>
      <c r="I295" s="26" t="inlineStr">
        <is>
          <t>TA</t>
        </is>
      </c>
      <c r="J295" s="37" t="inlineStr">
        <is>
          <t>Exclude</t>
        </is>
      </c>
      <c r="K295" s="37" t="inlineStr">
        <is>
          <t>No supply chain scope</t>
        </is>
      </c>
      <c r="L295" s="28" t="inlineStr">
        <is>
          <t>Strong candidate: twin + supply chain + AI all in title/abstract</t>
        </is>
      </c>
      <c r="M295" s="37" t="inlineStr">
        <is>
          <t>Ideación del Meta-Metaverso para "create realistic digital twins across various domains"; la cadena sólo como uno de muchos dominios listados; también E3 (IA sólo listada).</t>
        </is>
      </c>
      <c r="N295" s="69" t="inlineStr">
        <is>
          <t>E2</t>
        </is>
      </c>
      <c r="O295" s="69" t="n">
        <v>6</v>
      </c>
      <c r="P295" s="69" t="inlineStr">
        <is>
          <t>Exclude</t>
        </is>
      </c>
      <c r="Q295" s="69" t="inlineStr">
        <is>
          <t>E2</t>
        </is>
      </c>
      <c r="R295" s="69" t="inlineStr">
        <is>
          <t>Ideación del Meta-Metaverso para "create realistic digital twins across various domains"; la cadena sólo como uno de muchos dominios listados; también E3 (IA sólo listada).</t>
        </is>
      </c>
      <c r="S295" s="69" t="n"/>
    </row>
    <row r="296" ht="23.25" customHeight="1" s="17">
      <c r="A296" s="26" t="inlineStr">
        <is>
          <t>R0295</t>
        </is>
      </c>
      <c r="B296" s="26" t="inlineStr">
        <is>
          <t>Scopus</t>
        </is>
      </c>
      <c r="C296" s="26" t="inlineStr">
        <is>
          <t>Ud Din F.; Paul D.</t>
        </is>
      </c>
      <c r="D296" s="26" t="n">
        <v>2023</v>
      </c>
      <c r="E296" s="27" t="inlineStr">
        <is>
          <t>Demystifying xAOSF/AOSR Framework in the Context of Digital Twin and Industry 4.0</t>
        </is>
      </c>
      <c r="F296" s="26" t="inlineStr">
        <is>
          <t>Lecture Notes in Networks and Systems</t>
        </is>
      </c>
      <c r="G296" s="26" t="inlineStr">
        <is>
          <t>Conference paper</t>
        </is>
      </c>
      <c r="H296" s="26" t="inlineStr">
        <is>
          <t>10.1007/978-3-031-16075-2_44</t>
        </is>
      </c>
      <c r="I296" s="26" t="inlineStr">
        <is>
          <t>TA</t>
        </is>
      </c>
      <c r="J296" s="37" t="inlineStr">
        <is>
          <t>Include</t>
        </is>
      </c>
      <c r="K296" s="37" t="n"/>
      <c r="L296" s="28" t="inlineStr">
        <is>
          <t>Strong candidate: twin + supply chain + AI all in title/abstract</t>
        </is>
      </c>
      <c r="M296" s="37" t="inlineStr">
        <is>
          <t>[Make] Resuelto 2026-09-05 por Rodrigo: los sistemas multiagente cuentan como IA para el criterio 3. Marco xAOSF/AOSR de agentes que "presents an over-arching SC architecture, with an associated Agent Oriented Storage and Retrieval (AOSR) based warehouse management strategy" para realizar el gemelo. Make (fábrica inteligente encuadrada en arquitectura de cadena y almacén); conceptual.</t>
        </is>
      </c>
      <c r="N296" s="69" t="inlineStr">
        <is>
          <t>I</t>
        </is>
      </c>
      <c r="O296" s="69" t="n">
        <v>6</v>
      </c>
      <c r="P296" s="69" t="inlineStr">
        <is>
          <t>DUDA</t>
        </is>
      </c>
      <c r="Q296" s="69" t="inlineStr">
        <is>
          <t>DUDA</t>
        </is>
      </c>
      <c r="R296" s="69" t="inlineStr">
        <is>
          <t>Marco xAOSF/AOSR para realizar el gemelo: "presents an over-arching SC architecture, with an associated Agent Oriented Storage and Retrieval (AOSR) based warehouse management strategy"; la IA aparece en la lista de tecnologías complementarias ("especially Big Data, Internet of Thing (IoT), Artificial Intelligence (AI) and Multi-Agent Systems (MAS)") y el marco es de agentes. Regla pendiente: ¿los sistemas multiagente cuentan como IA para el criterio 3? Inclinación: I (Make) si cuentan; E3 si no.</t>
        </is>
      </c>
      <c r="S296" s="69" t="inlineStr">
        <is>
          <t>Make</t>
        </is>
      </c>
    </row>
    <row r="297" ht="23.25" customHeight="1" s="17">
      <c r="A297" s="26" t="inlineStr">
        <is>
          <t>R0296</t>
        </is>
      </c>
      <c r="B297" s="26" t="inlineStr">
        <is>
          <t>Scopus</t>
        </is>
      </c>
      <c r="C297" s="26" t="inlineStr">
        <is>
          <t>Aljazzar S.M.</t>
        </is>
      </c>
      <c r="D297" s="26" t="n">
        <v>2023</v>
      </c>
      <c r="E297" s="27" t="inlineStr">
        <is>
          <t>Harnessing Artificial Intelligence for Supply Chain Optimization: Enhanced Demand Prediction and Cost Reduction</t>
        </is>
      </c>
      <c r="F297" s="26" t="inlineStr">
        <is>
          <t>2nd International Engineering Conference on Electrical, Energy, and Artificial Intelligence, EICEEAI 2023</t>
        </is>
      </c>
      <c r="G297" s="26" t="inlineStr">
        <is>
          <t>Conference paper</t>
        </is>
      </c>
      <c r="H297" s="26" t="inlineStr">
        <is>
          <t>10.1109/eiceeai60672.2023.10590108</t>
        </is>
      </c>
      <c r="I297" s="26" t="inlineStr">
        <is>
          <t>TA</t>
        </is>
      </c>
      <c r="J297" s="37" t="inlineStr">
        <is>
          <t>Exclude</t>
        </is>
      </c>
      <c r="K297" s="37" t="inlineStr">
        <is>
          <t>Wrong publication type</t>
        </is>
      </c>
      <c r="L297" s="28" t="inlineStr">
        <is>
          <t>Strong candidate: twin + supply chain + AI all in title/abstract</t>
        </is>
      </c>
      <c r="M297" s="37" t="inlineStr">
        <is>
          <t>"The research seeks to offer an extensive review of artificial intelligence (AI) applications in the supply chain"; gemelos sólo como combinación futura. Valor para snowballing: medio.</t>
        </is>
      </c>
      <c r="N297" s="69" t="inlineStr">
        <is>
          <t>E4</t>
        </is>
      </c>
      <c r="O297" s="69" t="n">
        <v>6</v>
      </c>
      <c r="P297" s="69" t="inlineStr">
        <is>
          <t>Exclude</t>
        </is>
      </c>
      <c r="Q297" s="69" t="inlineStr">
        <is>
          <t>E4</t>
        </is>
      </c>
      <c r="R297" s="69" t="inlineStr">
        <is>
          <t>"The research seeks to offer an extensive review of artificial intelligence (AI) applications in the supply chain"; gemelos sólo como combinación futura. Valor para snowballing: medio.</t>
        </is>
      </c>
      <c r="S297" s="69" t="n"/>
    </row>
    <row r="298" ht="23.25" customHeight="1" s="17">
      <c r="A298" s="26" t="inlineStr">
        <is>
          <t>R0297</t>
        </is>
      </c>
      <c r="B298" s="26" t="inlineStr">
        <is>
          <t>Scopus + WoS</t>
        </is>
      </c>
      <c r="C298" s="26" t="inlineStr">
        <is>
          <t>Zhang W.; Yu C.; Xiao J.; Cheung D.; Kin H.; Zhong R.Y.</t>
        </is>
      </c>
      <c r="D298" s="26" t="n">
        <v>2023</v>
      </c>
      <c r="E298" s="27" t="inlineStr">
        <is>
          <t>DIGITAL-TWIN ENABLED CONSTRUCTION SYSTEM FOR SUPPLY CHAIN RISK MANAGEMENT</t>
        </is>
      </c>
      <c r="F298" s="26" t="inlineStr">
        <is>
          <t>IEEE International Conference on Automation Science and Engineering</t>
        </is>
      </c>
      <c r="G298" s="26" t="inlineStr">
        <is>
          <t>Conference paper</t>
        </is>
      </c>
      <c r="H298" s="26" t="inlineStr">
        <is>
          <t>10.1109/case56687.2023.10288632</t>
        </is>
      </c>
      <c r="I298" s="26" t="inlineStr">
        <is>
          <t>TA</t>
        </is>
      </c>
      <c r="J298" s="37" t="inlineStr">
        <is>
          <t>Include</t>
        </is>
      </c>
      <c r="K298" s="37" t="n"/>
      <c r="L298" s="28" t="inlineStr">
        <is>
          <t>Strong candidate: twin + supply chain + AI all in title/abstract</t>
        </is>
      </c>
      <c r="M298" s="37" t="inlineStr">
        <is>
          <t>"This paper presents a supply chain risk management strategy that uses a digital-twin enabled construction system with Kanban"; predicción de retrasos con "Gaussian Mixture Model (GMM) with probabilistic density fitting (PDF) of historical data". Nota: IA como modelo probabilístico de ML.</t>
        </is>
      </c>
      <c r="N298" s="69" t="inlineStr">
        <is>
          <t>I</t>
        </is>
      </c>
      <c r="O298" s="69" t="n">
        <v>6</v>
      </c>
      <c r="P298" s="69" t="inlineStr">
        <is>
          <t>Include</t>
        </is>
      </c>
      <c r="Q298" s="69" t="inlineStr">
        <is>
          <t>I</t>
        </is>
      </c>
      <c r="R298" s="69" t="inlineStr">
        <is>
          <t>"This paper presents a supply chain risk management strategy that uses a digital-twin enabled construction system with Kanban"; predicción de retrasos con "Gaussian Mixture Model (GMM) with probabilistic density fitting (PDF) of historical data". Nota: IA como modelo probabilístico de ML.</t>
        </is>
      </c>
      <c r="S298" s="69" t="n"/>
    </row>
    <row r="299" ht="23.25" customHeight="1" s="17">
      <c r="A299" s="26" t="inlineStr">
        <is>
          <t>R0298</t>
        </is>
      </c>
      <c r="B299" s="26" t="inlineStr">
        <is>
          <t>Scopus + WoS</t>
        </is>
      </c>
      <c r="C299" s="26" t="inlineStr">
        <is>
          <t>Badakhshan E.; Ball P.</t>
        </is>
      </c>
      <c r="D299" s="26" t="n">
        <v>2023</v>
      </c>
      <c r="E299" s="27" t="inlineStr">
        <is>
          <t>Applying digital twins for inventory and cash management in supply chains under physical and financial disruptions</t>
        </is>
      </c>
      <c r="F299" s="26" t="inlineStr">
        <is>
          <t>International Journal of Production Research</t>
        </is>
      </c>
      <c r="G299" s="26" t="inlineStr">
        <is>
          <t>Article</t>
        </is>
      </c>
      <c r="H299" s="26" t="inlineStr">
        <is>
          <t>10.1080/00207543.2022.2093682</t>
        </is>
      </c>
      <c r="I299" s="26" t="inlineStr">
        <is>
          <t>TA</t>
        </is>
      </c>
      <c r="J299" s="37" t="inlineStr">
        <is>
          <t>Include</t>
        </is>
      </c>
      <c r="K299" s="37" t="n"/>
      <c r="L299" s="28" t="inlineStr">
        <is>
          <t>Strong candidate: twin + supply chain + AI all in title/abstract</t>
        </is>
      </c>
      <c r="M299" s="37" t="inlineStr">
        <is>
          <t>Cadena bajo disrupciones físicas y financieras (IJPR): "The proposed SC digital twin framework integrates machine learning (ML) and simulation to identify the inventory and cash replenishment policies that minimise the impact of the disruptions". | Auditoría final 2026-09-06: Informe compañero: R0315 (IFAC 2022) excluido como E6 por la regla de pares. R0272 es un estudio distinto del mismo grupo (plan maestro de cadena) y se conserva.</t>
        </is>
      </c>
      <c r="N299" s="69" t="inlineStr">
        <is>
          <t>I</t>
        </is>
      </c>
      <c r="O299" s="69" t="n">
        <v>6</v>
      </c>
      <c r="P299" s="69" t="inlineStr">
        <is>
          <t>Include</t>
        </is>
      </c>
      <c r="Q299" s="69" t="inlineStr">
        <is>
          <t>I</t>
        </is>
      </c>
      <c r="R299" s="69" t="inlineStr">
        <is>
          <t>Cadena bajo disrupciones físicas y financieras (IJPR): "The proposed SC digital twin framework integrates machine learning (ML) and simulation to identify the inventory and cash replenishment policies that minimise the impact of the disruptions".</t>
        </is>
      </c>
      <c r="S299" s="69" t="n"/>
    </row>
    <row r="300" ht="23.25" customHeight="1" s="17">
      <c r="A300" s="26" t="inlineStr">
        <is>
          <t>R0299</t>
        </is>
      </c>
      <c r="B300" s="26" t="inlineStr">
        <is>
          <t>Scopus</t>
        </is>
      </c>
      <c r="C300" s="26" t="inlineStr">
        <is>
          <t>Khetani N.; Sharma A.; Kulkarni A.</t>
        </is>
      </c>
      <c r="D300" s="26" t="n">
        <v>2023</v>
      </c>
      <c r="E300" s="27" t="inlineStr">
        <is>
          <t>Real-Time Logistics and Warehouse Integration via Networks of the Future and Dynamic Digital Twins</t>
        </is>
      </c>
      <c r="F300" s="26" t="inlineStr">
        <is>
          <t>2023 IEEE Engineering Informatics, EI 2023</t>
        </is>
      </c>
      <c r="G300" s="26" t="inlineStr">
        <is>
          <t>Conference paper</t>
        </is>
      </c>
      <c r="H300" s="26" t="inlineStr">
        <is>
          <t>10.1109/ieeeconf58110.2023.10520525</t>
        </is>
      </c>
      <c r="I300" s="26" t="inlineStr">
        <is>
          <t>TA</t>
        </is>
      </c>
      <c r="J300" s="37" t="inlineStr">
        <is>
          <t>Include</t>
        </is>
      </c>
      <c r="K300" s="37" t="n"/>
      <c r="L300" s="28" t="inlineStr">
        <is>
          <t>Strong candidate: twin + supply chain + AI all in title/abstract</t>
        </is>
      </c>
      <c r="M300" s="37" t="inlineStr">
        <is>
          <t>Confirmado 2026-09-05 por Rodrigo: sí implementa. "This research presents a novel approach to integrate human-based operations with AMR to generate a realtime digital twin of automated warehouses"; modelo predictivo por regresión multivariante y algoritmo A*; humano y AMR integrados (relevante para HITL).</t>
        </is>
      </c>
      <c r="N300" s="69" t="inlineStr">
        <is>
          <t>I</t>
        </is>
      </c>
      <c r="O300" s="69" t="n">
        <v>6</v>
      </c>
      <c r="P300" s="69" t="inlineStr">
        <is>
          <t>Include</t>
        </is>
      </c>
      <c r="Q300" s="69" t="inlineStr">
        <is>
          <t>I</t>
        </is>
      </c>
      <c r="R300" s="69" t="inlineStr">
        <is>
          <t>"This research presents a novel approach to integrate human-based operations with AMR to generate a realtime digital twin of automated warehouses"; modelo predictivo por regresión multivariante y algoritmo A*. Incluido por sensibilidad; IA débil (regresión y búsqueda), verificar.</t>
        </is>
      </c>
      <c r="S300" s="69" t="n"/>
    </row>
    <row r="301" ht="23.25" customHeight="1" s="17">
      <c r="A301" s="26" t="inlineStr">
        <is>
          <t>R0300</t>
        </is>
      </c>
      <c r="B301" s="26" t="inlineStr">
        <is>
          <t>Scopus</t>
        </is>
      </c>
      <c r="C301" s="26" t="inlineStr">
        <is>
          <t>Aouani S.E.; Daldoul D.; Sboui L.; Chaabane A.</t>
        </is>
      </c>
      <c r="D301" s="26" t="n">
        <v>2023</v>
      </c>
      <c r="E301" s="27" t="inlineStr">
        <is>
          <t>Design and Implementation of a Digital Twin Testbed for Smart Warehouse Operations</t>
        </is>
      </c>
      <c r="F301" s="26" t="inlineStr">
        <is>
          <t>SCC 2023 - IEEE 3rd International Conference on Signal, Control and Communication</t>
        </is>
      </c>
      <c r="G301" s="26" t="inlineStr">
        <is>
          <t>Conference paper</t>
        </is>
      </c>
      <c r="H301" s="26" t="inlineStr">
        <is>
          <t>10.1109/scc59637.2023.10527573</t>
        </is>
      </c>
      <c r="I301" s="26" t="inlineStr">
        <is>
          <t>TA</t>
        </is>
      </c>
      <c r="J301" s="37" t="inlineStr">
        <is>
          <t>Exclude</t>
        </is>
      </c>
      <c r="K301" s="37" t="inlineStr">
        <is>
          <t>No AI/ML component</t>
        </is>
      </c>
      <c r="L301" s="28" t="inlineStr">
        <is>
          <t>Strong candidate: twin + supply chain + AI all in title/abstract</t>
        </is>
      </c>
      <c r="M301" s="37" t="inlineStr">
        <is>
          <t>[Antecedente C8: alto] Banco de pruebas de gemelo para almacén inteligente (RFID, RTLS, AnyLogic); la IA sólo como preparación futura ("preparing for the integration of Artificial Intelligence (AI) and blockchain").</t>
        </is>
      </c>
      <c r="N301" s="69" t="inlineStr">
        <is>
          <t>E3</t>
        </is>
      </c>
      <c r="O301" s="69" t="n">
        <v>6</v>
      </c>
      <c r="P301" s="69" t="inlineStr">
        <is>
          <t>Exclude</t>
        </is>
      </c>
      <c r="Q301" s="69" t="inlineStr">
        <is>
          <t>E3</t>
        </is>
      </c>
      <c r="R301" s="69" t="inlineStr">
        <is>
          <t>Banco de pruebas de gemelo para almacén inteligente (RFID, RTLS, AnyLogic); la IA sólo como preparación futura ("preparing for the integration of Artificial Intelligence (AI) and blockchain").</t>
        </is>
      </c>
      <c r="S301" s="69" t="n"/>
    </row>
    <row r="302" ht="23.25" customHeight="1" s="17">
      <c r="A302" s="26" t="inlineStr">
        <is>
          <t>R0301</t>
        </is>
      </c>
      <c r="B302" s="26" t="inlineStr">
        <is>
          <t>Scopus</t>
        </is>
      </c>
      <c r="C302" s="26" t="inlineStr">
        <is>
          <t>Aggarwal P.; Narwal B.; Mohapatra A.K.; Bhati P.</t>
        </is>
      </c>
      <c r="D302" s="26" t="n">
        <v>2023</v>
      </c>
      <c r="E302" s="27" t="inlineStr">
        <is>
          <t>Digital Twin in the Aviation Industry and the Role of Machine Learning: A Review</t>
        </is>
      </c>
      <c r="F302" s="26" t="inlineStr">
        <is>
          <t>Lecture Notes in Networks and Systems</t>
        </is>
      </c>
      <c r="G302" s="26" t="inlineStr">
        <is>
          <t>Conference paper</t>
        </is>
      </c>
      <c r="H302" s="26" t="inlineStr">
        <is>
          <t>10.1007/978-981-99-6568-7_41</t>
        </is>
      </c>
      <c r="I302" s="26" t="inlineStr">
        <is>
          <t>TA</t>
        </is>
      </c>
      <c r="J302" s="37" t="inlineStr">
        <is>
          <t>Exclude</t>
        </is>
      </c>
      <c r="K302" s="37" t="inlineStr">
        <is>
          <t>Wrong publication type</t>
        </is>
      </c>
      <c r="L302" s="28" t="inlineStr">
        <is>
          <t>Strong candidate: twin + supply chain + AI all in title/abstract</t>
        </is>
      </c>
      <c r="M302" s="37" t="inlineStr">
        <is>
          <t>Revisión ("Digital Twin in the Aviation Industry and the Role of Machine Learning: A Review"; "The objective of this paper is to familiarise readers with the notion of digital twin technology"); cadena sólo mencionada. Valor para snowballing: bajo.</t>
        </is>
      </c>
      <c r="N302" s="69" t="inlineStr">
        <is>
          <t>E4</t>
        </is>
      </c>
      <c r="O302" s="69" t="n">
        <v>7</v>
      </c>
      <c r="P302" s="69" t="inlineStr">
        <is>
          <t>Exclude</t>
        </is>
      </c>
      <c r="Q302" s="69" t="inlineStr">
        <is>
          <t>E4</t>
        </is>
      </c>
      <c r="R302" s="69" t="inlineStr">
        <is>
          <t>Revisión ("Digital Twin in the Aviation Industry and the Role of Machine Learning: A Review"; "The objective of this paper is to familiarise readers with the notion of digital twin technology"); cadena sólo mencionada. Valor para snowballing: bajo.</t>
        </is>
      </c>
      <c r="S302" s="69" t="n"/>
    </row>
    <row r="303" ht="23.25" customHeight="1" s="17">
      <c r="A303" s="26" t="inlineStr">
        <is>
          <t>R0302</t>
        </is>
      </c>
      <c r="B303" s="26" t="inlineStr">
        <is>
          <t>Scopus + WoS</t>
        </is>
      </c>
      <c r="C303" s="26" t="inlineStr">
        <is>
          <t>Elashmawy R.; Doron M.; Brecht J.K.; Uysal I.</t>
        </is>
      </c>
      <c r="D303" s="26" t="n">
        <v>2023</v>
      </c>
      <c r="E303" s="27" t="inlineStr">
        <is>
          <t>AI-Enabled Sensor-Driven Marketability Prediction of Strawberry Digital Twins</t>
        </is>
      </c>
      <c r="F303" s="26" t="inlineStr">
        <is>
          <t>Proceedings - 2023 IEEE Conference on Artificial Intelligence, CAI 2023</t>
        </is>
      </c>
      <c r="G303" s="26" t="inlineStr">
        <is>
          <t>Conference paper</t>
        </is>
      </c>
      <c r="H303" s="26" t="inlineStr">
        <is>
          <t>10.1109/cai54212.2023.00112</t>
        </is>
      </c>
      <c r="I303" s="26" t="inlineStr">
        <is>
          <t>TA</t>
        </is>
      </c>
      <c r="J303" s="37" t="inlineStr">
        <is>
          <t>Include</t>
        </is>
      </c>
      <c r="K303" s="37" t="n"/>
      <c r="L303" s="28" t="inlineStr">
        <is>
          <t>Strong candidate: twin + supply chain + AI all in title/abstract</t>
        </is>
      </c>
      <c r="M303" s="37" t="inlineStr">
        <is>
          <t>Gemelo de producto perecedero en almacenamiento y transporte con ML: "we propose a novel sensor and data-driven marketability model to accompany the digital twin of a strawberry based on the environmental conditions encountered throughout the storage and transportation"; regresión de vectores de soporte para "smart distribution such as First-Expired-First-Out". Mismo trato que R0119.</t>
        </is>
      </c>
      <c r="N303" s="69" t="inlineStr">
        <is>
          <t>I</t>
        </is>
      </c>
      <c r="O303" s="69" t="n">
        <v>7</v>
      </c>
      <c r="P303" s="69" t="inlineStr">
        <is>
          <t>Include</t>
        </is>
      </c>
      <c r="Q303" s="69" t="inlineStr">
        <is>
          <t>I</t>
        </is>
      </c>
      <c r="R303" s="69" t="inlineStr">
        <is>
          <t>Gemelo de producto perecedero en almacenamiento y transporte con ML: "we propose a novel sensor and data-driven marketability model to accompany the digital twin of a strawberry based on the environmental conditions encountered throughout the storage and transportation"; regresión de vectores de soporte para "smart distribution such as First-Expired-First-Out". Mismo trato que R0119.</t>
        </is>
      </c>
      <c r="S303" s="69" t="n"/>
    </row>
    <row r="304" ht="23.25" customHeight="1" s="17">
      <c r="A304" s="26" t="inlineStr">
        <is>
          <t>R0303</t>
        </is>
      </c>
      <c r="B304" s="26" t="inlineStr">
        <is>
          <t>Scopus + WoS</t>
        </is>
      </c>
      <c r="C304" s="26" t="inlineStr">
        <is>
          <t>Zhang H.; Yan Q.; Qin Y.; Chen S.; Zhang G.</t>
        </is>
      </c>
      <c r="D304" s="26" t="n">
        <v>2023</v>
      </c>
      <c r="E304" s="27" t="inlineStr">
        <is>
          <t>A Novel Approach of Resource Allocation for Distributed Digital Twin Shop-Floor</t>
        </is>
      </c>
      <c r="F304" s="26" t="inlineStr">
        <is>
          <t>Information (Switzerland)</t>
        </is>
      </c>
      <c r="G304" s="26" t="inlineStr">
        <is>
          <t>Article</t>
        </is>
      </c>
      <c r="H304" s="26" t="inlineStr">
        <is>
          <t>10.3390/info14080458</t>
        </is>
      </c>
      <c r="I304" s="26" t="inlineStr">
        <is>
          <t>TA</t>
        </is>
      </c>
      <c r="J304" s="37" t="inlineStr">
        <is>
          <t>Exclude</t>
        </is>
      </c>
      <c r="K304" s="37" t="inlineStr">
        <is>
          <t>No supply chain scope</t>
        </is>
      </c>
      <c r="L304" s="28" t="inlineStr">
        <is>
          <t>Strong candidate: twin + supply chain + AI all in title/abstract</t>
        </is>
      </c>
      <c r="M304" s="37" t="inlineStr">
        <is>
          <t>Gemelo distribuido de talleres con red neuronal BP y algoritmo genético para asignar recursos entre plantas ("dynamic allocation of geographic resources"); la cadena sólo como motivación ("Facing global market competition and supply chain risks"), sin encuadre de planeación de cadena (regla Make). Límite.</t>
        </is>
      </c>
      <c r="N304" s="69" t="inlineStr">
        <is>
          <t>E2</t>
        </is>
      </c>
      <c r="O304" s="69" t="n">
        <v>7</v>
      </c>
      <c r="P304" s="69" t="inlineStr">
        <is>
          <t>Exclude</t>
        </is>
      </c>
      <c r="Q304" s="69" t="inlineStr">
        <is>
          <t>E2</t>
        </is>
      </c>
      <c r="R304" s="69" t="inlineStr">
        <is>
          <t>Gemelo distribuido de talleres con red neuronal BP y algoritmo genético para asignar recursos entre plantas ("dynamic allocation of geographic resources"); la cadena sólo como motivación ("Facing global market competition and supply chain risks"), sin encuadre de planeación de cadena (regla Make). Límite.</t>
        </is>
      </c>
      <c r="S304" s="69" t="n"/>
    </row>
    <row r="305" ht="23.25" customHeight="1" s="17">
      <c r="A305" s="26" t="inlineStr">
        <is>
          <t>R0304</t>
        </is>
      </c>
      <c r="B305" s="26" t="inlineStr">
        <is>
          <t>Scopus + WoS</t>
        </is>
      </c>
      <c r="C305" s="26" t="inlineStr">
        <is>
          <t>Golinska-Dawson P.; Sethanan K.</t>
        </is>
      </c>
      <c r="D305" s="26" t="n">
        <v>2023</v>
      </c>
      <c r="E305" s="27" t="inlineStr">
        <is>
          <t>Sustainable Urban Freight for Energy-Efficient Smart Cities—Systematic Literature Review</t>
        </is>
      </c>
      <c r="F305" s="26" t="inlineStr">
        <is>
          <t>Energies</t>
        </is>
      </c>
      <c r="G305" s="26" t="inlineStr">
        <is>
          <t>Article</t>
        </is>
      </c>
      <c r="H305" s="26" t="inlineStr">
        <is>
          <t>10.3390/en16062617</t>
        </is>
      </c>
      <c r="I305" s="26" t="inlineStr">
        <is>
          <t>TA</t>
        </is>
      </c>
      <c r="J305" s="37" t="inlineStr">
        <is>
          <t>Exclude</t>
        </is>
      </c>
      <c r="K305" s="37" t="inlineStr">
        <is>
          <t>Wrong publication type</t>
        </is>
      </c>
      <c r="L305" s="28" t="inlineStr">
        <is>
          <t>Strong candidate: twin + supply chain + AI all in title/abstract</t>
        </is>
      </c>
      <c r="M305" s="37" t="inlineStr">
        <is>
          <t>"The purpose of this paper is to identify through a systematic literature review which innovations (hardware and software) applied by logistics service providers (LSPs) in sustainable urban freight"; gemelos e IA como tecnologías inteligentes analizadas. Valor para snowballing: medio (ajustado en la auditoría final 2026-09-06, antes bajo: logística urbana nombrada y gemelos e IA entre las innovaciones analizadas).</t>
        </is>
      </c>
      <c r="N305" s="69" t="inlineStr">
        <is>
          <t>E4</t>
        </is>
      </c>
      <c r="O305" s="69" t="n">
        <v>7</v>
      </c>
      <c r="P305" s="69" t="inlineStr">
        <is>
          <t>Exclude</t>
        </is>
      </c>
      <c r="Q305" s="69" t="inlineStr">
        <is>
          <t>E4</t>
        </is>
      </c>
      <c r="R305" s="69" t="inlineStr">
        <is>
          <t>"The purpose of this paper is to identify through a systematic literature review which innovations (hardware and software) applied by logistics service providers (LSPs) in sustainable urban freight"; gemelos e IA como tecnologías inteligentes analizadas. Valor para snowballing: bajo.</t>
        </is>
      </c>
      <c r="S305" s="69" t="n"/>
    </row>
    <row r="306" ht="23.25" customHeight="1" s="17">
      <c r="A306" s="26" t="inlineStr">
        <is>
          <t>R0305</t>
        </is>
      </c>
      <c r="B306" s="26" t="inlineStr">
        <is>
          <t>Scopus</t>
        </is>
      </c>
      <c r="C306" s="26" t="inlineStr">
        <is>
          <t>Ettehadi R.; Onegova E.; Fevang F.Ø.; Knizhnik A.; Postovalov S.; Brevik J.O.; Thompson C., Jr.; Egorenkova T.; Kaageson-Loe N.</t>
        </is>
      </c>
      <c r="D306" s="26" t="n">
        <v>2023</v>
      </c>
      <c r="E306" s="27" t="inlineStr">
        <is>
          <t>Autonomous Drilling Fluid Management System - Development of Fluid Advisory System and First Lab Trial</t>
        </is>
      </c>
      <c r="F306" s="26" t="inlineStr">
        <is>
          <t>Proceedings - SPE Annual Technical Conference and Exhibition</t>
        </is>
      </c>
      <c r="G306" s="26" t="inlineStr">
        <is>
          <t>Conference paper</t>
        </is>
      </c>
      <c r="H306" s="26" t="inlineStr">
        <is>
          <t>10.2118/215047-ms</t>
        </is>
      </c>
      <c r="I306" s="26" t="inlineStr">
        <is>
          <t>TA</t>
        </is>
      </c>
      <c r="J306" s="37" t="inlineStr">
        <is>
          <t>Exclude</t>
        </is>
      </c>
      <c r="K306" s="37" t="inlineStr">
        <is>
          <t>No supply chain scope</t>
        </is>
      </c>
      <c r="L306" s="28" t="inlineStr">
        <is>
          <t>Strong candidate: twin + supply chain + AI all in title/abstract</t>
        </is>
      </c>
      <c r="M306" s="37" t="inlineStr">
        <is>
          <t>Sistema asesor de fluidos de perforación con modelo ML llamado gemelo ("a training pipeline for creating a fluid property model (digital twin) using Machine Learning (ML)"); la cadena sólo como beneficio listado ("more efficient rig supply chain"), sin encuadre.</t>
        </is>
      </c>
      <c r="N306" s="69" t="inlineStr">
        <is>
          <t>E2</t>
        </is>
      </c>
      <c r="O306" s="69" t="n">
        <v>7</v>
      </c>
      <c r="P306" s="69" t="inlineStr">
        <is>
          <t>Exclude</t>
        </is>
      </c>
      <c r="Q306" s="69" t="inlineStr">
        <is>
          <t>E2</t>
        </is>
      </c>
      <c r="R306" s="69" t="inlineStr">
        <is>
          <t>Sistema asesor de fluidos de perforación con modelo ML llamado gemelo ("a training pipeline for creating a fluid property model (digital twin) using Machine Learning (ML)"); la cadena sólo como beneficio listado ("more efficient rig supply chain"), sin encuadre.</t>
        </is>
      </c>
      <c r="S306" s="69" t="n"/>
    </row>
    <row r="307" ht="23.25" customHeight="1" s="17">
      <c r="A307" s="26" t="inlineStr">
        <is>
          <t>R0306</t>
        </is>
      </c>
      <c r="B307" s="26" t="inlineStr">
        <is>
          <t>Scopus + WoS</t>
        </is>
      </c>
      <c r="C307" s="26" t="inlineStr">
        <is>
          <t>Lim J.-B.; Jeong J.</t>
        </is>
      </c>
      <c r="D307" s="26" t="n">
        <v>2023</v>
      </c>
      <c r="E307" s="27" t="inlineStr">
        <is>
          <t>Factory Simulation of Optimization Techniques Based on Deep Reinforcement Learning for Storage Devices</t>
        </is>
      </c>
      <c r="F307" s="26" t="inlineStr">
        <is>
          <t>Applied Sciences (Switzerland)</t>
        </is>
      </c>
      <c r="G307" s="26" t="inlineStr">
        <is>
          <t>Article</t>
        </is>
      </c>
      <c r="H307" s="26" t="inlineStr">
        <is>
          <t>10.3390/app13179690</t>
        </is>
      </c>
      <c r="I307" s="26" t="inlineStr">
        <is>
          <t>TA</t>
        </is>
      </c>
      <c r="J307" s="37" t="inlineStr">
        <is>
          <t>Include</t>
        </is>
      </c>
      <c r="K307" s="37" t="n"/>
      <c r="L307" s="28" t="inlineStr">
        <is>
          <t>Strong candidate: twin + supply chain + AI all in title/abstract</t>
        </is>
      </c>
      <c r="M307" s="37" t="inlineStr">
        <is>
          <t>[Make] Resuelto 2026-09-05 por Rodrigo: los autores declaran explícitamente el modelo ("we defined an RL environment, modeled it, and validated its ability to simulate a real physical system") con el gemelo como propósito ("to optimize storage devices for use in Industry 4.0 and digital twins"), lo que satisface el criterio 1 (gemelo o modelo digital); PPO sobre un stocker que "simulates logistics in a manufacturing production area". Make (logística intra-planta).</t>
        </is>
      </c>
      <c r="N307" s="69" t="inlineStr">
        <is>
          <t>I</t>
        </is>
      </c>
      <c r="O307" s="69" t="n">
        <v>7</v>
      </c>
      <c r="P307" s="69" t="inlineStr">
        <is>
          <t>DUDA</t>
        </is>
      </c>
      <c r="Q307" s="69" t="inlineStr">
        <is>
          <t>DUDA</t>
        </is>
      </c>
      <c r="R307" s="69" t="inlineStr">
        <is>
          <t>Aprendizaje por refuerzo (PPO) en simulación de fábrica para un stocker que "simulates logistics in a manufacturing production area" (logística intra-planta); el gemelo es el propósito declarado ("to optimize storage devices for use in Industry 4.0 and digital twins", palabra clave de autor) y el entorno se valida como réplica ("validated its ability to simulate a real physical system"), pero los autores nunca llaman gemelo a su modelo. Entre R0272 (objetivo declarado) y R0161 (no se infiere). Inclinación: I (Make).</t>
        </is>
      </c>
      <c r="S307" s="69" t="inlineStr">
        <is>
          <t>Make</t>
        </is>
      </c>
    </row>
    <row r="308" ht="23.25" customHeight="1" s="17">
      <c r="A308" s="26" t="inlineStr">
        <is>
          <t>R0307</t>
        </is>
      </c>
      <c r="B308" s="26" t="inlineStr">
        <is>
          <t>Scopus + WoS</t>
        </is>
      </c>
      <c r="C308" s="26" t="inlineStr">
        <is>
          <t>Sun X.; Yu H.; Solvang W.D.</t>
        </is>
      </c>
      <c r="D308" s="26" t="n">
        <v>2023</v>
      </c>
      <c r="E308" s="27" t="inlineStr">
        <is>
          <t>A Digital Reverse Logistics Twin for Improving Sustainability in Industry 5.0</t>
        </is>
      </c>
      <c r="F308" s="26" t="inlineStr">
        <is>
          <t>IFIP Advances in Information and Communication Technology</t>
        </is>
      </c>
      <c r="G308" s="26" t="inlineStr">
        <is>
          <t>Conference paper</t>
        </is>
      </c>
      <c r="H308" s="26" t="inlineStr">
        <is>
          <t>10.1007/978-3-031-43666-6_19</t>
        </is>
      </c>
      <c r="I308" s="26" t="inlineStr">
        <is>
          <t>TA</t>
        </is>
      </c>
      <c r="J308" s="37" t="inlineStr">
        <is>
          <t>Exclude</t>
        </is>
      </c>
      <c r="K308" s="37" t="inlineStr">
        <is>
          <t>No AI/ML component</t>
        </is>
      </c>
      <c r="L308" s="28" t="inlineStr">
        <is>
          <t>Strong candidate: twin + supply chain + AI all in title/abstract</t>
        </is>
      </c>
      <c r="M308" s="37" t="inlineStr">
        <is>
          <t>[Antecedente C8: medio] Gemelo de logística inversa orientado a sistema con prueba de concepto (red de remanufactura en Noruega); la IA sólo en la lista de tecnologías disruptivas ("e.g., Internet-of-things (IoT), artificial intelligence (AI), big data analysis, simulation, blockchain, etc."), sin método en el gemelo. Límite; verificar. | Auditoría final 2026-09-06: valor del pool ajustado de alto a medio (la prueba de concepto ilustra un diseño de sistema; el gemelo no está validado en operación).</t>
        </is>
      </c>
      <c r="N308" s="69" t="inlineStr">
        <is>
          <t>E3</t>
        </is>
      </c>
      <c r="O308" s="69" t="n">
        <v>7</v>
      </c>
      <c r="P308" s="69" t="inlineStr">
        <is>
          <t>Exclude</t>
        </is>
      </c>
      <c r="Q308" s="69" t="inlineStr">
        <is>
          <t>E3</t>
        </is>
      </c>
      <c r="R308" s="69" t="inlineStr">
        <is>
          <t>Gemelo de logística inversa orientado a sistema con prueba de concepto (red de remanufactura en Noruega); la IA sólo en la lista de tecnologías disruptivas ("e.g., Internet-of-things (IoT), artificial intelligence (AI), big data analysis, simulation, blockchain, etc."), sin método en el gemelo. Límite; verificar.</t>
        </is>
      </c>
      <c r="S308" s="69" t="n"/>
    </row>
    <row r="309" ht="23.25" customHeight="1" s="17">
      <c r="A309" s="26" t="inlineStr">
        <is>
          <t>R0308</t>
        </is>
      </c>
      <c r="B309" s="26" t="inlineStr">
        <is>
          <t>Scopus</t>
        </is>
      </c>
      <c r="C309" s="26" t="inlineStr">
        <is>
          <t>Perno M.; Hvam L.; Haug A.</t>
        </is>
      </c>
      <c r="D309" s="26" t="n">
        <v>2023</v>
      </c>
      <c r="E309" s="27" t="inlineStr">
        <is>
          <t>A machine learning digital twin approach for critical process parameter prediction in a catalyst manufacturing line</t>
        </is>
      </c>
      <c r="F309" s="26" t="inlineStr">
        <is>
          <t>Computers in Industry</t>
        </is>
      </c>
      <c r="G309" s="26" t="inlineStr">
        <is>
          <t>Article</t>
        </is>
      </c>
      <c r="H309" s="26" t="inlineStr">
        <is>
          <t>10.1016/j.compind.2023.103987</t>
        </is>
      </c>
      <c r="I309" s="26" t="inlineStr">
        <is>
          <t>TA</t>
        </is>
      </c>
      <c r="J309" s="37" t="inlineStr">
        <is>
          <t>Exclude</t>
        </is>
      </c>
      <c r="K309" s="37" t="inlineStr">
        <is>
          <t>No supply chain scope</t>
        </is>
      </c>
      <c r="L309" s="28" t="inlineStr">
        <is>
          <t>Strong candidate: twin + supply chain + AI all in title/abstract</t>
        </is>
      </c>
      <c r="M309" s="37" t="inlineStr">
        <is>
          <t>Marco de gemelo basado en ML para predecir parámetros críticos en una línea de catalizadores (Computers in Industry); la cadena sólo en la frase genérica inicial ("to gain a competitive advantage and optimize their supply chains"), sin encuadre del estudio (regla Make, C5).</t>
        </is>
      </c>
      <c r="N309" s="69" t="inlineStr">
        <is>
          <t>E2</t>
        </is>
      </c>
      <c r="O309" s="69" t="n">
        <v>7</v>
      </c>
      <c r="P309" s="69" t="inlineStr">
        <is>
          <t>Exclude</t>
        </is>
      </c>
      <c r="Q309" s="69" t="inlineStr">
        <is>
          <t>E2</t>
        </is>
      </c>
      <c r="R309" s="69" t="inlineStr">
        <is>
          <t>Marco de gemelo basado en ML para predecir parámetros críticos en una línea de catalizadores (Computers in Industry); la cadena sólo en la frase genérica inicial ("to gain a competitive advantage and optimize their supply chains"), sin encuadre del estudio (regla Make, C5).</t>
        </is>
      </c>
      <c r="S309" s="69" t="n"/>
    </row>
    <row r="310" ht="23.25" customHeight="1" s="17">
      <c r="A310" s="26" t="inlineStr">
        <is>
          <t>R0309</t>
        </is>
      </c>
      <c r="B310" s="26" t="inlineStr">
        <is>
          <t>Scopus + WoS</t>
        </is>
      </c>
      <c r="C310" s="26" t="inlineStr">
        <is>
          <t>Ivanov D.</t>
        </is>
      </c>
      <c r="D310" s="26" t="n">
        <v>2023</v>
      </c>
      <c r="E310" s="27" t="inlineStr">
        <is>
          <t>Intelligent digital twin (iDT) for supply chain stress-testing, resilience, and viability</t>
        </is>
      </c>
      <c r="F310" s="26" t="inlineStr">
        <is>
          <t>International Journal of Production Economics</t>
        </is>
      </c>
      <c r="G310" s="26" t="inlineStr">
        <is>
          <t>Article</t>
        </is>
      </c>
      <c r="H310" s="26" t="inlineStr">
        <is>
          <t>10.1016/j.ijpe.2023.108938</t>
        </is>
      </c>
      <c r="I310" s="26" t="inlineStr">
        <is>
          <t>TA</t>
        </is>
      </c>
      <c r="J310" s="37" t="inlineStr">
        <is>
          <t>Include</t>
        </is>
      </c>
      <c r="K310" s="37" t="n"/>
      <c r="L310" s="28" t="inlineStr">
        <is>
          <t>Strong candidate: twin + supply chain + AI all in title/abstract</t>
        </is>
      </c>
      <c r="M310" s="37" t="inlineStr">
        <is>
          <t>Gemelo inteligente para pruebas de estrés de cadena (IJPE): "We position our proposed approach as an intelligent digital twin (iDT) – a human–AI system which visualizes physical SCs in digital form, collects and processes data for modelling using analytics methods, mimics human decision-making rules, and creates new knowledge and decision-making algorithms through human–AI collaboration". Central para HITL.</t>
        </is>
      </c>
      <c r="N310" s="69" t="inlineStr">
        <is>
          <t>I</t>
        </is>
      </c>
      <c r="O310" s="69" t="n">
        <v>7</v>
      </c>
      <c r="P310" s="69" t="inlineStr">
        <is>
          <t>Include</t>
        </is>
      </c>
      <c r="Q310" s="69" t="inlineStr">
        <is>
          <t>I</t>
        </is>
      </c>
      <c r="R310" s="69" t="inlineStr">
        <is>
          <t>Gemelo inteligente para pruebas de estrés de cadena (IJPE): "We position our proposed approach as an intelligent digital twin (iDT) – a human–AI system which visualizes physical SCs in digital form, collects and processes data for modelling using analytics methods, mimics human decision-making rules, and creates new knowledge and decision-making algorithms through human–AI collaboration". Central para HITL.</t>
        </is>
      </c>
      <c r="S310" s="69" t="n"/>
    </row>
    <row r="311" ht="23.25" customHeight="1" s="17">
      <c r="A311" s="26" t="inlineStr">
        <is>
          <t>R0310</t>
        </is>
      </c>
      <c r="B311" s="26" t="inlineStr">
        <is>
          <t>Scopus</t>
        </is>
      </c>
      <c r="C311" s="26" t="inlineStr">
        <is>
          <t>Barge P.; Franchetto M.A.A.; Maritano V.; Tortia C.; Gay P.; Schifanella C.; Cena F.</t>
        </is>
      </c>
      <c r="D311" s="26" t="n">
        <v>2023</v>
      </c>
      <c r="E311" s="27" t="inlineStr">
        <is>
          <t>Blockchain Technology for Food Supply Chain Traceability and Authentication</t>
        </is>
      </c>
      <c r="F311" s="26" t="inlineStr">
        <is>
          <t>Lecture Notes in Civil Engineering</t>
        </is>
      </c>
      <c r="G311" s="26" t="inlineStr">
        <is>
          <t>Conference paper</t>
        </is>
      </c>
      <c r="H311" s="26" t="inlineStr">
        <is>
          <t>10.1007/978-3-031-30329-6_30</t>
        </is>
      </c>
      <c r="I311" s="26" t="inlineStr">
        <is>
          <t>TA</t>
        </is>
      </c>
      <c r="J311" s="37" t="inlineStr">
        <is>
          <t>Exclude</t>
        </is>
      </c>
      <c r="K311" s="37" t="inlineStr">
        <is>
          <t>No digital twin/model</t>
        </is>
      </c>
      <c r="L311" s="28" t="inlineStr">
        <is>
          <t>Strong candidate: twin + supply chain + AI all in title/abstract</t>
        </is>
      </c>
      <c r="M311" s="37" t="inlineStr">
        <is>
          <t>Trazabilidad blockchain para cadenas lácteas; el gemelo es un registro de producto accesible por QR ("A mobile application has been developed to connect the physical products with their digital twins"), contenedor de datos (C6); también E3 (IA sólo para marketing).</t>
        </is>
      </c>
      <c r="N311" s="69" t="inlineStr">
        <is>
          <t>E1</t>
        </is>
      </c>
      <c r="O311" s="69" t="n">
        <v>7</v>
      </c>
      <c r="P311" s="69" t="inlineStr">
        <is>
          <t>Exclude</t>
        </is>
      </c>
      <c r="Q311" s="69" t="inlineStr">
        <is>
          <t>E1</t>
        </is>
      </c>
      <c r="R311" s="69" t="inlineStr">
        <is>
          <t>Trazabilidad blockchain para cadenas lácteas; el gemelo es un registro de producto accesible por QR ("A mobile application has been developed to connect the physical products with their digital twins"), contenedor de datos (C6); también E3 (IA sólo para marketing).</t>
        </is>
      </c>
      <c r="S311" s="69" t="n"/>
    </row>
    <row r="312" ht="23.25" customHeight="1" s="17">
      <c r="A312" s="26" t="inlineStr">
        <is>
          <t>R0311</t>
        </is>
      </c>
      <c r="B312" s="26" t="inlineStr">
        <is>
          <t>Scopus + WoS</t>
        </is>
      </c>
      <c r="C312" s="26" t="inlineStr">
        <is>
          <t>Quadras D.; Rigon B.; da Silva E.R.; Frazzon E.</t>
        </is>
      </c>
      <c r="D312" s="26" t="n">
        <v>2023</v>
      </c>
      <c r="E312" s="27" t="inlineStr">
        <is>
          <t>Challenges and perspectives for agribusiness logistics chain in the Industry 4.0 era</t>
        </is>
      </c>
      <c r="F312" s="26" t="inlineStr">
        <is>
          <t>Procedia CIRP</t>
        </is>
      </c>
      <c r="G312" s="26" t="inlineStr">
        <is>
          <t>Conference paper</t>
        </is>
      </c>
      <c r="H312" s="26" t="inlineStr">
        <is>
          <t>10.1016/j.procir.2023.09.187</t>
        </is>
      </c>
      <c r="I312" s="26" t="inlineStr">
        <is>
          <t>TA</t>
        </is>
      </c>
      <c r="J312" s="37" t="inlineStr">
        <is>
          <t>Exclude</t>
        </is>
      </c>
      <c r="K312" s="37" t="inlineStr">
        <is>
          <t>Wrong publication type</t>
        </is>
      </c>
      <c r="L312" s="28" t="inlineStr">
        <is>
          <t>Strong candidate: twin + supply chain + AI all in title/abstract</t>
        </is>
      </c>
      <c r="M312" s="37" t="inlineStr">
        <is>
          <t>"the present study conducts a literature review to analyze how Industry 4.0 technologies have been applied to the agribusiness logistics chain"; ML y gemelos entre las tecnologías; propone modelo teórico. Valor para snowballing: medio.</t>
        </is>
      </c>
      <c r="N312" s="69" t="inlineStr">
        <is>
          <t>E4</t>
        </is>
      </c>
      <c r="O312" s="69" t="n">
        <v>7</v>
      </c>
      <c r="P312" s="69" t="inlineStr">
        <is>
          <t>Exclude</t>
        </is>
      </c>
      <c r="Q312" s="69" t="inlineStr">
        <is>
          <t>E4</t>
        </is>
      </c>
      <c r="R312" s="69" t="inlineStr">
        <is>
          <t>"the present study conducts a literature review to analyze how Industry 4.0 technologies have been applied to the agribusiness logistics chain"; ML y gemelos entre las tecnologías; propone modelo teórico. Valor para snowballing: medio.</t>
        </is>
      </c>
      <c r="S312" s="69" t="n"/>
    </row>
    <row r="313" ht="23.25" customHeight="1" s="17">
      <c r="A313" s="26" t="inlineStr">
        <is>
          <t>R0312</t>
        </is>
      </c>
      <c r="B313" s="26" t="inlineStr">
        <is>
          <t>Scopus + WoS</t>
        </is>
      </c>
      <c r="C313" s="26" t="inlineStr">
        <is>
          <t>Chauhan S.; Singh R.; Gehlot A.; Akram S.V.; Twala B.; Priyadarshi N.</t>
        </is>
      </c>
      <c r="D313" s="26" t="n">
        <v>2023</v>
      </c>
      <c r="E313" s="27" t="inlineStr">
        <is>
          <t>Digitalization of Supply Chain Management with Industry 4.0 Enabling Technologies: A Sustainable Perspective</t>
        </is>
      </c>
      <c r="F313" s="26" t="inlineStr">
        <is>
          <t>Processes</t>
        </is>
      </c>
      <c r="G313" s="26" t="inlineStr">
        <is>
          <t>Article</t>
        </is>
      </c>
      <c r="H313" s="26" t="inlineStr">
        <is>
          <t>10.3390/pr11010096</t>
        </is>
      </c>
      <c r="I313" s="26" t="inlineStr">
        <is>
          <t>TA</t>
        </is>
      </c>
      <c r="J313" s="37" t="inlineStr">
        <is>
          <t>Exclude</t>
        </is>
      </c>
      <c r="K313" s="37" t="inlineStr">
        <is>
          <t>Wrong publication type</t>
        </is>
      </c>
      <c r="L313" s="28" t="inlineStr">
        <is>
          <t>Strong candidate: twin + supply chain + AI all in title/abstract</t>
        </is>
      </c>
      <c r="M313" s="37" t="inlineStr">
        <is>
          <t>Revisión con marco PRISM ("The PRISM framework is followed to discuss the role and significance of sustainable SCM and the integration of Industry 4.0-enabling technologies"); gemelo e IA entre las tecnologías. Valor para snowballing: medio.</t>
        </is>
      </c>
      <c r="N313" s="69" t="inlineStr">
        <is>
          <t>E4</t>
        </is>
      </c>
      <c r="O313" s="69" t="n">
        <v>7</v>
      </c>
      <c r="P313" s="69" t="inlineStr">
        <is>
          <t>Exclude</t>
        </is>
      </c>
      <c r="Q313" s="69" t="inlineStr">
        <is>
          <t>E4</t>
        </is>
      </c>
      <c r="R313" s="69" t="inlineStr">
        <is>
          <t>Revisión con marco PRISM ("The PRISM framework is followed to discuss the role and significance of sustainable SCM and the integration of Industry 4.0-enabling technologies"); gemelo e IA entre las tecnologías. Valor para snowballing: medio.</t>
        </is>
      </c>
      <c r="S313" s="69" t="n"/>
    </row>
    <row r="314" ht="23.25" customHeight="1" s="17">
      <c r="A314" s="26" t="inlineStr">
        <is>
          <t>R0313</t>
        </is>
      </c>
      <c r="B314" s="26" t="inlineStr">
        <is>
          <t>Scopus + WoS</t>
        </is>
      </c>
      <c r="C314" s="26" t="inlineStr">
        <is>
          <t>Deiva Ganesh A.; Kalpana P.</t>
        </is>
      </c>
      <c r="D314" s="26" t="n">
        <v>2022</v>
      </c>
      <c r="E314" s="27" t="inlineStr">
        <is>
          <t>Supply chain risk identification: a real-time data-mining approach</t>
        </is>
      </c>
      <c r="F314" s="26" t="inlineStr">
        <is>
          <t>Industrial Management and Data Systems</t>
        </is>
      </c>
      <c r="G314" s="26" t="inlineStr">
        <is>
          <t>Article</t>
        </is>
      </c>
      <c r="H314" s="26" t="inlineStr">
        <is>
          <t>10.1108/imds-11-2021-0719</t>
        </is>
      </c>
      <c r="I314" s="26" t="inlineStr">
        <is>
          <t>TA</t>
        </is>
      </c>
      <c r="J314" s="37" t="inlineStr">
        <is>
          <t>Exclude</t>
        </is>
      </c>
      <c r="K314" s="37" t="inlineStr">
        <is>
          <t>No digital twin/model</t>
        </is>
      </c>
      <c r="L314" s="28" t="inlineStr">
        <is>
          <t>Strong candidate: twin + supply chain + AI all in title/abstract</t>
        </is>
      </c>
      <c r="M314" s="37" t="inlineStr">
        <is>
          <t>Minería de texto de redes sociales para identificar riesgos de cadena; el gemelo sólo como investigación futura ("Future research will extend to represent a digital twin for identifying potential risks through social media analytics").</t>
        </is>
      </c>
      <c r="N314" s="69" t="inlineStr">
        <is>
          <t>E1</t>
        </is>
      </c>
      <c r="O314" s="69" t="n">
        <v>7</v>
      </c>
      <c r="P314" s="69" t="inlineStr">
        <is>
          <t>Exclude</t>
        </is>
      </c>
      <c r="Q314" s="69" t="inlineStr">
        <is>
          <t>E1</t>
        </is>
      </c>
      <c r="R314" s="69" t="inlineStr">
        <is>
          <t>Minería de texto de redes sociales para identificar riesgos de cadena; el gemelo sólo como investigación futura ("Future research will extend to represent a digital twin for identifying potential risks through social media analytics").</t>
        </is>
      </c>
      <c r="S314" s="69" t="n"/>
    </row>
    <row r="315" ht="23.25" customHeight="1" s="17">
      <c r="A315" s="26" t="inlineStr">
        <is>
          <t>R0314</t>
        </is>
      </c>
      <c r="B315" s="26" t="inlineStr">
        <is>
          <t>Scopus + WoS</t>
        </is>
      </c>
      <c r="C315" s="26" t="inlineStr">
        <is>
          <t>Zuhr P.; Rissmann L.; Meißner S.</t>
        </is>
      </c>
      <c r="D315" s="26" t="n">
        <v>2022</v>
      </c>
      <c r="E315" s="27" t="inlineStr">
        <is>
          <t>Framework for planning and implementation of Digital Process Twins in the field of internal logistics</t>
        </is>
      </c>
      <c r="F315" s="26" t="inlineStr">
        <is>
          <t>IFAC-PapersOnLine</t>
        </is>
      </c>
      <c r="G315" s="26" t="inlineStr">
        <is>
          <t>Conference paper</t>
        </is>
      </c>
      <c r="H315" s="26" t="inlineStr">
        <is>
          <t>10.1016/j.ifacol.2022.10.038</t>
        </is>
      </c>
      <c r="I315" s="26" t="inlineStr">
        <is>
          <t>TA</t>
        </is>
      </c>
      <c r="J315" s="37" t="inlineStr">
        <is>
          <t>Exclude</t>
        </is>
      </c>
      <c r="K315" s="37" t="inlineStr">
        <is>
          <t>No AI/ML component</t>
        </is>
      </c>
      <c r="L315" s="28" t="inlineStr">
        <is>
          <t>Strong candidate: twin + supply chain + AI all in title/abstract</t>
        </is>
      </c>
      <c r="M315" s="37" t="inlineStr">
        <is>
          <t>[Antecedente C8: alto] Marco de gemelos de proceso para logística interna, probado con un gemelo para "on-time delivery optimization"; la IA sólo como implementación futura ("Finally, the future implementation of additional functions containing Artificial Intelligence is discussed").</t>
        </is>
      </c>
      <c r="N315" s="69" t="inlineStr">
        <is>
          <t>E3</t>
        </is>
      </c>
      <c r="O315" s="69" t="n">
        <v>7</v>
      </c>
      <c r="P315" s="69" t="inlineStr">
        <is>
          <t>Exclude</t>
        </is>
      </c>
      <c r="Q315" s="69" t="inlineStr">
        <is>
          <t>E3</t>
        </is>
      </c>
      <c r="R315" s="69" t="inlineStr">
        <is>
          <t>Marco de gemelos de proceso para logística interna, probado con un gemelo para "on-time delivery optimization"; la IA sólo como implementación futura ("Finally, the future implementation of additional functions containing Artificial Intelligence is discussed").</t>
        </is>
      </c>
      <c r="S315" s="69" t="n"/>
    </row>
    <row r="316" ht="23.25" customHeight="1" s="17">
      <c r="A316" s="26" t="inlineStr">
        <is>
          <t>R0315</t>
        </is>
      </c>
      <c r="B316" s="26" t="inlineStr">
        <is>
          <t>Scopus + WoS</t>
        </is>
      </c>
      <c r="C316" s="26" t="inlineStr">
        <is>
          <t>Badakhshan E.; Ball P.; Badakhshan A.</t>
        </is>
      </c>
      <c r="D316" s="26" t="n">
        <v>2022</v>
      </c>
      <c r="E316" s="27" t="inlineStr">
        <is>
          <t>Using digital twins for inventory and cash management in supply chains</t>
        </is>
      </c>
      <c r="F316" s="26" t="inlineStr">
        <is>
          <t>IFAC-PapersOnLine</t>
        </is>
      </c>
      <c r="G316" s="26" t="inlineStr">
        <is>
          <t>Conference paper</t>
        </is>
      </c>
      <c r="H316" s="26" t="inlineStr">
        <is>
          <t>10.1016/j.ifacol.2022.09.689</t>
        </is>
      </c>
      <c r="I316" s="26" t="inlineStr">
        <is>
          <t>TA</t>
        </is>
      </c>
      <c r="J316" s="37" t="inlineStr">
        <is>
          <t>Exclude</t>
        </is>
      </c>
      <c r="K316" s="37" t="inlineStr">
        <is>
          <t>Duplicate</t>
        </is>
      </c>
      <c r="L316" s="28" t="inlineStr">
        <is>
          <t>Strong candidate: twin + supply chain + AI all in title/abstract</t>
        </is>
      </c>
      <c r="M316" s="37" t="inlineStr">
        <is>
          <t>Recodificado 2026-09-06 en la auditoría final (I→E6, informe compañero de R0298): Informe compañero de R0298 (regla de pares: se elimina la segunda aparición): mismos autores (Badakhshan y Ball), mismo marco y mismo objetivo ("The proposed SC digital twin framework integrates machine learning (ML) and simulation to identify the inventory replenishment policies that minimize the cash conversion cycle of an SC"), versión de congreso IFAC 2022; se conserva el artículo IJPR R0298. | Nota original (I): Versión de congreso (IFAC) del marco de R0298: "The proposed SC digital twin framework integrates machine learning (ML) and simulation to identify the inventory replenishment policies that minimize the cash conversion cycle of an SC". Nota: artículo compañero de R0298, no contar dos veces.</t>
        </is>
      </c>
      <c r="N316" s="69" t="inlineStr">
        <is>
          <t>E6</t>
        </is>
      </c>
      <c r="O316" s="69" t="n">
        <v>7</v>
      </c>
      <c r="P316" s="69" t="inlineStr">
        <is>
          <t>Include</t>
        </is>
      </c>
      <c r="Q316" s="69" t="inlineStr">
        <is>
          <t>I</t>
        </is>
      </c>
      <c r="R316" s="69" t="inlineStr">
        <is>
          <t>Versión de congreso (IFAC) del marco de R0298: "The proposed SC digital twin framework integrates machine learning (ML) and simulation to identify the inventory replenishment policies that minimize the cash conversion cycle of an SC". Nota: artículo compañero de R0298, no contar dos veces.</t>
        </is>
      </c>
      <c r="S316" s="69" t="n"/>
    </row>
    <row r="317" ht="23.25" customHeight="1" s="17">
      <c r="A317" s="26" t="inlineStr">
        <is>
          <t>R0316</t>
        </is>
      </c>
      <c r="B317" s="26" t="inlineStr">
        <is>
          <t>Scopus</t>
        </is>
      </c>
      <c r="C317" s="26" t="inlineStr">
        <is>
          <t>Scheibmeir J.; Malaiya Y.</t>
        </is>
      </c>
      <c r="D317" s="26" t="n">
        <v>2022</v>
      </c>
      <c r="E317" s="27" t="inlineStr">
        <is>
          <t>A Social Media-driven Digital Twin of an Invasive Species</t>
        </is>
      </c>
      <c r="F317" s="26" t="inlineStr">
        <is>
          <t>10th International Workshop on Simulation for Energy, Sustainable Development and Environment, SESDE 2022</t>
        </is>
      </c>
      <c r="G317" s="26" t="inlineStr">
        <is>
          <t>Conference paper</t>
        </is>
      </c>
      <c r="H317" s="26" t="inlineStr">
        <is>
          <t>10.46354/i3m.2022.sesde.002</t>
        </is>
      </c>
      <c r="I317" s="26" t="inlineStr">
        <is>
          <t>TA</t>
        </is>
      </c>
      <c r="J317" s="37" t="inlineStr">
        <is>
          <t>Exclude</t>
        </is>
      </c>
      <c r="K317" s="37" t="inlineStr">
        <is>
          <t>No digital twin/model</t>
        </is>
      </c>
      <c r="L317" s="28" t="inlineStr">
        <is>
          <t>Strong candidate: twin + supply chain + AI all in title/abstract</t>
        </is>
      </c>
      <c r="M317" s="37" t="inlineStr">
        <is>
          <t>Gemelo de una especie invasora alimentado por redes sociales ("model the propagation of an invasive species in the United States"), modelo biológico y no de operaciones (C6); también E2 (cadena sólo como beneficiaria genérica).</t>
        </is>
      </c>
      <c r="N317" s="69" t="inlineStr">
        <is>
          <t>E1</t>
        </is>
      </c>
      <c r="O317" s="69" t="n">
        <v>7</v>
      </c>
      <c r="P317" s="69" t="inlineStr">
        <is>
          <t>Exclude</t>
        </is>
      </c>
      <c r="Q317" s="69" t="inlineStr">
        <is>
          <t>E1</t>
        </is>
      </c>
      <c r="R317" s="69" t="inlineStr">
        <is>
          <t>Gemelo de una especie invasora alimentado por redes sociales ("model the propagation of an invasive species in the United States"), modelo biológico y no de operaciones (C6); también E2 (cadena sólo como beneficiaria genérica).</t>
        </is>
      </c>
      <c r="S317" s="69" t="n"/>
    </row>
    <row r="318" ht="23.25" customHeight="1" s="17">
      <c r="A318" s="26" t="inlineStr">
        <is>
          <t>R0317</t>
        </is>
      </c>
      <c r="B318" s="26" t="inlineStr">
        <is>
          <t>Scopus</t>
        </is>
      </c>
      <c r="C318" s="26" t="inlineStr">
        <is>
          <t>Kombaya Touckia J.; Hamani N.; Kermad L.</t>
        </is>
      </c>
      <c r="D318" s="26" t="n">
        <v>2022</v>
      </c>
      <c r="E318" s="27" t="inlineStr">
        <is>
          <t>Digital twin framework for reconfigurable manufacturing systems (RMSs): design and simulation</t>
        </is>
      </c>
      <c r="F318" s="26" t="inlineStr">
        <is>
          <t>International Journal of Advanced Manufacturing Technology</t>
        </is>
      </c>
      <c r="G318" s="26" t="inlineStr">
        <is>
          <t>Article</t>
        </is>
      </c>
      <c r="H318" s="26" t="inlineStr">
        <is>
          <t>10.1007/s00170-022-09118-y</t>
        </is>
      </c>
      <c r="I318" s="26" t="inlineStr">
        <is>
          <t>TA</t>
        </is>
      </c>
      <c r="J318" s="37" t="inlineStr">
        <is>
          <t>Exclude</t>
        </is>
      </c>
      <c r="K318" s="37" t="inlineStr">
        <is>
          <t>No supply chain scope</t>
        </is>
      </c>
      <c r="L318" s="28" t="inlineStr">
        <is>
          <t>Strong candidate: twin + supply chain + AI all in title/abstract</t>
        </is>
      </c>
      <c r="M318" s="37" t="inlineStr">
        <is>
          <t>Diseño y simulación de gemelo para sistemas de manufactura reconfigurables (SysML); la cadena sólo como motivación competitiva ("competition is becoming more intense between companies, on the one hand, and supply chains on the other"), sin encuadre (regla Make); también E3 (IA sólo listada).</t>
        </is>
      </c>
      <c r="N318" s="69" t="inlineStr">
        <is>
          <t>E2</t>
        </is>
      </c>
      <c r="O318" s="69" t="n">
        <v>7</v>
      </c>
      <c r="P318" s="69" t="inlineStr">
        <is>
          <t>Exclude</t>
        </is>
      </c>
      <c r="Q318" s="69" t="inlineStr">
        <is>
          <t>E2</t>
        </is>
      </c>
      <c r="R318" s="69" t="inlineStr">
        <is>
          <t>Diseño y simulación de gemelo para sistemas de manufactura reconfigurables (SysML); la cadena sólo como motivación competitiva ("competition is becoming more intense between companies, on the one hand, and supply chains on the other"), sin encuadre (regla Make); también E3 (IA sólo listada).</t>
        </is>
      </c>
      <c r="S318" s="69" t="n"/>
    </row>
    <row r="319" ht="23.25" customHeight="1" s="17">
      <c r="A319" s="26" t="inlineStr">
        <is>
          <t>R0318</t>
        </is>
      </c>
      <c r="B319" s="26" t="inlineStr">
        <is>
          <t>Scopus</t>
        </is>
      </c>
      <c r="C319" s="26" t="inlineStr">
        <is>
          <t>Cui Y.; Idota H.; Ota M.</t>
        </is>
      </c>
      <c r="D319" s="26" t="n">
        <v>2022</v>
      </c>
      <c r="E319" s="27" t="inlineStr">
        <is>
          <t>Reforming Supply Chain Systems in Metaverse</t>
        </is>
      </c>
      <c r="F319" s="26" t="inlineStr">
        <is>
          <t>ACM International Conference Proceeding Series</t>
        </is>
      </c>
      <c r="G319" s="26" t="inlineStr">
        <is>
          <t>Conference paper</t>
        </is>
      </c>
      <c r="H319" s="26" t="inlineStr">
        <is>
          <t>10.1145/3561278.3561289</t>
        </is>
      </c>
      <c r="I319" s="26" t="inlineStr">
        <is>
          <t>TA</t>
        </is>
      </c>
      <c r="J319" s="37" t="inlineStr">
        <is>
          <t>Exclude</t>
        </is>
      </c>
      <c r="K319" s="37" t="inlineStr">
        <is>
          <t>No digital twin/model</t>
        </is>
      </c>
      <c r="L319" s="28" t="inlineStr">
        <is>
          <t>Strong candidate: twin + supply chain + AI all in title/abstract</t>
        </is>
      </c>
      <c r="M319" s="37" t="inlineStr">
        <is>
          <t>Metaverso para resiliencia de cadena (caso automotriz japonés); gemelo e IA sólo como elementos listados de la Web 3.0 ("such as Artificial Intelligence, Big data, IoT, Blockchain and Digital twins"); también E3.</t>
        </is>
      </c>
      <c r="N319" s="69" t="inlineStr">
        <is>
          <t>E1</t>
        </is>
      </c>
      <c r="O319" s="69" t="n">
        <v>7</v>
      </c>
      <c r="P319" s="69" t="inlineStr">
        <is>
          <t>Exclude</t>
        </is>
      </c>
      <c r="Q319" s="69" t="inlineStr">
        <is>
          <t>E1</t>
        </is>
      </c>
      <c r="R319" s="69" t="inlineStr">
        <is>
          <t>Metaverso para resiliencia de cadena (caso automotriz japonés); gemelo e IA sólo como elementos listados de la Web 3.0 ("such as Artificial Intelligence, Big data, IoT, Blockchain and Digital twins"); también E3.</t>
        </is>
      </c>
      <c r="S319" s="69" t="n"/>
    </row>
    <row r="320" ht="23.25" customHeight="1" s="17">
      <c r="A320" s="26" t="inlineStr">
        <is>
          <t>R0319</t>
        </is>
      </c>
      <c r="B320" s="26" t="inlineStr">
        <is>
          <t>Scopus</t>
        </is>
      </c>
      <c r="C320" s="26" t="inlineStr">
        <is>
          <t>Sani S.; Schaefer D.; Milisavljevic-Syed J.</t>
        </is>
      </c>
      <c r="D320" s="26" t="n">
        <v>2022</v>
      </c>
      <c r="E320" s="27" t="inlineStr">
        <is>
          <t>Utilising Digital Twins for Increasing Military Supply Chain Visibility</t>
        </is>
      </c>
      <c r="F320" s="26" t="inlineStr">
        <is>
          <t>Advances in Transdisciplinary Engineering</t>
        </is>
      </c>
      <c r="G320" s="26" t="inlineStr">
        <is>
          <t>Conference paper</t>
        </is>
      </c>
      <c r="H320" s="26" t="inlineStr">
        <is>
          <t>10.3233/atde220595</t>
        </is>
      </c>
      <c r="I320" s="26" t="inlineStr">
        <is>
          <t>TA</t>
        </is>
      </c>
      <c r="J320" s="37" t="inlineStr">
        <is>
          <t>Exclude</t>
        </is>
      </c>
      <c r="K320" s="37" t="inlineStr">
        <is>
          <t>No AI/ML component</t>
        </is>
      </c>
      <c r="L320" s="28" t="inlineStr">
        <is>
          <t>Strong candidate: twin + supply chain + AI all in title/abstract</t>
        </is>
      </c>
      <c r="M320" s="37" t="inlineStr">
        <is>
          <t>[Antecedente C8: medio] Gemelo conceptual para visibilidad de la cadena militar; el ML sólo en la lista de tecnologías habilitadoras ("machine learning, augmented and virtual reality, big data, analytics and pervasive computing"), sin método en el gemelo (mismo trato que R0275). Límite.</t>
        </is>
      </c>
      <c r="N320" s="69" t="inlineStr">
        <is>
          <t>E3</t>
        </is>
      </c>
      <c r="O320" s="69" t="n">
        <v>7</v>
      </c>
      <c r="P320" s="69" t="inlineStr">
        <is>
          <t>Exclude</t>
        </is>
      </c>
      <c r="Q320" s="69" t="inlineStr">
        <is>
          <t>E3</t>
        </is>
      </c>
      <c r="R320" s="69" t="inlineStr">
        <is>
          <t>Gemelo conceptual para visibilidad de la cadena militar; el ML sólo en la lista de tecnologías habilitadoras ("machine learning, augmented and virtual reality, big data, analytics and pervasive computing"), sin método en el gemelo (mismo trato que R0275). Límite.</t>
        </is>
      </c>
      <c r="S320" s="69" t="n"/>
    </row>
    <row r="321" ht="23.25" customHeight="1" s="17">
      <c r="A321" s="26" t="inlineStr">
        <is>
          <t>R0320</t>
        </is>
      </c>
      <c r="B321" s="26" t="inlineStr">
        <is>
          <t>Scopus</t>
        </is>
      </c>
      <c r="C321" s="26" t="inlineStr">
        <is>
          <t>Vaddadi S.; Srinivas V.; Reddy N.A.; Girish H.; Rajkiran D.; Devipriya A.</t>
        </is>
      </c>
      <c r="D321" s="26" t="n">
        <v>2022</v>
      </c>
      <c r="E321" s="27" t="inlineStr">
        <is>
          <t>Factory Inventory Automation using Industry 4.0 Technologies</t>
        </is>
      </c>
      <c r="F321" s="26" t="inlineStr">
        <is>
          <t>2022 IEEE IAS Global Conference on Emerging Technologies, GlobConET 2022</t>
        </is>
      </c>
      <c r="G321" s="26" t="inlineStr">
        <is>
          <t>Conference paper</t>
        </is>
      </c>
      <c r="H321" s="26" t="inlineStr">
        <is>
          <t>10.1109/globconet53749.2022.9872416</t>
        </is>
      </c>
      <c r="I321" s="26" t="inlineStr">
        <is>
          <t>TA</t>
        </is>
      </c>
      <c r="J321" s="37" t="inlineStr">
        <is>
          <t>Exclude</t>
        </is>
      </c>
      <c r="K321" s="37" t="inlineStr">
        <is>
          <t>No digital twin/model</t>
        </is>
      </c>
      <c r="L321" s="28" t="inlineStr">
        <is>
          <t>Strong candidate: twin + supply chain + AI all in title/abstract</t>
        </is>
      </c>
      <c r="M321" s="37" t="inlineStr">
        <is>
          <t>Automatización de inventario de fábrica con aprendizaje profundo e IoT; el gemelo sólo en lista de conceptos ("Concepts like Dark Factories, Digital Twinning, Robotic Automation for mass manufacturing"), sin gemelo desarrollado.</t>
        </is>
      </c>
      <c r="N321" s="69" t="inlineStr">
        <is>
          <t>E1</t>
        </is>
      </c>
      <c r="O321" s="69" t="n">
        <v>7</v>
      </c>
      <c r="P321" s="69" t="inlineStr">
        <is>
          <t>Exclude</t>
        </is>
      </c>
      <c r="Q321" s="69" t="inlineStr">
        <is>
          <t>E1</t>
        </is>
      </c>
      <c r="R321" s="69" t="inlineStr">
        <is>
          <t>Automatización de inventario de fábrica con aprendizaje profundo e IoT; el gemelo sólo en lista de conceptos ("Concepts like Dark Factories, Digital Twinning, Robotic Automation for mass manufacturing"), sin gemelo desarrollado.</t>
        </is>
      </c>
      <c r="S321" s="69" t="n"/>
    </row>
    <row r="322" ht="23.25" customHeight="1" s="17">
      <c r="A322" s="26" t="inlineStr">
        <is>
          <t>R0321</t>
        </is>
      </c>
      <c r="B322" s="26" t="inlineStr">
        <is>
          <t>Scopus</t>
        </is>
      </c>
      <c r="C322" s="26" t="inlineStr">
        <is>
          <t>Greene L.M.; Steiner J.H.</t>
        </is>
      </c>
      <c r="D322" s="26" t="n">
        <v>2022</v>
      </c>
      <c r="E322" s="27" t="inlineStr">
        <is>
          <t>Dynamic Resource Allocation in Supply Chain Scheduling Using Digital Twin Models</t>
        </is>
      </c>
      <c r="F322" s="26" t="inlineStr">
        <is>
          <t>International Academic Journal of Science and Engineering</t>
        </is>
      </c>
      <c r="G322" s="26" t="inlineStr">
        <is>
          <t>Article</t>
        </is>
      </c>
      <c r="H322" s="26" t="inlineStr">
        <is>
          <t>10.71086/iajse/v9i4/iajse0928</t>
        </is>
      </c>
      <c r="I322" s="26" t="inlineStr">
        <is>
          <t>TA</t>
        </is>
      </c>
      <c r="J322" s="37" t="inlineStr">
        <is>
          <t>Include</t>
        </is>
      </c>
      <c r="K322" s="37" t="n"/>
      <c r="L322" s="28" t="inlineStr">
        <is>
          <t>Strong candidate: twin + supply chain + AI all in title/abstract</t>
        </is>
      </c>
      <c r="M322" s="37" t="inlineStr">
        <is>
          <t>"This work presents a digital twin (DT) technology framework concentrating on dynamic resource allocation in supply chain scheduling"; "applies the Internet of Things (IoT), real-time simulation, and machine learning algorithms for resource dynamically reallocation"; probado en cadena de manufactura simulada. Nota: revista de calidad dudosa.</t>
        </is>
      </c>
      <c r="N322" s="69" t="inlineStr">
        <is>
          <t>I</t>
        </is>
      </c>
      <c r="O322" s="69" t="n">
        <v>7</v>
      </c>
      <c r="P322" s="69" t="inlineStr">
        <is>
          <t>Include</t>
        </is>
      </c>
      <c r="Q322" s="69" t="inlineStr">
        <is>
          <t>I</t>
        </is>
      </c>
      <c r="R322" s="69" t="inlineStr">
        <is>
          <t>"This work presents a digital twin (DT) technology framework concentrating on dynamic resource allocation in supply chain scheduling"; "applies the Internet of Things (IoT), real-time simulation, and machine learning algorithms for resource dynamically reallocation"; probado en cadena de manufactura simulada. Nota: revista de calidad dudosa.</t>
        </is>
      </c>
      <c r="S322" s="69" t="n"/>
    </row>
    <row r="323" ht="23.25" customHeight="1" s="17">
      <c r="A323" s="26" t="inlineStr">
        <is>
          <t>R0322</t>
        </is>
      </c>
      <c r="B323" s="26" t="inlineStr">
        <is>
          <t>Scopus + WoS</t>
        </is>
      </c>
      <c r="C323" s="26" t="inlineStr">
        <is>
          <t>Melesse T.Y.; Bollo M.; Pasquale V.D.; Centro F.; Riemma S.</t>
        </is>
      </c>
      <c r="D323" s="26" t="n">
        <v>2022</v>
      </c>
      <c r="E323" s="27" t="inlineStr">
        <is>
          <t>Machine Learning-Based Digital Twin for Monitoring Fruit Quality Evolution</t>
        </is>
      </c>
      <c r="F323" s="26" t="inlineStr">
        <is>
          <t>Procedia Computer Science</t>
        </is>
      </c>
      <c r="G323" s="26" t="inlineStr">
        <is>
          <t>Conference paper</t>
        </is>
      </c>
      <c r="H323" s="26" t="inlineStr">
        <is>
          <t>10.1016/j.procs.2022.01.200</t>
        </is>
      </c>
      <c r="I323" s="26" t="inlineStr">
        <is>
          <t>TA</t>
        </is>
      </c>
      <c r="J323" s="37" t="inlineStr">
        <is>
          <t>Include</t>
        </is>
      </c>
      <c r="K323" s="37" t="n"/>
      <c r="L323" s="28" t="inlineStr">
        <is>
          <t>Strong candidate: twin + supply chain + AI all in title/abstract</t>
        </is>
      </c>
      <c r="M323" s="37" t="inlineStr">
        <is>
          <t>Gemelo de fruta con imágenes térmicas y red convolucional para la cadena alimentaria: "create a machine learning-based digital twin of banana fruit to monitor its quality changes throughout storage"; objetivo de "minimize waste in the food supply chain". Mismo trato que R0119 y R0302.</t>
        </is>
      </c>
      <c r="N323" s="69" t="inlineStr">
        <is>
          <t>I</t>
        </is>
      </c>
      <c r="O323" s="69" t="n">
        <v>7</v>
      </c>
      <c r="P323" s="69" t="inlineStr">
        <is>
          <t>Include</t>
        </is>
      </c>
      <c r="Q323" s="69" t="inlineStr">
        <is>
          <t>I</t>
        </is>
      </c>
      <c r="R323" s="69" t="inlineStr">
        <is>
          <t>Gemelo de fruta con imágenes térmicas y red convolucional para la cadena alimentaria: "create a machine learning-based digital twin of banana fruit to monitor its quality changes throughout storage"; objetivo de "minimize waste in the food supply chain". Mismo trato que R0119 y R0302.</t>
        </is>
      </c>
      <c r="S323" s="69" t="n"/>
    </row>
    <row r="324" ht="34.5" customHeight="1" s="17">
      <c r="A324" s="26" t="inlineStr">
        <is>
          <t>R0323</t>
        </is>
      </c>
      <c r="B324" s="26" t="inlineStr">
        <is>
          <t>Scopus + WoS</t>
        </is>
      </c>
      <c r="C324" s="26" t="inlineStr">
        <is>
          <t>Leung E.K.H.; Lee C.K.H.; Ouyang Z.</t>
        </is>
      </c>
      <c r="D324" s="26" t="n">
        <v>2022</v>
      </c>
      <c r="E324" s="27" t="inlineStr">
        <is>
          <t>From traditional warehouses to Physical Internet hubs: A digital twin-based inbound synchronization framework for PI-order management</t>
        </is>
      </c>
      <c r="F324" s="26" t="inlineStr">
        <is>
          <t>International Journal of Production Economics</t>
        </is>
      </c>
      <c r="G324" s="26" t="inlineStr">
        <is>
          <t>Article</t>
        </is>
      </c>
      <c r="H324" s="26" t="inlineStr">
        <is>
          <t>10.1016/j.ijpe.2021.108353</t>
        </is>
      </c>
      <c r="I324" s="26" t="inlineStr">
        <is>
          <t>TA</t>
        </is>
      </c>
      <c r="J324" s="37" t="inlineStr">
        <is>
          <t>Include</t>
        </is>
      </c>
      <c r="K324" s="37" t="n"/>
      <c r="L324" s="28" t="inlineStr">
        <is>
          <t>Strong candidate: twin + supply chain + AI all in title/abstract</t>
        </is>
      </c>
      <c r="M324" s="37" t="inlineStr">
        <is>
          <t>Concentradores del Internet Físico (IJPE): "Digital twins and Internet of Things technologies are proposed for data acquisition and virtualization of real conditions of physical objects, followed by machine learning-integrated models to optimize a joint order fulfillment and replenishment operation in the PI-hubs".</t>
        </is>
      </c>
      <c r="N324" s="69" t="inlineStr">
        <is>
          <t>I</t>
        </is>
      </c>
      <c r="O324" s="69" t="n">
        <v>7</v>
      </c>
      <c r="P324" s="69" t="inlineStr">
        <is>
          <t>Include</t>
        </is>
      </c>
      <c r="Q324" s="69" t="inlineStr">
        <is>
          <t>I</t>
        </is>
      </c>
      <c r="R324" s="69" t="inlineStr">
        <is>
          <t>Concentradores del Internet Físico (IJPE): "Digital twins and Internet of Things technologies are proposed for data acquisition and virtualization of real conditions of physical objects, followed by machine learning-integrated models to optimize a joint order fulfillment and replenishment operation in the PI-hubs".</t>
        </is>
      </c>
      <c r="S324" s="69" t="n"/>
    </row>
    <row r="325" ht="23.25" customHeight="1" s="17">
      <c r="A325" s="26" t="inlineStr">
        <is>
          <t>R0324</t>
        </is>
      </c>
      <c r="B325" s="26" t="inlineStr">
        <is>
          <t>Scopus</t>
        </is>
      </c>
      <c r="C325" s="26" t="inlineStr">
        <is>
          <t>Deria A.; Ghannad P.; Lee Y.-C.</t>
        </is>
      </c>
      <c r="D325" s="26" t="n">
        <v>2022</v>
      </c>
      <c r="E325" s="27" t="inlineStr">
        <is>
          <t>Integrating AI in an Audio-Based Digital Twin for Autonomous Management of Roadway Construction</t>
        </is>
      </c>
      <c r="F325" s="26" t="inlineStr">
        <is>
          <t>Construction Research Congress 2022: Computer Applications, Automation, and Data Analytics - Selected Papers from Construction Research Congress 2022</t>
        </is>
      </c>
      <c r="G325" s="26" t="inlineStr">
        <is>
          <t>Conference paper</t>
        </is>
      </c>
      <c r="H325" s="26" t="inlineStr">
        <is>
          <t>10.1061/9780784483961.056</t>
        </is>
      </c>
      <c r="I325" s="26" t="inlineStr">
        <is>
          <t>TA</t>
        </is>
      </c>
      <c r="J325" s="37" t="inlineStr">
        <is>
          <t>Include</t>
        </is>
      </c>
      <c r="K325" s="37" t="n"/>
      <c r="L325" s="28" t="inlineStr">
        <is>
          <t>Strong candidate: twin + supply chain + AI all in title/abstract</t>
        </is>
      </c>
      <c r="M325" s="37" t="inlineStr">
        <is>
          <t>Gemelo acústico de obra vial con aprendizaje por refuerzo profundo ("integrates deep reinforcement learning (DRL) into an audio-based DT system for autonomous monitoring and management of paving activities") para "optimally managing logistics including ongoing construction activities and required resources". Nota: logística de obra; verificar encuadre.</t>
        </is>
      </c>
      <c r="N325" s="69" t="inlineStr">
        <is>
          <t>I</t>
        </is>
      </c>
      <c r="O325" s="69" t="n">
        <v>7</v>
      </c>
      <c r="P325" s="69" t="inlineStr">
        <is>
          <t>Include</t>
        </is>
      </c>
      <c r="Q325" s="69" t="inlineStr">
        <is>
          <t>I</t>
        </is>
      </c>
      <c r="R325" s="69" t="inlineStr">
        <is>
          <t>Gemelo acústico de obra vial con aprendizaje por refuerzo profundo ("integrates deep reinforcement learning (DRL) into an audio-based DT system for autonomous monitoring and management of paving activities") para "optimally managing logistics including ongoing construction activities and required resources". Nota: logística de obra; verificar encuadre.</t>
        </is>
      </c>
      <c r="S325" s="69" t="n"/>
    </row>
    <row r="326" ht="23.25" customHeight="1" s="17">
      <c r="A326" s="26" t="inlineStr">
        <is>
          <t>R0325</t>
        </is>
      </c>
      <c r="B326" s="26" t="inlineStr">
        <is>
          <t>Scopus + WoS</t>
        </is>
      </c>
      <c r="C326" s="26" t="inlineStr">
        <is>
          <t>Asokan D.R.; Huq F.A.; Smith C.M.; Stevenson M.</t>
        </is>
      </c>
      <c r="D326" s="26" t="n">
        <v>2022</v>
      </c>
      <c r="E326" s="27" t="inlineStr">
        <is>
          <t>Socially responsible operations in the Industry 4.0 era: post-COVID-19 technology adoption and perspectives on future research</t>
        </is>
      </c>
      <c r="F326" s="26" t="inlineStr">
        <is>
          <t>International Journal of Operations and Production Management</t>
        </is>
      </c>
      <c r="G326" s="26" t="inlineStr">
        <is>
          <t>Article</t>
        </is>
      </c>
      <c r="H326" s="26" t="inlineStr">
        <is>
          <t>10.1108/ijopm-01-2022-0069</t>
        </is>
      </c>
      <c r="I326" s="26" t="inlineStr">
        <is>
          <t>TA</t>
        </is>
      </c>
      <c r="J326" s="37" t="inlineStr">
        <is>
          <t>Exclude</t>
        </is>
      </c>
      <c r="K326" s="37" t="inlineStr">
        <is>
          <t>Wrong publication type</t>
        </is>
      </c>
      <c r="L326" s="28" t="inlineStr">
        <is>
          <t>Strong candidate: twin + supply chain + AI all in title/abstract</t>
        </is>
      </c>
      <c r="M326" s="37" t="inlineStr">
        <is>
          <t>Artículo de punto de vista (IJOPM) con marco basado en literatura y expertos ("Academic articles, relevant grey literature, and insights from industry experts are used to support the development of the framework"); gemelos e IA como dos de siete tecnologías (precedente R0190). Valor para snowballing: medio.</t>
        </is>
      </c>
      <c r="N326" s="69" t="inlineStr">
        <is>
          <t>E4</t>
        </is>
      </c>
      <c r="O326" s="69" t="n">
        <v>7</v>
      </c>
      <c r="P326" s="69" t="inlineStr">
        <is>
          <t>Exclude</t>
        </is>
      </c>
      <c r="Q326" s="69" t="inlineStr">
        <is>
          <t>E4</t>
        </is>
      </c>
      <c r="R326" s="69" t="inlineStr">
        <is>
          <t>Artículo de punto de vista (IJOPM) con marco basado en literatura y expertos ("Academic articles, relevant grey literature, and insights from industry experts are used to support the development of the framework"); gemelos e IA como dos de siete tecnologías (precedente R0190). Valor para snowballing: medio.</t>
        </is>
      </c>
      <c r="S326" s="69" t="n"/>
    </row>
    <row r="327" ht="23.25" customHeight="1" s="17">
      <c r="A327" s="26" t="inlineStr">
        <is>
          <t>R0326</t>
        </is>
      </c>
      <c r="B327" s="26" t="inlineStr">
        <is>
          <t>Scopus</t>
        </is>
      </c>
      <c r="C327" s="26" t="inlineStr">
        <is>
          <t>Akkad M.Z.; Haidar S.; Bányai T.</t>
        </is>
      </c>
      <c r="D327" s="26" t="n">
        <v>2022</v>
      </c>
      <c r="E327" s="27" t="inlineStr">
        <is>
          <t>Design of Cyber-Physical Waste Management Systems Focusing on Energy Efficiency and Sustainability</t>
        </is>
      </c>
      <c r="F327" s="26" t="inlineStr">
        <is>
          <t>Designs</t>
        </is>
      </c>
      <c r="G327" s="26" t="inlineStr">
        <is>
          <t>Article</t>
        </is>
      </c>
      <c r="H327" s="26" t="inlineStr">
        <is>
          <t>10.3390/designs6020039</t>
        </is>
      </c>
      <c r="I327" s="26" t="inlineStr">
        <is>
          <t>TA</t>
        </is>
      </c>
      <c r="J327" s="37" t="inlineStr">
        <is>
          <t>Exclude</t>
        </is>
      </c>
      <c r="K327" s="37" t="inlineStr">
        <is>
          <t>No digital twin/model</t>
        </is>
      </c>
      <c r="L327" s="28" t="inlineStr">
        <is>
          <t>Strong candidate: twin + supply chain + AI all in title/abstract</t>
        </is>
      </c>
      <c r="M327" s="37" t="inlineStr">
        <is>
          <t>Gestión ciberfísica de residuos en logística urbana con tres metaheurísticas implementadas ("genetic, particle swarm, and simulated annealing optimization algorithms"); el gemelo sólo en la lista introductoria ("Industry 4.0 tools, such as the Internet of Things, artificial intelligence, digital twinning, and cloud computing"), sin gemelo desarrollado.</t>
        </is>
      </c>
      <c r="N327" s="69" t="inlineStr">
        <is>
          <t>E1</t>
        </is>
      </c>
      <c r="O327" s="69" t="n">
        <v>7</v>
      </c>
      <c r="P327" s="69" t="inlineStr">
        <is>
          <t>Exclude</t>
        </is>
      </c>
      <c r="Q327" s="69" t="inlineStr">
        <is>
          <t>E1</t>
        </is>
      </c>
      <c r="R327" s="69" t="inlineStr">
        <is>
          <t>Gestión ciberfísica de residuos en logística urbana con tres metaheurísticas implementadas ("genetic, particle swarm, and simulated annealing optimization algorithms"); el gemelo sólo en la lista introductoria ("Industry 4.0 tools, such as the Internet of Things, artificial intelligence, digital twinning, and cloud computing"), sin gemelo desarrollado.</t>
        </is>
      </c>
      <c r="S327" s="69" t="n"/>
    </row>
    <row r="328" ht="23.25" customHeight="1" s="17">
      <c r="A328" s="26" t="inlineStr">
        <is>
          <t>R0327</t>
        </is>
      </c>
      <c r="B328" s="26" t="inlineStr">
        <is>
          <t>Scopus</t>
        </is>
      </c>
      <c r="C328" s="26" t="inlineStr">
        <is>
          <t>Martin G.; Oger R.</t>
        </is>
      </c>
      <c r="D328" s="26" t="n">
        <v>2022</v>
      </c>
      <c r="E328" s="27" t="inlineStr">
        <is>
          <t>A Reinforcement Learning Powered Digital Twin to Support Supply Chain Decisions</t>
        </is>
      </c>
      <c r="F328" s="26" t="inlineStr">
        <is>
          <t>Proceedings of the Annual Hawaii International Conference on System Sciences</t>
        </is>
      </c>
      <c r="G328" s="26" t="inlineStr">
        <is>
          <t>Conference paper</t>
        </is>
      </c>
      <c r="H328" s="26" t="inlineStr">
        <is>
          <t>10.24251/hicss.2022.287</t>
        </is>
      </c>
      <c r="I328" s="26" t="inlineStr">
        <is>
          <t>TA</t>
        </is>
      </c>
      <c r="J328" s="37" t="inlineStr">
        <is>
          <t>Include</t>
        </is>
      </c>
      <c r="K328" s="37" t="n"/>
      <c r="L328" s="28" t="inlineStr">
        <is>
          <t>Strong candidate: twin + supply chain + AI all in title/abstract</t>
        </is>
      </c>
      <c r="M328" s="37" t="inlineStr">
        <is>
          <t>"It first proposes a framework for unifying digital twins and reinforcement learning into a single approach. It then illustrates how this framework is put into practice for making supply and delivery decisions within a drug supply chain use case".</t>
        </is>
      </c>
      <c r="N328" s="69" t="inlineStr">
        <is>
          <t>I</t>
        </is>
      </c>
      <c r="O328" s="69" t="n">
        <v>7</v>
      </c>
      <c r="P328" s="69" t="inlineStr">
        <is>
          <t>Include</t>
        </is>
      </c>
      <c r="Q328" s="69" t="inlineStr">
        <is>
          <t>I</t>
        </is>
      </c>
      <c r="R328" s="69" t="inlineStr">
        <is>
          <t>"It first proposes a framework for unifying digital twins and reinforcement learning into a single approach. It then illustrates how this framework is put into practice for making supply and delivery decisions within a drug supply chain use case".</t>
        </is>
      </c>
      <c r="S328" s="69" t="n"/>
    </row>
    <row r="329" ht="23.25" customHeight="1" s="17">
      <c r="A329" s="26" t="inlineStr">
        <is>
          <t>R0328</t>
        </is>
      </c>
      <c r="B329" s="26" t="inlineStr">
        <is>
          <t>Scopus + WoS</t>
        </is>
      </c>
      <c r="C329" s="26" t="inlineStr">
        <is>
          <t>Greis N.P.; Nogueira M.L.; Rohde W.</t>
        </is>
      </c>
      <c r="D329" s="26" t="n">
        <v>2022</v>
      </c>
      <c r="E329" s="27" t="inlineStr">
        <is>
          <t>Towards Learning-Enabled Digital Twin with Augmented Reality for Resilient Production Scheduling</t>
        </is>
      </c>
      <c r="F329" s="26" t="inlineStr">
        <is>
          <t>IFAC-PapersOnLine</t>
        </is>
      </c>
      <c r="G329" s="26" t="inlineStr">
        <is>
          <t>Conference paper</t>
        </is>
      </c>
      <c r="H329" s="26" t="inlineStr">
        <is>
          <t>10.1016/j.ifacol.2022.09.678</t>
        </is>
      </c>
      <c r="I329" s="26" t="inlineStr">
        <is>
          <t>TA</t>
        </is>
      </c>
      <c r="J329" s="37" t="inlineStr">
        <is>
          <t>Include</t>
        </is>
      </c>
      <c r="K329" s="37" t="n"/>
      <c r="L329" s="28" t="inlineStr">
        <is>
          <t>Strong candidate: twin + supply chain + AI all in title/abstract</t>
        </is>
      </c>
      <c r="M329" s="37" t="inlineStr">
        <is>
          <t>[Make] Gemelo cognitivo con realidad aumentada: "a framework integrating production and logistics processes that employs a machine learning-enabled digital twin to ensure adaptive production scheduling and resilient supply chain operations"; explora "the interaction of human and machine intelligence in managing disruptions". Make; relevante para HITL. | Auditoría final 2026-09-06: Trabajo relacionado: R0331 (IFIP 2021) presenta el marco base; este artículo explora realidad aumentada e interacción humano-máquina sobre ese marco. No se trata como par duplicado; ambos conservados (revisar solapamiento en texto completo).</t>
        </is>
      </c>
      <c r="N329" s="69" t="inlineStr">
        <is>
          <t>I</t>
        </is>
      </c>
      <c r="O329" s="69" t="n">
        <v>7</v>
      </c>
      <c r="P329" s="69" t="inlineStr">
        <is>
          <t>Include</t>
        </is>
      </c>
      <c r="Q329" s="69" t="inlineStr">
        <is>
          <t>I</t>
        </is>
      </c>
      <c r="R329" s="69" t="inlineStr">
        <is>
          <t>Gemelo cognitivo con realidad aumentada: "a framework integrating production and logistics processes that employs a machine learning-enabled digital twin to ensure adaptive production scheduling and resilient supply chain operations"; explora "the interaction of human and machine intelligence in managing disruptions". Make; relevante para HITL.</t>
        </is>
      </c>
      <c r="S329" s="69" t="inlineStr">
        <is>
          <t>Make</t>
        </is>
      </c>
    </row>
    <row r="330" ht="23.25" customHeight="1" s="17">
      <c r="A330" s="26" t="inlineStr">
        <is>
          <t>R0329</t>
        </is>
      </c>
      <c r="B330" s="26" t="inlineStr">
        <is>
          <t>Scopus</t>
        </is>
      </c>
      <c r="C330" s="26" t="inlineStr">
        <is>
          <t>Elbouzidi A.D.; Bélanger M.-J.; el Cadi A.A.; Pellerin R.; Lamouri S.; Valencia E.T.</t>
        </is>
      </c>
      <c r="D330" s="26" t="n">
        <v>2022</v>
      </c>
      <c r="E330" s="27" t="inlineStr">
        <is>
          <t>The Role Of AI In Warehouse Digital Twins</t>
        </is>
      </c>
      <c r="F330" s="26" t="inlineStr">
        <is>
          <t>European Modeling and Simulation Symposium, EMSS</t>
        </is>
      </c>
      <c r="G330" s="26" t="inlineStr">
        <is>
          <t>Conference paper</t>
        </is>
      </c>
      <c r="H330" s="26" t="inlineStr">
        <is>
          <t>10.46354/i3m.2022.emss.024</t>
        </is>
      </c>
      <c r="I330" s="26" t="inlineStr">
        <is>
          <t>TA</t>
        </is>
      </c>
      <c r="J330" s="37" t="inlineStr">
        <is>
          <t>Exclude</t>
        </is>
      </c>
      <c r="K330" s="37" t="inlineStr">
        <is>
          <t>Wrong publication type</t>
        </is>
      </c>
      <c r="L330" s="28" t="inlineStr">
        <is>
          <t>Strong candidate: twin + supply chain + AI all in title/abstract</t>
        </is>
      </c>
      <c r="M330" s="37" t="inlineStr">
        <is>
          <t>Examen de casos de uso y madurez de la IA en gemelos de almacén ("this paper examines the use cases of warehouse digital twins (WDT). This study aims to assess the maturity of AI application within WDT"). Valor para snowballing: alto.</t>
        </is>
      </c>
      <c r="N330" s="69" t="inlineStr">
        <is>
          <t>E4</t>
        </is>
      </c>
      <c r="O330" s="69" t="n">
        <v>7</v>
      </c>
      <c r="P330" s="69" t="inlineStr">
        <is>
          <t>Exclude</t>
        </is>
      </c>
      <c r="Q330" s="69" t="inlineStr">
        <is>
          <t>E4</t>
        </is>
      </c>
      <c r="R330" s="69" t="inlineStr">
        <is>
          <t>Examen de casos de uso y madurez de la IA en gemelos de almacén ("this paper examines the use cases of warehouse digital twins (WDT). This study aims to assess the maturity of AI application within WDT"). Valor para snowballing: alto.</t>
        </is>
      </c>
      <c r="S330" s="69" t="n"/>
    </row>
    <row r="331" ht="23.25" customHeight="1" s="17">
      <c r="A331" s="26" t="inlineStr">
        <is>
          <t>R0330</t>
        </is>
      </c>
      <c r="B331" s="26" t="inlineStr">
        <is>
          <t>Scopus</t>
        </is>
      </c>
      <c r="C331" s="26" t="inlineStr">
        <is>
          <t>Wang H.; Du W.; Li S.</t>
        </is>
      </c>
      <c r="D331" s="26" t="n">
        <v>2022</v>
      </c>
      <c r="E331" s="27" t="inlineStr">
        <is>
          <t>Key Issues for Digital Factory Designing and Planning: A Survey</t>
        </is>
      </c>
      <c r="F331" s="26" t="inlineStr">
        <is>
          <t>Studies in Computational Intelligence</t>
        </is>
      </c>
      <c r="G331" s="26" t="inlineStr">
        <is>
          <t>Conference paper</t>
        </is>
      </c>
      <c r="H331" s="26" t="inlineStr">
        <is>
          <t>10.1007/978-3-030-92317-4_2</t>
        </is>
      </c>
      <c r="I331" s="26" t="inlineStr">
        <is>
          <t>TA</t>
        </is>
      </c>
      <c r="J331" s="37" t="inlineStr">
        <is>
          <t>Exclude</t>
        </is>
      </c>
      <c r="K331" s="37" t="inlineStr">
        <is>
          <t>Wrong publication type</t>
        </is>
      </c>
      <c r="L331" s="28" t="inlineStr">
        <is>
          <t>Strong candidate: twin + supply chain + AI all in title/abstract</t>
        </is>
      </c>
      <c r="M331" s="37" t="inlineStr">
        <is>
          <t>"This article delivers a review of key issues of DF top-level design and planning"; gemelo y cadena entre tecnologías y aspectos. Valor para snowballing: bajo.</t>
        </is>
      </c>
      <c r="N331" s="69" t="inlineStr">
        <is>
          <t>E4</t>
        </is>
      </c>
      <c r="O331" s="69" t="n">
        <v>7</v>
      </c>
      <c r="P331" s="69" t="inlineStr">
        <is>
          <t>Exclude</t>
        </is>
      </c>
      <c r="Q331" s="69" t="inlineStr">
        <is>
          <t>E4</t>
        </is>
      </c>
      <c r="R331" s="69" t="inlineStr">
        <is>
          <t>"This article delivers a review of key issues of DF top-level design and planning"; gemelo y cadena entre tecnologías y aspectos. Valor para snowballing: bajo.</t>
        </is>
      </c>
      <c r="S331" s="69" t="n"/>
    </row>
    <row r="332" ht="23.25" customHeight="1" s="17">
      <c r="A332" s="26" t="inlineStr">
        <is>
          <t>R0331</t>
        </is>
      </c>
      <c r="B332" s="26" t="inlineStr">
        <is>
          <t>Scopus + WoS</t>
        </is>
      </c>
      <c r="C332" s="26" t="inlineStr">
        <is>
          <t>Greis N.P.; Nogueira M.L.; Rohde W.</t>
        </is>
      </c>
      <c r="D332" s="26" t="n">
        <v>2021</v>
      </c>
      <c r="E332" s="27" t="inlineStr">
        <is>
          <t>Digital Twin Framework for Machine Learning-Enabled Integrated Production and Logistics Processes</t>
        </is>
      </c>
      <c r="F332" s="26" t="inlineStr">
        <is>
          <t>IFIP Advances in Information and Communication Technology</t>
        </is>
      </c>
      <c r="G332" s="26" t="inlineStr">
        <is>
          <t>Conference paper</t>
        </is>
      </c>
      <c r="H332" s="26" t="inlineStr">
        <is>
          <t>10.1007/978-3-030-85874-2_23</t>
        </is>
      </c>
      <c r="I332" s="26" t="inlineStr">
        <is>
          <t>TA</t>
        </is>
      </c>
      <c r="J332" s="37" t="inlineStr">
        <is>
          <t>Include</t>
        </is>
      </c>
      <c r="K332" s="37" t="n"/>
      <c r="L332" s="28" t="inlineStr">
        <is>
          <t>Strong candidate: twin + supply chain + AI all in title/abstract</t>
        </is>
      </c>
      <c r="M332" s="37" t="inlineStr">
        <is>
          <t>[Make] "This paper offers an integrated framework bridging production and logistics processes that employs a machine learning-enabled digital twin to ensure adaptive production scheduling and resilient supply chain operations"; detección de riesgos de proveedores con motor de ML. Make; artículo compañero de R0328. | Auditoría final 2026-09-06: Trabajo relacionado: R0328 (IFAC 2022) extiende este marco con realidad aumentada e interacción humano-máquina. No se trata como par duplicado; ambos conservados (revisar solapamiento en texto completo).</t>
        </is>
      </c>
      <c r="N332" s="69" t="inlineStr">
        <is>
          <t>I</t>
        </is>
      </c>
      <c r="O332" s="69" t="n">
        <v>7</v>
      </c>
      <c r="P332" s="69" t="inlineStr">
        <is>
          <t>Include</t>
        </is>
      </c>
      <c r="Q332" s="69" t="inlineStr">
        <is>
          <t>I</t>
        </is>
      </c>
      <c r="R332" s="69" t="inlineStr">
        <is>
          <t>"This paper offers an integrated framework bridging production and logistics processes that employs a machine learning-enabled digital twin to ensure adaptive production scheduling and resilient supply chain operations"; detección de riesgos de proveedores con motor de ML. Make; artículo compañero de R0328.</t>
        </is>
      </c>
      <c r="S332" s="69" t="inlineStr">
        <is>
          <t>Make</t>
        </is>
      </c>
    </row>
    <row r="333" ht="23.25" customHeight="1" s="17">
      <c r="A333" s="26" t="inlineStr">
        <is>
          <t>R0332</t>
        </is>
      </c>
      <c r="B333" s="26" t="inlineStr">
        <is>
          <t>Scopus + WoS</t>
        </is>
      </c>
      <c r="C333" s="26" t="inlineStr">
        <is>
          <t>Golan M.S.; Trump B.D.; Cegan J.C.; Linkov I.</t>
        </is>
      </c>
      <c r="D333" s="26" t="n">
        <v>2021</v>
      </c>
      <c r="E333" s="27" t="inlineStr">
        <is>
          <t>Supply chain resilience for vaccines: review of modeling approaches in the context of the COVID-19 pandemic</t>
        </is>
      </c>
      <c r="F333" s="26" t="inlineStr">
        <is>
          <t>Industrial Management and Data Systems</t>
        </is>
      </c>
      <c r="G333" s="26" t="inlineStr">
        <is>
          <t>Article</t>
        </is>
      </c>
      <c r="H333" s="26" t="inlineStr">
        <is>
          <t>10.1108/imds-01-2021-0022</t>
        </is>
      </c>
      <c r="I333" s="26" t="inlineStr">
        <is>
          <t>TA</t>
        </is>
      </c>
      <c r="J333" s="37" t="inlineStr">
        <is>
          <t>Exclude</t>
        </is>
      </c>
      <c r="K333" s="37" t="inlineStr">
        <is>
          <t>Wrong publication type</t>
        </is>
      </c>
      <c r="L333" s="28" t="inlineStr">
        <is>
          <t>Strong candidate: twin + supply chain + AI all in title/abstract</t>
        </is>
      </c>
      <c r="M333" s="37" t="inlineStr">
        <is>
          <t>"Systematic review of the literature on modeling supply chain resilience from 2007 to 2020" aplicada a cadenas de vacunas; IA y gemelos como herramientas recomendadas. Valor para snowballing: medio.</t>
        </is>
      </c>
      <c r="N333" s="69" t="inlineStr">
        <is>
          <t>E4</t>
        </is>
      </c>
      <c r="O333" s="69" t="n">
        <v>7</v>
      </c>
      <c r="P333" s="69" t="inlineStr">
        <is>
          <t>Exclude</t>
        </is>
      </c>
      <c r="Q333" s="69" t="inlineStr">
        <is>
          <t>E4</t>
        </is>
      </c>
      <c r="R333" s="69" t="inlineStr">
        <is>
          <t>"Systematic review of the literature on modeling supply chain resilience from 2007 to 2020" aplicada a cadenas de vacunas; IA y gemelos como herramientas recomendadas. Valor para snowballing: medio.</t>
        </is>
      </c>
      <c r="S333" s="69" t="n"/>
    </row>
    <row r="334" ht="23.25" customHeight="1" s="17">
      <c r="A334" s="26" t="inlineStr">
        <is>
          <t>R0333</t>
        </is>
      </c>
      <c r="B334" s="26" t="inlineStr">
        <is>
          <t>Scopus</t>
        </is>
      </c>
      <c r="C334" s="26" t="inlineStr">
        <is>
          <t>Golova J.; Mahmood K.; Raamets T.</t>
        </is>
      </c>
      <c r="D334" s="26" t="n">
        <v>2021</v>
      </c>
      <c r="E334" s="27" t="inlineStr">
        <is>
          <t>Simulation based Performance Analysis of Production Intralogistics</t>
        </is>
      </c>
      <c r="F334" s="26" t="inlineStr">
        <is>
          <t>Proceedings of the International Conference of DAAAM Baltic &amp;quot;Industrial Engineering&amp;quot;</t>
        </is>
      </c>
      <c r="G334" s="26" t="inlineStr">
        <is>
          <t>Conference paper</t>
        </is>
      </c>
      <c r="H334" s="26" t="inlineStr">
        <is>
          <t>10.1088/1757-899x/1140/1/012026</t>
        </is>
      </c>
      <c r="I334" s="26" t="inlineStr">
        <is>
          <t>TA</t>
        </is>
      </c>
      <c r="J334" s="37" t="inlineStr">
        <is>
          <t>Exclude</t>
        </is>
      </c>
      <c r="K334" s="37" t="inlineStr">
        <is>
          <t>No digital twin/model</t>
        </is>
      </c>
      <c r="L334" s="28" t="inlineStr">
        <is>
          <t>Strong candidate: twin + supply chain + AI all in title/abstract</t>
        </is>
      </c>
      <c r="M334" s="37" t="inlineStr">
        <is>
          <t>Análisis de desempeño de intralogística de producción por simulación; gemelo e IA sólo como tecnologías aplicables ("Industry 4.0 technologies such as Internet of Things (IoT), Digital Twins, and Artificial Intelligence (AI) can be applied to production logistics"); también E3.</t>
        </is>
      </c>
      <c r="N334" s="69" t="inlineStr">
        <is>
          <t>E1</t>
        </is>
      </c>
      <c r="O334" s="69" t="n">
        <v>7</v>
      </c>
      <c r="P334" s="69" t="inlineStr">
        <is>
          <t>Exclude</t>
        </is>
      </c>
      <c r="Q334" s="69" t="inlineStr">
        <is>
          <t>E1</t>
        </is>
      </c>
      <c r="R334" s="69" t="inlineStr">
        <is>
          <t>Análisis de desempeño de intralogística de producción por simulación; gemelo e IA sólo como tecnologías aplicables ("Industry 4.0 technologies such as Internet of Things (IoT), Digital Twins, and Artificial Intelligence (AI) can be applied to production logistics"); también E3.</t>
        </is>
      </c>
      <c r="S334" s="69" t="n"/>
    </row>
    <row r="335" ht="23.25" customHeight="1" s="17">
      <c r="A335" s="26" t="inlineStr">
        <is>
          <t>R0334</t>
        </is>
      </c>
      <c r="B335" s="26" t="inlineStr">
        <is>
          <t>Scopus + WoS</t>
        </is>
      </c>
      <c r="C335" s="26" t="inlineStr">
        <is>
          <t>Ghandar A.; Ahmed A.; Zulfiqar S.; Hua Z.; Hanai M.; Theodoropoulos G.</t>
        </is>
      </c>
      <c r="D335" s="26" t="n">
        <v>2021</v>
      </c>
      <c r="E335" s="27" t="inlineStr">
        <is>
          <t>A decision support system for urban agriculture using digital twin: A case study with aquaponics</t>
        </is>
      </c>
      <c r="F335" s="26" t="inlineStr">
        <is>
          <t>IEEE Access</t>
        </is>
      </c>
      <c r="G335" s="26" t="inlineStr">
        <is>
          <t>Article</t>
        </is>
      </c>
      <c r="H335" s="26" t="inlineStr">
        <is>
          <t>10.1109/access.2021.3061722</t>
        </is>
      </c>
      <c r="I335" s="26" t="inlineStr">
        <is>
          <t>TA</t>
        </is>
      </c>
      <c r="J335" s="37" t="inlineStr">
        <is>
          <t>Exclude</t>
        </is>
      </c>
      <c r="K335" s="37" t="inlineStr">
        <is>
          <t>No supply chain scope</t>
        </is>
      </c>
      <c r="L335" s="28" t="inlineStr">
        <is>
          <t>Strong candidate: twin + supply chain + AI all in title/abstract</t>
        </is>
      </c>
      <c r="M335" s="37" t="inlineStr">
        <is>
          <t>Sistema de soporte a decisión para agricultura urbana (acuaponía) con gemelo y ML; la logística sólo como beneficio mencionado ("for instance in reducing waste and logistics costs"), sin encuadre de cadena ni logística.</t>
        </is>
      </c>
      <c r="N335" s="69" t="inlineStr">
        <is>
          <t>E2</t>
        </is>
      </c>
      <c r="O335" s="69" t="n">
        <v>7</v>
      </c>
      <c r="P335" s="69" t="inlineStr">
        <is>
          <t>Exclude</t>
        </is>
      </c>
      <c r="Q335" s="69" t="inlineStr">
        <is>
          <t>E2</t>
        </is>
      </c>
      <c r="R335" s="69" t="inlineStr">
        <is>
          <t>Sistema de soporte a decisión para agricultura urbana (acuaponía) con gemelo y ML; la logística sólo como beneficio mencionado ("for instance in reducing waste and logistics costs"), sin encuadre de cadena ni logística.</t>
        </is>
      </c>
      <c r="S335" s="69" t="n"/>
    </row>
    <row r="336" ht="23.25" customHeight="1" s="17">
      <c r="A336" s="26" t="inlineStr">
        <is>
          <t>R0335</t>
        </is>
      </c>
      <c r="B336" s="26" t="inlineStr">
        <is>
          <t>Scopus + WoS</t>
        </is>
      </c>
      <c r="C336" s="26" t="inlineStr">
        <is>
          <t>Serrano-Ruiz J.C.; Mula J.; Poler R.</t>
        </is>
      </c>
      <c r="D336" s="26" t="n">
        <v>2021</v>
      </c>
      <c r="E336" s="27" t="inlineStr">
        <is>
          <t>Smart master production schedule for the supply chain: A conceptual framework</t>
        </is>
      </c>
      <c r="F336" s="26" t="inlineStr">
        <is>
          <t>Computers</t>
        </is>
      </c>
      <c r="G336" s="26" t="inlineStr">
        <is>
          <t>Article</t>
        </is>
      </c>
      <c r="H336" s="26" t="inlineStr">
        <is>
          <t>10.3390/computers10120156</t>
        </is>
      </c>
      <c r="I336" s="26" t="inlineStr">
        <is>
          <t>TA</t>
        </is>
      </c>
      <c r="J336" s="37" t="inlineStr">
        <is>
          <t>Exclude</t>
        </is>
      </c>
      <c r="K336" s="37" t="inlineStr">
        <is>
          <t>Wrong publication type</t>
        </is>
      </c>
      <c r="L336" s="28" t="inlineStr">
        <is>
          <t>Strong candidate: twin + supply chain + AI all in title/abstract</t>
        </is>
      </c>
      <c r="M336" s="37" t="inlineStr">
        <is>
          <t>Recodificado 2026-09-06 en la auditoría final (I→E4): Marco conceptual basado en revisión del estado del arte (C3): "This paper reviews the state of the art and proposes a ZDM strategy-based conceptual framework that models, optimizes and simulates the master production schedule (MPS) problem to maximize service levels in SCs"; intersección exacta gemelo + ML + planeación de cadena ("digital twin (DT) technology, enable new simulation and optimization methods, especially in combination with machine learning (ML) procedures"), por eso valor alto. Make retirado (deja de ser inclusión). Valor para snowballing: alto. | Nota original (I) (anotado Make en el cribado inicial, retirado): Marco conceptual de programa maestro de producción para la cadena: "digital twin (DT) technology, enable new simulation and optimization methods, especially in combination with machine learning (ML) procedures"; "proposes a ZDM strategy-based conceptual framework that models, optimizes and simulates the master production schedule (MPS) problem to maximize service levels in SCs". Make (planeación de producción encuadrada en niveles de servicio de la cadena, como R0328 y R0331); conceptual; verificar que el gemelo sea componente del marco.</t>
        </is>
      </c>
      <c r="N336" s="69" t="inlineStr">
        <is>
          <t>E4</t>
        </is>
      </c>
      <c r="O336" s="69" t="n">
        <v>7</v>
      </c>
      <c r="P336" s="69" t="inlineStr">
        <is>
          <t>Include</t>
        </is>
      </c>
      <c r="Q336" s="69" t="inlineStr">
        <is>
          <t>I</t>
        </is>
      </c>
      <c r="R336" s="69" t="inlineStr">
        <is>
          <t>Marco conceptual de programa maestro de producción para la cadena: "digital twin (DT) technology, enable new simulation and optimization methods, especially in combination with machine learning (ML) procedures"; "proposes a ZDM strategy-based conceptual framework that models, optimizes and simulates the master production schedule (MPS) problem to maximize service levels in SCs". Make (planeación de producción encuadrada en niveles de servicio de la cadena, como R0328 y R0331); conceptual; verificar que el gemelo sea componente del marco.</t>
        </is>
      </c>
      <c r="S336" s="69" t="n"/>
    </row>
    <row r="337" ht="23.25" customHeight="1" s="17">
      <c r="A337" s="26" t="inlineStr">
        <is>
          <t>R0336</t>
        </is>
      </c>
      <c r="B337" s="26" t="inlineStr">
        <is>
          <t>Scopus</t>
        </is>
      </c>
      <c r="C337" s="26" t="inlineStr">
        <is>
          <t>Nguyen A.; Usuga-Cadavid J.P.; Lamouri S.; Grabot B.; Pellerin R.</t>
        </is>
      </c>
      <c r="D337" s="26" t="n">
        <v>2021</v>
      </c>
      <c r="E337" s="27" t="inlineStr">
        <is>
          <t>Understanding Data-Related Concepts in Smart Manufacturing and Supply Chain Through Text Mining</t>
        </is>
      </c>
      <c r="F337" s="26" t="inlineStr">
        <is>
          <t>Studies in Computational Intelligence</t>
        </is>
      </c>
      <c r="G337" s="26" t="inlineStr">
        <is>
          <t>Conference paper</t>
        </is>
      </c>
      <c r="H337" s="26" t="inlineStr">
        <is>
          <t>10.1007/978-3-030-69373-2_37</t>
        </is>
      </c>
      <c r="I337" s="26" t="inlineStr">
        <is>
          <t>TA</t>
        </is>
      </c>
      <c r="J337" s="37" t="inlineStr">
        <is>
          <t>Exclude</t>
        </is>
      </c>
      <c r="K337" s="37" t="inlineStr">
        <is>
          <t>Wrong publication type</t>
        </is>
      </c>
      <c r="L337" s="28" t="inlineStr">
        <is>
          <t>Strong candidate: twin + supply chain + AI all in title/abstract</t>
        </is>
      </c>
      <c r="M337" s="37" t="inlineStr">
        <is>
          <t>Minería de texto de la literatura sobre conceptos de ciencia de datos en manufactura y cadena ("a text mining approach is employed to both contribute to disambiguation of these terms and identify future research trends"); gemelos como tendencia. Valor para snowballing: bajo.</t>
        </is>
      </c>
      <c r="N337" s="69" t="inlineStr">
        <is>
          <t>E4</t>
        </is>
      </c>
      <c r="O337" s="69" t="n">
        <v>7</v>
      </c>
      <c r="P337" s="69" t="inlineStr">
        <is>
          <t>Exclude</t>
        </is>
      </c>
      <c r="Q337" s="69" t="inlineStr">
        <is>
          <t>E4</t>
        </is>
      </c>
      <c r="R337" s="69" t="inlineStr">
        <is>
          <t>Minería de texto de la literatura sobre conceptos de ciencia de datos en manufactura y cadena ("a text mining approach is employed to both contribute to disambiguation of these terms and identify future research trends"); gemelos como tendencia. Valor para snowballing: bajo.</t>
        </is>
      </c>
      <c r="S337" s="69" t="n"/>
    </row>
    <row r="338" ht="23.25" customHeight="1" s="17">
      <c r="A338" s="26" t="inlineStr">
        <is>
          <t>R0337</t>
        </is>
      </c>
      <c r="B338" s="26" t="inlineStr">
        <is>
          <t>Scopus</t>
        </is>
      </c>
      <c r="C338" s="26" t="inlineStr">
        <is>
          <t>Rymarczyk J.</t>
        </is>
      </c>
      <c r="D338" s="26" t="n">
        <v>2020</v>
      </c>
      <c r="E338" s="27" t="inlineStr">
        <is>
          <t>Technologies, opportunities and challenges of the industrial revolution 4.0: Theoretical considerations</t>
        </is>
      </c>
      <c r="F338" s="26" t="inlineStr">
        <is>
          <t>Entrepreneurial Business and Economics Review</t>
        </is>
      </c>
      <c r="G338" s="26" t="inlineStr">
        <is>
          <t>Article</t>
        </is>
      </c>
      <c r="H338" s="26" t="inlineStr">
        <is>
          <t>10.15678/eber.2020.080110</t>
        </is>
      </c>
      <c r="I338" s="26" t="inlineStr">
        <is>
          <t>TA</t>
        </is>
      </c>
      <c r="J338" s="37" t="inlineStr">
        <is>
          <t>Exclude</t>
        </is>
      </c>
      <c r="K338" s="37" t="inlineStr">
        <is>
          <t>Wrong publication type</t>
        </is>
      </c>
      <c r="L338" s="28" t="inlineStr">
        <is>
          <t>Strong candidate: twin + supply chain + AI all in title/abstract</t>
        </is>
      </c>
      <c r="M338" s="37" t="inlineStr">
        <is>
          <t>Consideraciones teóricas sobre la Industria 4.0 ("The article was based on available literature and online sources"); gemelo, IA y cadena inteligente sólo listados. Valor para snowballing: bajo.</t>
        </is>
      </c>
      <c r="N338" s="69" t="inlineStr">
        <is>
          <t>E4</t>
        </is>
      </c>
      <c r="O338" s="69" t="n">
        <v>7</v>
      </c>
      <c r="P338" s="69" t="inlineStr">
        <is>
          <t>Exclude</t>
        </is>
      </c>
      <c r="Q338" s="69" t="inlineStr">
        <is>
          <t>E4</t>
        </is>
      </c>
      <c r="R338" s="69" t="inlineStr">
        <is>
          <t>Consideraciones teóricas sobre la Industria 4.0 ("The article was based on available literature and online sources"); gemelo, IA y cadena inteligente sólo listados. Valor para snowballing: bajo.</t>
        </is>
      </c>
      <c r="S338" s="69" t="n"/>
    </row>
    <row r="339" ht="23.25" customHeight="1" s="17">
      <c r="A339" s="26" t="inlineStr">
        <is>
          <t>R0338</t>
        </is>
      </c>
      <c r="B339" s="26" t="inlineStr">
        <is>
          <t>Scopus</t>
        </is>
      </c>
      <c r="C339" s="26" t="inlineStr">
        <is>
          <t>Sacks R.; Brilakis I.; Pikas E.; Xie H.S.; Girolami M.</t>
        </is>
      </c>
      <c r="D339" s="26" t="n">
        <v>2020</v>
      </c>
      <c r="E339" s="27" t="inlineStr">
        <is>
          <t>Construction with digital twin information systems</t>
        </is>
      </c>
      <c r="F339" s="26" t="inlineStr">
        <is>
          <t>Data-Centric Engineering</t>
        </is>
      </c>
      <c r="G339" s="26" t="inlineStr">
        <is>
          <t>Article</t>
        </is>
      </c>
      <c r="H339" s="26" t="inlineStr">
        <is>
          <t>10.1017/dce.2020.16</t>
        </is>
      </c>
      <c r="I339" s="26" t="inlineStr">
        <is>
          <t>TA</t>
        </is>
      </c>
      <c r="J339" s="37" t="inlineStr">
        <is>
          <t>Exclude</t>
        </is>
      </c>
      <c r="K339" s="37" t="inlineStr">
        <is>
          <t>No supply chain scope</t>
        </is>
      </c>
      <c r="L339" s="28" t="inlineStr">
        <is>
          <t>Strong candidate: twin + supply chain + AI all in title/abstract</t>
        </is>
      </c>
      <c r="M339" s="37" t="inlineStr">
        <is>
          <t>Construcción con sistemas de información de gemelo (BIM, lean, IA) para control en lazo cerrado; la cadena sólo como fuente de datos ("automated data acquisition from construction sites and supply chains"), sin encuadre de cadena ni logística (mismo trato que R0114).</t>
        </is>
      </c>
      <c r="N339" s="69" t="inlineStr">
        <is>
          <t>E2</t>
        </is>
      </c>
      <c r="O339" s="69" t="n">
        <v>7</v>
      </c>
      <c r="P339" s="69" t="inlineStr">
        <is>
          <t>Exclude</t>
        </is>
      </c>
      <c r="Q339" s="69" t="inlineStr">
        <is>
          <t>E2</t>
        </is>
      </c>
      <c r="R339" s="69" t="inlineStr">
        <is>
          <t>Construcción con sistemas de información de gemelo (BIM, lean, IA) para control en lazo cerrado; la cadena sólo como fuente de datos ("automated data acquisition from construction sites and supply chains"), sin encuadre de cadena ni logística (mismo trato que R0114).</t>
        </is>
      </c>
      <c r="S339" s="69" t="n"/>
    </row>
    <row r="340" ht="23.25" customHeight="1" s="17">
      <c r="A340" s="26" t="inlineStr">
        <is>
          <t>R0339</t>
        </is>
      </c>
      <c r="B340" s="26" t="inlineStr">
        <is>
          <t>Scopus</t>
        </is>
      </c>
      <c r="C340" s="26" t="inlineStr">
        <is>
          <t>Clark T.</t>
        </is>
      </c>
      <c r="D340" s="26" t="n">
        <v>2020</v>
      </c>
      <c r="E340" s="27" t="inlineStr">
        <is>
          <t>The Uncertain Enterprise: Achieving Adaptation Through Digital Twins and Machine Learning Extended Abstract</t>
        </is>
      </c>
      <c r="F340" s="26" t="inlineStr">
        <is>
          <t>Lecture Notes in Business Information Processing</t>
        </is>
      </c>
      <c r="G340" s="26" t="inlineStr">
        <is>
          <t>Conference paper</t>
        </is>
      </c>
      <c r="H340" s="26" t="inlineStr">
        <is>
          <t>10.1007/978-3-030-63479-7_1</t>
        </is>
      </c>
      <c r="I340" s="26" t="inlineStr">
        <is>
          <t>TA</t>
        </is>
      </c>
      <c r="J340" s="37" t="inlineStr">
        <is>
          <t>Exclude</t>
        </is>
      </c>
      <c r="K340" s="37" t="inlineStr">
        <is>
          <t>Wrong publication type</t>
        </is>
      </c>
      <c r="L340" s="28" t="inlineStr">
        <is>
          <t>Strong candidate: twin + supply chain + AI all in title/abstract</t>
        </is>
      </c>
      <c r="M340" s="37" t="inlineStr">
        <is>
          <t>Resumen extendido de una sola frase sin contenido evaluable ("Systems, such as production plants, logistics networks, IT service companies, and international financial companies, are complex systems operating in highly dynamic environments"); tipo de publicación no cribable. Si se cribara por criterios sería E2 (redes logísticas sólo como uno de cuatro ejemplos). Confirmar.</t>
        </is>
      </c>
      <c r="N340" s="69" t="inlineStr">
        <is>
          <t>E5</t>
        </is>
      </c>
      <c r="O340" s="69" t="n">
        <v>7</v>
      </c>
      <c r="P340" s="69" t="inlineStr">
        <is>
          <t>Exclude</t>
        </is>
      </c>
      <c r="Q340" s="69" t="inlineStr">
        <is>
          <t>E5</t>
        </is>
      </c>
      <c r="R340" s="69" t="inlineStr">
        <is>
          <t>Resumen extendido de una sola frase sin contenido evaluable ("Systems, such as production plants, logistics networks, IT service companies, and international financial companies, are complex systems operating in highly dynamic environments"); tipo de publicación no cribable. Si se cribara por criterios sería E2 (redes logísticas sólo como uno de cuatro ejemplos). Confirmar.</t>
        </is>
      </c>
      <c r="S340" s="69" t="n"/>
    </row>
    <row r="341" ht="34.5" customHeight="1" s="17">
      <c r="A341" s="26" t="inlineStr">
        <is>
          <t>R0340</t>
        </is>
      </c>
      <c r="B341" s="26" t="inlineStr">
        <is>
          <t>Scopus + WoS</t>
        </is>
      </c>
      <c r="C341" s="26" t="inlineStr">
        <is>
          <t>Schenk A.; Clausen U.</t>
        </is>
      </c>
      <c r="D341" s="26" t="n">
        <v>2020</v>
      </c>
      <c r="E341" s="27" t="inlineStr">
        <is>
          <t>Creating transparency in the finished vehicles transportation process through the implementation of a real-time decision support system</t>
        </is>
      </c>
      <c r="F341" s="26" t="inlineStr">
        <is>
          <t>IEEE International Conference on Industrial Engineering and Engineering Management</t>
        </is>
      </c>
      <c r="G341" s="26" t="inlineStr">
        <is>
          <t>Conference paper</t>
        </is>
      </c>
      <c r="H341" s="26" t="inlineStr">
        <is>
          <t>10.1109/ieem45057.2020.9309978</t>
        </is>
      </c>
      <c r="I341" s="26" t="inlineStr">
        <is>
          <t>TA</t>
        </is>
      </c>
      <c r="J341" s="37" t="inlineStr">
        <is>
          <t>Exclude</t>
        </is>
      </c>
      <c r="K341" s="37" t="inlineStr">
        <is>
          <t>No digital twin/model</t>
        </is>
      </c>
      <c r="L341" s="28" t="inlineStr">
        <is>
          <t>Strong candidate: twin + supply chain + AI all in title/abstract</t>
        </is>
      </c>
      <c r="M341" s="37" t="inlineStr">
        <is>
          <t>Sistema de soporte a decisión para transporte de vehículos terminados (BMW) con plataforma de big data; el gemelo sólo como precursor futuro en la frase final ("The DSS can be seen as a necessary precursor of a digital twin") y el ML a largo plazo; también E3.</t>
        </is>
      </c>
      <c r="N341" s="69" t="inlineStr">
        <is>
          <t>E1</t>
        </is>
      </c>
      <c r="O341" s="69" t="n">
        <v>7</v>
      </c>
      <c r="P341" s="69" t="inlineStr">
        <is>
          <t>Exclude</t>
        </is>
      </c>
      <c r="Q341" s="69" t="inlineStr">
        <is>
          <t>E1</t>
        </is>
      </c>
      <c r="R341" s="69" t="inlineStr">
        <is>
          <t>Sistema de soporte a decisión para transporte de vehículos terminados (BMW) con plataforma de big data; el gemelo sólo como precursor futuro en la frase final ("The DSS can be seen as a necessary precursor of a digital twin") y el ML a largo plazo; también E3.</t>
        </is>
      </c>
      <c r="S341" s="69" t="n"/>
    </row>
    <row r="342" ht="34.5" customHeight="1" s="17">
      <c r="A342" s="26" t="inlineStr">
        <is>
          <t>R0341</t>
        </is>
      </c>
      <c r="B342" s="26" t="inlineStr">
        <is>
          <t>Scopus</t>
        </is>
      </c>
      <c r="C342" s="26" t="inlineStr">
        <is>
          <t>Dobler M.; Schumacher J.; Busel P.; Hartmann C.</t>
        </is>
      </c>
      <c r="D342" s="26" t="n">
        <v>2020</v>
      </c>
      <c r="E342" s="27" t="inlineStr">
        <is>
          <t>Supporting SMEs in the Lake Constance Region in the Implementation of Cyber-Physical-Systems: Framework and Demonstrator</t>
        </is>
      </c>
      <c r="F342" s="26" t="inlineStr">
        <is>
          <t>Proceedings - 2020 IEEE International Conference on Engineering, Technology and Innovation, ICE/ITMC 2020</t>
        </is>
      </c>
      <c r="G342" s="26" t="inlineStr">
        <is>
          <t>Conference paper</t>
        </is>
      </c>
      <c r="H342" s="26" t="inlineStr">
        <is>
          <t>10.1109/ice/itmc49519.2020.9198430</t>
        </is>
      </c>
      <c r="I342" s="26" t="inlineStr">
        <is>
          <t>TA</t>
        </is>
      </c>
      <c r="J342" s="37" t="inlineStr">
        <is>
          <t>Include</t>
        </is>
      </c>
      <c r="K342" s="37" t="n"/>
      <c r="L342" s="28" t="inlineStr">
        <is>
          <t>Strong candidate: twin + supply chain + AI all in title/abstract</t>
        </is>
      </c>
      <c r="M342" s="37" t="inlineStr">
        <is>
          <t>[Make] Avatares digitales equiparados a gemelos ("Digital avatars - sometimes also called Digital Twins or more broadly Cyber-Physical Systems (CPS)") con "local intelligence" asignada a trabajos y materias primas (inteligencia distribuida tipo agente, C7) para líneas de manufactura en "intelligent supply chains"; demostrador con simulación de eventos discretos. Make; verificar. | Auditoría final 2026-09-06: se mantiene I; Make conservado tras la verificación independiente: el objetivo declarado encuadra la cadena ("The goal of this paper is to describe how data from interwoven, autonomous and intelligent supply chains can be integrated into the diverse data ecosystems of the Industry 4.0") (C5) y la inteligencia local de trabajos y materias primas en el avatar digital ("assign local intelligence to jobs and raw materials") es control distribuido tipo agente (C7); verificar en texto completo el método de la inteligencia local y el alcance de cadena del demostrador.</t>
        </is>
      </c>
      <c r="N342" s="69" t="inlineStr">
        <is>
          <t>I</t>
        </is>
      </c>
      <c r="O342" s="69" t="n">
        <v>7</v>
      </c>
      <c r="P342" s="69" t="inlineStr">
        <is>
          <t>Include</t>
        </is>
      </c>
      <c r="Q342" s="69" t="inlineStr">
        <is>
          <t>I</t>
        </is>
      </c>
      <c r="R342" s="69" t="inlineStr">
        <is>
          <t>Avatares digitales equiparados a gemelos ("Digital avatars - sometimes also called Digital Twins or more broadly Cyber-Physical Systems (CPS)") con "local intelligence" asignada a trabajos y materias primas (inteligencia distribuida tipo agente, C7) para líneas de manufactura en "intelligent supply chains"; demostrador con simulación de eventos discretos. Make; verificar.</t>
        </is>
      </c>
      <c r="S342" s="69" t="inlineStr">
        <is>
          <t>Make</t>
        </is>
      </c>
    </row>
    <row r="343" ht="23.25" customHeight="1" s="17">
      <c r="A343" s="26" t="inlineStr">
        <is>
          <t>R0342</t>
        </is>
      </c>
      <c r="B343" s="26" t="inlineStr">
        <is>
          <t>WoS</t>
        </is>
      </c>
      <c r="C343" s="26" t="inlineStr">
        <is>
          <t>Babiceanu, RF; Seker, R</t>
        </is>
      </c>
      <c r="D343" s="26" t="n">
        <v>2020</v>
      </c>
      <c r="E343" s="27" t="inlineStr">
        <is>
          <t>Cloud-Enabled Product Design Selection and Manufacturing as a Service</t>
        </is>
      </c>
      <c r="F343" s="26" t="inlineStr">
        <is>
          <t>SERVICE ORIENTED, HOLONIC AND MULTI-AGENT MANUFACTURING SYSTEMS FOR INDUSTRY OF THE FUTURE</t>
        </is>
      </c>
      <c r="G343" s="26" t="inlineStr">
        <is>
          <t>Proceedings Paper</t>
        </is>
      </c>
      <c r="H343" s="26" t="inlineStr">
        <is>
          <t>10.1007/978-3-030-27477-1_16</t>
        </is>
      </c>
      <c r="I343" s="26" t="inlineStr">
        <is>
          <t>TA</t>
        </is>
      </c>
      <c r="J343" s="37" t="inlineStr">
        <is>
          <t>Exclude</t>
        </is>
      </c>
      <c r="K343" s="37" t="inlineStr">
        <is>
          <t>No digital twin/model</t>
        </is>
      </c>
      <c r="L343" s="28" t="inlineStr">
        <is>
          <t>Strong candidate: twin + supply chain + AI all in title/abstract</t>
        </is>
      </c>
      <c r="M343" s="37" t="inlineStr">
        <is>
          <t>Sistema en la nube de selección de diseño y manufactura como servicio con IA y logística inteligente; el gemelo sólo se cita como arquitectura conocida ("Manufacturing digital twin for production monitoring is arguably the most known cloud services architecture") y entra únicamente por la frase comodín "This work combines all the above technologies, applications, services, and processes", sin describir gemelo alguno en el sistema.</t>
        </is>
      </c>
      <c r="N343" s="69" t="inlineStr">
        <is>
          <t>E1</t>
        </is>
      </c>
      <c r="O343" s="69" t="n">
        <v>7</v>
      </c>
      <c r="P343" s="69" t="inlineStr">
        <is>
          <t>Exclude</t>
        </is>
      </c>
      <c r="Q343" s="69" t="inlineStr">
        <is>
          <t>E1</t>
        </is>
      </c>
      <c r="R343" s="69" t="inlineStr">
        <is>
          <t>Sistema en la nube de selección de diseño y manufactura como servicio con IA y logística inteligente; el gemelo sólo se cita como arquitectura conocida ("Manufacturing digital twin for production monitoring is arguably the most known cloud services architecture") y entra únicamente por la frase comodín "This work combines all the above technologies, applications, services, and processes", sin describir gemelo alguno en el sistema.</t>
        </is>
      </c>
      <c r="S343" s="69" t="n"/>
    </row>
    <row r="344" ht="23.25" customHeight="1" s="17">
      <c r="A344" s="26" t="inlineStr">
        <is>
          <t>R0343</t>
        </is>
      </c>
      <c r="B344" s="26" t="inlineStr">
        <is>
          <t>Scopus + WoS</t>
        </is>
      </c>
      <c r="C344" s="26" t="inlineStr">
        <is>
          <t>Delfino L.R.; Garcia A.S.; De Moura R.L.</t>
        </is>
      </c>
      <c r="D344" s="26" t="n">
        <v>2019</v>
      </c>
      <c r="E344" s="27" t="inlineStr">
        <is>
          <t>Industrial Internet of Things: Digital Twins</t>
        </is>
      </c>
      <c r="F344" s="26" t="inlineStr">
        <is>
          <t>2019 SBMO/IEEE MTT-S International Microwave and Optoelectronics Conference, IMOC 2019</t>
        </is>
      </c>
      <c r="G344" s="26" t="inlineStr">
        <is>
          <t>Conference paper</t>
        </is>
      </c>
      <c r="H344" s="26" t="inlineStr">
        <is>
          <t>10.1109/imoc43827.2019.9317591</t>
        </is>
      </c>
      <c r="I344" s="26" t="inlineStr">
        <is>
          <t>TA</t>
        </is>
      </c>
      <c r="J344" s="37" t="inlineStr">
        <is>
          <t>Exclude</t>
        </is>
      </c>
      <c r="K344" s="37" t="inlineStr">
        <is>
          <t>No supply chain scope</t>
        </is>
      </c>
      <c r="L344" s="28" t="inlineStr">
        <is>
          <t>Strong candidate: twin + supply chain + AI all in title/abstract</t>
        </is>
      </c>
      <c r="M344" s="37" t="inlineStr">
        <is>
          <t>Exploración de la arquitectura de referencia de los gemelos en IIoT; la cadena sólo en la introducción ("increase the insertion of technologies in its supply chain and production activities"), sin encuadre; también E3 (IA como herramienta listada).</t>
        </is>
      </c>
      <c r="N344" s="69" t="inlineStr">
        <is>
          <t>E2</t>
        </is>
      </c>
      <c r="O344" s="69" t="n">
        <v>7</v>
      </c>
      <c r="P344" s="69" t="inlineStr">
        <is>
          <t>Exclude</t>
        </is>
      </c>
      <c r="Q344" s="69" t="inlineStr">
        <is>
          <t>E2</t>
        </is>
      </c>
      <c r="R344" s="69" t="inlineStr">
        <is>
          <t>Exploración de la arquitectura de referencia de los gemelos en IIoT; la cadena sólo en la introducción ("increase the insertion of technologies in its supply chain and production activities"), sin encuadre; también E3 (IA como herramienta listada).</t>
        </is>
      </c>
      <c r="S344" s="69" t="n"/>
    </row>
    <row r="345" ht="45.75" customHeight="1" s="17">
      <c r="A345" s="26" t="inlineStr">
        <is>
          <t>R0344</t>
        </is>
      </c>
      <c r="B345" s="26" t="inlineStr">
        <is>
          <t>Scopus</t>
        </is>
      </c>
      <c r="C345" s="26" t="inlineStr">
        <is>
          <t>Zeidler F.; Bayhan H.; Venkatapathy A.K.R.; Hompel M.T.</t>
        </is>
      </c>
      <c r="D345" s="26" t="n">
        <v>2017</v>
      </c>
      <c r="E345" s="27" t="inlineStr">
        <is>
          <t>Reference field for research and development of novel hybrid forms of human machine interaction in logistics; [Referenzfeld zur erforschung und entwicklung neuartiger hybrider formen der zusammenarbeit von menschen und maschinen in der logistik]</t>
        </is>
      </c>
      <c r="F345" s="26" t="inlineStr">
        <is>
          <t>Logistics Journal</t>
        </is>
      </c>
      <c r="G345" s="26" t="inlineStr">
        <is>
          <t>Article</t>
        </is>
      </c>
      <c r="H345" s="26" t="inlineStr">
        <is>
          <t>10.2195/lj_proc_zeidler_de_201710_01</t>
        </is>
      </c>
      <c r="I345" s="26" t="inlineStr">
        <is>
          <t>TA</t>
        </is>
      </c>
      <c r="J345" s="37" t="inlineStr">
        <is>
          <t>Exclude</t>
        </is>
      </c>
      <c r="K345" s="37" t="inlineStr">
        <is>
          <t>Not in English</t>
        </is>
      </c>
      <c r="L345" s="28" t="inlineStr">
        <is>
          <t>Strong candidate: twin + supply chain + AI all in title/abstract</t>
        </is>
      </c>
      <c r="M345" s="37" t="inlineStr">
        <is>
          <t>Probable original en alemán (Logistics Journal, título alemán entre corchetes; sin campo de idioma en Scopus). En cualquier caso, descripción del concepto de un centro de investigación de intralogística ("The article describes the concept of a research center (currently under construction)") con gemelos y ML como capacidades. Confirmar idioma.</t>
        </is>
      </c>
      <c r="N345" s="69" t="inlineStr">
        <is>
          <t>E5</t>
        </is>
      </c>
      <c r="O345" s="69" t="n">
        <v>7</v>
      </c>
      <c r="P345" s="69" t="inlineStr">
        <is>
          <t>Exclude</t>
        </is>
      </c>
      <c r="Q345" s="69" t="inlineStr">
        <is>
          <t>E5</t>
        </is>
      </c>
      <c r="R345" s="69" t="inlineStr">
        <is>
          <t>Probable original en alemán (Logistics Journal, título alemán entre corchetes; sin campo de idioma en Scopus). En cualquier caso, descripción del concepto de un centro de investigación de intralogística ("The article describes the concept of a research center (currently under construction)") con gemelos y ML como capacidades. Confirmar idioma.</t>
        </is>
      </c>
      <c r="S345" s="69" t="n"/>
    </row>
    <row r="346" ht="23.25" customHeight="1" s="17">
      <c r="A346" s="26" t="inlineStr">
        <is>
          <t>R0345</t>
        </is>
      </c>
      <c r="B346" s="26" t="inlineStr">
        <is>
          <t>Scopus + WoS</t>
        </is>
      </c>
      <c r="C346" s="26" t="inlineStr">
        <is>
          <t>Venkatapathy A.K.R.; Bayhan H.; Zeidler F.; Ten Hompel M.</t>
        </is>
      </c>
      <c r="D346" s="26" t="n">
        <v>2017</v>
      </c>
      <c r="E346" s="27" t="inlineStr">
        <is>
          <t>Human machine synergies in intra-logistics: Creating a hybrid network for research and technologies</t>
        </is>
      </c>
      <c r="F346" s="26" t="inlineStr">
        <is>
          <t>Proceedings of the 2017 Federated Conference on Computer Science and Information Systems, FedCSIS 2017</t>
        </is>
      </c>
      <c r="G346" s="26" t="inlineStr">
        <is>
          <t>Conference paper</t>
        </is>
      </c>
      <c r="H346" s="26" t="inlineStr">
        <is>
          <t>10.15439/2017f253</t>
        </is>
      </c>
      <c r="I346" s="26" t="inlineStr">
        <is>
          <t>TA</t>
        </is>
      </c>
      <c r="J346" s="37" t="inlineStr">
        <is>
          <t>Exclude</t>
        </is>
      </c>
      <c r="K346" s="37" t="inlineStr">
        <is>
          <t>No digital twin/model</t>
        </is>
      </c>
      <c r="L346" s="28" t="inlineStr">
        <is>
          <t>Strong candidate: twin + supply chain + AI all in title/abstract</t>
        </is>
      </c>
      <c r="M346" s="37" t="inlineStr">
        <is>
          <t>Recodificado 2026-09-06 en la auditoría final (E3→E1): Visión de un centro de investigación de intralogística; el gemelo sólo como concepto de escenario emulable ("various real-time scenarios can be emulated including digital twin simulation concepts") sin gemelo del estudio (C1); el ML sólo como posibilidad genérica ("using concepts from machine learning and deep learning networks"). | Nota original (E3): Visión de un centro de investigación de intralogística humano-máquina; el gemelo sólo como escenario emulable ("various real-time scenarios can be emulated including digital twin simulation concepts") y el ML como posibilidad genérica de análisis de datos ("to arrive at new insights using concepts from machine learning and deep learning networks"), sin método situado en el gemelo (patrón R0256). Compañero en inglés de R0344; relevante para HITL sólo como antecedente.</t>
        </is>
      </c>
      <c r="N346" s="69" t="inlineStr">
        <is>
          <t>E1</t>
        </is>
      </c>
      <c r="O346" s="69" t="n">
        <v>7</v>
      </c>
      <c r="P346" s="69" t="inlineStr">
        <is>
          <t>Exclude</t>
        </is>
      </c>
      <c r="Q346" s="69" t="inlineStr">
        <is>
          <t>E3</t>
        </is>
      </c>
      <c r="R346" s="69" t="inlineStr">
        <is>
          <t>Visión de un centro de investigación de intralogística humano-máquina; el gemelo sólo como escenario emulable ("various real-time scenarios can be emulated including digital twin simulation concepts") y el ML como posibilidad genérica de análisis de datos ("to arrive at new insights using concepts from machine learning and deep learning networks"), sin método situado en el gemelo (patrón R0256). Compañero en inglés de R0344; relevante para HITL sólo como antecedente.</t>
        </is>
      </c>
      <c r="S346" s="69" t="n"/>
    </row>
    <row r="347" ht="23.25" customHeight="1" s="17">
      <c r="A347" s="26" t="inlineStr">
        <is>
          <t>R0346</t>
        </is>
      </c>
      <c r="B347" s="26" t="inlineStr">
        <is>
          <t>Scopus</t>
        </is>
      </c>
      <c r="C347" s="26" t="inlineStr">
        <is>
          <t>Krishantha A.; Ekambaram P.; Alam M.; Hossain I.; Huang M.; Aziz A.</t>
        </is>
      </c>
      <c r="D347" s="26" t="n">
        <v>2026</v>
      </c>
      <c r="E347" s="27" t="inlineStr">
        <is>
          <t>Towards Predicting Blockages in Urban Stormwater Drainage Systems with Machine Learning</t>
        </is>
      </c>
      <c r="F347" s="26" t="inlineStr">
        <is>
          <t>Proceedings of the International Symposium on Automation and Robotics in Construction</t>
        </is>
      </c>
      <c r="G347" s="26" t="inlineStr">
        <is>
          <t>Conference paper</t>
        </is>
      </c>
      <c r="H347" s="26" t="inlineStr">
        <is>
          <t>10.22260/isarc2026/0198</t>
        </is>
      </c>
      <c r="I347" s="26" t="inlineStr">
        <is>
          <t>TA</t>
        </is>
      </c>
      <c r="J347" s="37" t="inlineStr">
        <is>
          <t>Exclude</t>
        </is>
      </c>
      <c r="K347" s="37" t="inlineStr">
        <is>
          <t>No digital twin/model</t>
        </is>
      </c>
      <c r="L347" s="27" t="n"/>
      <c r="M347" s="37" t="inlineStr">
        <is>
          <t>Prediccion de bloqueos de drenaje pluvial con ML explicable; el gemelo sólo como resultado esperado a futuro ("explainable machine learning can support the development of a smart stormwater drainage asset management digital twin infrastructure"), C1; también E2.</t>
        </is>
      </c>
      <c r="N347" s="69" t="inlineStr">
        <is>
          <t>E1</t>
        </is>
      </c>
      <c r="O347" s="69" t="n">
        <v>14</v>
      </c>
      <c r="P347" s="69" t="inlineStr">
        <is>
          <t>Exclude</t>
        </is>
      </c>
      <c r="Q347" s="69" t="inlineStr">
        <is>
          <t>E1</t>
        </is>
      </c>
      <c r="R347" s="69" t="inlineStr">
        <is>
          <t>Prediccion de bloqueos de drenaje pluvial con ML explicable; el gemelo sólo como resultado esperado a futuro ("explainable machine learning can support the development of a smart stormwater drainage asset management digital twin infrastructure"), C1; también E2.</t>
        </is>
      </c>
      <c r="S347" s="69" t="n"/>
    </row>
    <row r="348" ht="23.25" customHeight="1" s="17">
      <c r="A348" s="26" t="inlineStr">
        <is>
          <t>R0347</t>
        </is>
      </c>
      <c r="B348" s="26" t="inlineStr">
        <is>
          <t>Scopus + WoS</t>
        </is>
      </c>
      <c r="C348" s="26" t="inlineStr">
        <is>
          <t>Sarsenova G.; Uskembayeva B.; Joldassova K.; Alimova K.; Sultanaliev B.; Asset A.; Asset A.</t>
        </is>
      </c>
      <c r="D348" s="26" t="n">
        <v>2026</v>
      </c>
      <c r="E348" s="27" t="inlineStr">
        <is>
          <t>Evaluation of the efficiency of air-cushion conveyor modernization through digital monitoring and modeling</t>
        </is>
      </c>
      <c r="F348" s="26" t="inlineStr">
        <is>
          <t>Open Engineering</t>
        </is>
      </c>
      <c r="G348" s="26" t="inlineStr">
        <is>
          <t>Article</t>
        </is>
      </c>
      <c r="H348" s="26" t="inlineStr">
        <is>
          <t>10.1515/eng-2025-0146</t>
        </is>
      </c>
      <c r="I348" s="26" t="inlineStr">
        <is>
          <t>TA</t>
        </is>
      </c>
      <c r="J348" s="37" t="inlineStr">
        <is>
          <t>Include</t>
        </is>
      </c>
      <c r="K348" s="37" t="n"/>
      <c r="L348" s="27" t="n"/>
      <c r="M348" s="37" t="inlineStr">
        <is>
          <t>Modernizacion de transportadores de colchon de aire en mineria a cielo abierto con "digital modeling using artificial intelligence algorithms" y pruebas industriales, orientada a "improving energy efficiency and reliability of logistics systems" y a "the overall efficiency of production logistics"; flujo de materiales nombrado (transporte de graneles en cantera); el criterio 1 descansa en una sola clausula ("The methodology combines real-time data collection, digital modeling using artificial intelligence algorithms, and industrial testing at an operating mining facility"). Incluido por sensibilidad; el texto completo decide si existe un modelo del sistema aparte del estimador de IA. | Auditoría final 2026-09-06: se mantiene I; IA usada aunque sin método nombrado ("digital modeling using artificial intelligence algorithms, and industrial testing at an operating mining facility"), como R0201; logística de planta explícita ("production logistics", "logistics systems"); el texto completo decide qué algoritmos y si el modelo digital opera como gemelo.</t>
        </is>
      </c>
      <c r="N348" s="69" t="inlineStr">
        <is>
          <t>I</t>
        </is>
      </c>
      <c r="O348" s="69" t="n">
        <v>14</v>
      </c>
      <c r="P348" s="69" t="inlineStr">
        <is>
          <t>Include</t>
        </is>
      </c>
      <c r="Q348" s="69" t="inlineStr">
        <is>
          <t>I</t>
        </is>
      </c>
      <c r="R348" s="69" t="inlineStr">
        <is>
          <t>Modernizacion de transportadores de colchon de aire en mineria a cielo abierto con "digital modeling using artificial intelligence algorithms" y pruebas industriales, orientada a "improving energy efficiency and reliability of logistics systems" y a "the overall efficiency of production logistics"; flujo de materiales nombrado (transporte de graneles en cantera); el criterio 1 descansa en una sola clausula ("The methodology combines real-time data collection, digital modeling using artificial intelligence algorithms, and industrial testing at an operating mining facility"). Incluido por sensibilidad; el texto completo decide si existe un modelo del sistema aparte del estimador de IA.</t>
        </is>
      </c>
      <c r="S348" s="69" t="n"/>
    </row>
    <row r="349" ht="15" customHeight="1" s="17">
      <c r="A349" s="26" t="inlineStr">
        <is>
          <t>R0348</t>
        </is>
      </c>
      <c r="B349" s="26" t="inlineStr">
        <is>
          <t>Scopus</t>
        </is>
      </c>
      <c r="C349" s="26" t="inlineStr">
        <is>
          <t>Bernard F.S.; Gunawan F.E.</t>
        </is>
      </c>
      <c r="D349" s="26" t="n">
        <v>2026</v>
      </c>
      <c r="E349" s="27" t="inlineStr">
        <is>
          <t>Machine Learning for Predictive Maintenance: A Literature Review</t>
        </is>
      </c>
      <c r="F349" s="26" t="inlineStr">
        <is>
          <t>Lecture Notes in Electrical Engineering</t>
        </is>
      </c>
      <c r="G349" s="26" t="inlineStr">
        <is>
          <t>Conference paper</t>
        </is>
      </c>
      <c r="H349" s="26" t="inlineStr">
        <is>
          <t>10.1007/978-3-032-10898-2_4</t>
        </is>
      </c>
      <c r="I349" s="26" t="inlineStr">
        <is>
          <t>TA</t>
        </is>
      </c>
      <c r="J349" s="37" t="inlineStr">
        <is>
          <t>Exclude</t>
        </is>
      </c>
      <c r="K349" s="37" t="inlineStr">
        <is>
          <t>Wrong publication type</t>
        </is>
      </c>
      <c r="L349" s="27" t="n"/>
      <c r="M349" s="37" t="inlineStr">
        <is>
          <t>Revision de literatura de ML para mantenimiento predictivo ("This paper conducts literature studies from several journals to examine the PdM concept"); gemelo como prospecto futuro. Valor para snowballing: bajo.</t>
        </is>
      </c>
      <c r="N349" s="69" t="inlineStr">
        <is>
          <t>E4</t>
        </is>
      </c>
      <c r="O349" s="69" t="n">
        <v>14</v>
      </c>
      <c r="P349" s="69" t="inlineStr">
        <is>
          <t>Exclude</t>
        </is>
      </c>
      <c r="Q349" s="69" t="inlineStr">
        <is>
          <t>E4</t>
        </is>
      </c>
      <c r="R349" s="69" t="inlineStr">
        <is>
          <t>Revision de literatura de ML para mantenimiento predictivo ("This paper conducts literature studies from several journals to examine the PdM concept"); gemelo como prospecto futuro. Valor para snowballing: bajo.</t>
        </is>
      </c>
      <c r="S349" s="69" t="n"/>
    </row>
    <row r="350" ht="23.25" customHeight="1" s="17">
      <c r="A350" s="26" t="inlineStr">
        <is>
          <t>R0349</t>
        </is>
      </c>
      <c r="B350" s="26" t="inlineStr">
        <is>
          <t>Scopus</t>
        </is>
      </c>
      <c r="C350" s="26" t="inlineStr">
        <is>
          <t>Hindasi Y.A.; Ilbeigi M.; Rezaei M.; mohammadjani F.Z.; Jahanshahi E.; Barjani A.; Yarloo L.</t>
        </is>
      </c>
      <c r="D350" s="26" t="n">
        <v>2026</v>
      </c>
      <c r="E350" s="27" t="inlineStr">
        <is>
          <t>Toward Explainable Digital Twins for Indoor Environmental Risk Prediction Using Open IoT Sensor Data</t>
        </is>
      </c>
      <c r="F350" s="26" t="inlineStr">
        <is>
          <t>Results in Engineering</t>
        </is>
      </c>
      <c r="G350" s="26" t="inlineStr">
        <is>
          <t>Article</t>
        </is>
      </c>
      <c r="H350" s="26" t="inlineStr">
        <is>
          <t>10.1016/j.rineng.2026.112313</t>
        </is>
      </c>
      <c r="I350" s="26" t="inlineStr">
        <is>
          <t>TA</t>
        </is>
      </c>
      <c r="J350" s="37" t="inlineStr">
        <is>
          <t>Exclude</t>
        </is>
      </c>
      <c r="K350" s="37" t="inlineStr">
        <is>
          <t>No supply chain scope</t>
        </is>
      </c>
      <c r="L350" s="27" t="n"/>
      <c r="M350" s="37" t="inlineStr">
        <is>
          <t>Gemelo explicable para prediccion de riesgo ambiental interior en edificios ("this study suggests an explainable digital twin paradigm") con ML y SHAP; gestion de edificios, sin cadena ni logistica.</t>
        </is>
      </c>
      <c r="N350" s="69" t="inlineStr">
        <is>
          <t>E2</t>
        </is>
      </c>
      <c r="O350" s="69" t="n">
        <v>14</v>
      </c>
      <c r="P350" s="69" t="inlineStr">
        <is>
          <t>Exclude</t>
        </is>
      </c>
      <c r="Q350" s="69" t="inlineStr">
        <is>
          <t>E2</t>
        </is>
      </c>
      <c r="R350" s="69" t="inlineStr">
        <is>
          <t>Gemelo explicable para prediccion de riesgo ambiental interior en edificios ("this study suggests an explainable digital twin paradigm") con ML y SHAP; gestion de edificios, sin cadena ni logistica.</t>
        </is>
      </c>
      <c r="S350" s="69" t="n"/>
    </row>
    <row r="351" ht="23.25" customHeight="1" s="17">
      <c r="A351" s="26" t="inlineStr">
        <is>
          <t>R0350</t>
        </is>
      </c>
      <c r="B351" s="26" t="inlineStr">
        <is>
          <t>Scopus</t>
        </is>
      </c>
      <c r="C351" s="26" t="inlineStr">
        <is>
          <t>Prakash N.B.; Senthil M.; Srinu N.</t>
        </is>
      </c>
      <c r="D351" s="26" t="n">
        <v>2026</v>
      </c>
      <c r="E351" s="27" t="inlineStr">
        <is>
          <t>Causal Digital Twin-Driven Emergency Material Demand Prediction for Post-Earthquake Disaster Management</t>
        </is>
      </c>
      <c r="F351" s="26" t="inlineStr">
        <is>
          <t>7th International Conference on Inventive Research in Computing Applications, ICIRCA 2026 - Proceedings</t>
        </is>
      </c>
      <c r="G351" s="26" t="inlineStr">
        <is>
          <t>Conference paper</t>
        </is>
      </c>
      <c r="H351" s="26" t="inlineStr">
        <is>
          <t>10.1109/icirca69024.2026.11570431</t>
        </is>
      </c>
      <c r="I351" s="26" t="inlineStr">
        <is>
          <t>TA</t>
        </is>
      </c>
      <c r="J351" s="37" t="inlineStr">
        <is>
          <t>Include</t>
        </is>
      </c>
      <c r="K351" s="37" t="n"/>
      <c r="L351" s="27" t="n"/>
      <c r="M351" s="37" t="inlineStr">
        <is>
          <t>Prediccion de demanda de material de emergencia tras sismos con gemelo causal ("The simulation of a disaster scenario is conducted via digital twin, and the agent-based simulation predicts emergency material demands in an adaptive manner"), razonamiento causal y modelado bayesiano; planeacion de suministro humanitario ("Accurate prediction of emergency material demand after earthquakes is essential for effective disaster response") y agentes como IA (C7). Calidad dudosa; el texto completo decide, en particular si el gemelo modela el suministro o sólo el escenario de peligro (C6). | Auditoría final 2026-09-06: se mantiene I; verificar si el gemelo modela el suministro humanitario o sólo el escenario de peligro (C6).</t>
        </is>
      </c>
      <c r="N351" s="69" t="inlineStr">
        <is>
          <t>I</t>
        </is>
      </c>
      <c r="O351" s="69" t="n">
        <v>14</v>
      </c>
      <c r="P351" s="69" t="inlineStr">
        <is>
          <t>Include</t>
        </is>
      </c>
      <c r="Q351" s="69" t="inlineStr">
        <is>
          <t>I</t>
        </is>
      </c>
      <c r="R351" s="69" t="inlineStr">
        <is>
          <t>Prediccion de demanda de material de emergencia tras sismos con gemelo causal ("The simulation of a disaster scenario is conducted via digital twin, and the agent-based simulation predicts emergency material demands in an adaptive manner"), razonamiento causal y modelado bayesiano; planeacion de suministro humanitario ("Accurate prediction of emergency material demand after earthquakes is essential for effective disaster response") y agentes como IA (C7). Calidad dudosa; el texto completo decide, en particular si el gemelo modela el suministro o sólo el escenario de peligro (C6).</t>
        </is>
      </c>
      <c r="S351" s="69" t="n"/>
    </row>
    <row r="352" ht="23.25" customHeight="1" s="17">
      <c r="A352" s="26" t="inlineStr">
        <is>
          <t>R0351</t>
        </is>
      </c>
      <c r="B352" s="26" t="inlineStr">
        <is>
          <t>Scopus</t>
        </is>
      </c>
      <c r="C352" s="26" t="inlineStr">
        <is>
          <t>Suhane S.; Katkar R.R.; Suhane S.; Sugumaran S.; Takale S.B.; Khetree S.D.; Thakur S.; Waware S.Y.; Kurhade A.S.</t>
        </is>
      </c>
      <c r="D352" s="26" t="n">
        <v>2026</v>
      </c>
      <c r="E352" s="27" t="inlineStr">
        <is>
          <t>AI-Driven Optimization of Bio-Energy Systems: Models for Resource Assessment and Emission Reduction</t>
        </is>
      </c>
      <c r="F352" s="26" t="inlineStr">
        <is>
          <t>Applied Chemical Engineering</t>
        </is>
      </c>
      <c r="G352" s="26" t="inlineStr">
        <is>
          <t>Article</t>
        </is>
      </c>
      <c r="H352" s="26" t="inlineStr">
        <is>
          <t>10.59429/ace.v9i1.5837</t>
        </is>
      </c>
      <c r="I352" s="26" t="inlineStr">
        <is>
          <t>TA</t>
        </is>
      </c>
      <c r="J352" s="37" t="inlineStr">
        <is>
          <t>Exclude</t>
        </is>
      </c>
      <c r="K352" s="37" t="inlineStr">
        <is>
          <t>Wrong publication type</t>
        </is>
      </c>
      <c r="L352" s="27" t="n"/>
      <c r="M352" s="37" t="inlineStr">
        <is>
          <t>Revision sistematica de IA en bioenergia ("This paper intends to offer a systematic review on AI techniques available for biomass resource assessment"); gemelos como tendencia emergente y "supply-chain planning" en el alcance declarado. Valor para snowballing: medio.</t>
        </is>
      </c>
      <c r="N352" s="69" t="inlineStr">
        <is>
          <t>E4</t>
        </is>
      </c>
      <c r="O352" s="69" t="n">
        <v>14</v>
      </c>
      <c r="P352" s="69" t="inlineStr">
        <is>
          <t>Exclude</t>
        </is>
      </c>
      <c r="Q352" s="69" t="inlineStr">
        <is>
          <t>E4</t>
        </is>
      </c>
      <c r="R352" s="69" t="inlineStr">
        <is>
          <t>Revision sistematica de IA en bioenergia ("This paper intends to offer a systematic review on AI techniques available for biomass resource assessment"); gemelos como tendencia emergente y "supply-chain planning" en el alcance declarado. Valor para snowballing: medio.</t>
        </is>
      </c>
      <c r="S352" s="69" t="n"/>
    </row>
    <row r="353" ht="23.25" customHeight="1" s="17">
      <c r="A353" s="26" t="inlineStr">
        <is>
          <t>R0352</t>
        </is>
      </c>
      <c r="B353" s="26" t="inlineStr">
        <is>
          <t>Scopus + WoS</t>
        </is>
      </c>
      <c r="C353" s="26" t="inlineStr">
        <is>
          <t>Neethirajan S.</t>
        </is>
      </c>
      <c r="D353" s="26" t="n">
        <v>2026</v>
      </c>
      <c r="E353" s="27" t="inlineStr">
        <is>
          <t>Green AI for climate-smart dairy and poultry: a tiered policy framework for computational sustainability</t>
        </is>
      </c>
      <c r="F353" s="26" t="inlineStr">
        <is>
          <t>Frontiers in Sustainable Food Systems</t>
        </is>
      </c>
      <c r="G353" s="26" t="inlineStr">
        <is>
          <t>Article</t>
        </is>
      </c>
      <c r="H353" s="26" t="inlineStr">
        <is>
          <t>10.3389/fsufs.2026.1766844</t>
        </is>
      </c>
      <c r="I353" s="26" t="inlineStr">
        <is>
          <t>TA</t>
        </is>
      </c>
      <c r="J353" s="37" t="inlineStr">
        <is>
          <t>Exclude</t>
        </is>
      </c>
      <c r="K353" s="37" t="inlineStr">
        <is>
          <t>Wrong publication type</t>
        </is>
      </c>
      <c r="L353" s="27" t="n"/>
      <c r="M353" s="37" t="inlineStr">
        <is>
          <t>Perspectiva de politica sobre IA verde en ganaderia ("This Perspective argues that climate-smart livestock policy must move from AI-for-agriculture to Green-AI-for-agriculture"); gemelos de rebano sólo mencionados. Valor para snowballing: bajo.</t>
        </is>
      </c>
      <c r="N353" s="69" t="inlineStr">
        <is>
          <t>E4</t>
        </is>
      </c>
      <c r="O353" s="69" t="n">
        <v>14</v>
      </c>
      <c r="P353" s="69" t="inlineStr">
        <is>
          <t>Exclude</t>
        </is>
      </c>
      <c r="Q353" s="69" t="inlineStr">
        <is>
          <t>E4</t>
        </is>
      </c>
      <c r="R353" s="69" t="inlineStr">
        <is>
          <t>Perspectiva de politica sobre IA verde en ganaderia ("This Perspective argues that climate-smart livestock policy must move from AI-for-agriculture to Green-AI-for-agriculture"); gemelos de rebano sólo mencionados. Valor para snowballing: bajo.</t>
        </is>
      </c>
      <c r="S353" s="69" t="n"/>
    </row>
    <row r="354" ht="15" customHeight="1" s="17">
      <c r="A354" s="26" t="inlineStr">
        <is>
          <t>R0353</t>
        </is>
      </c>
      <c r="B354" s="26" t="inlineStr">
        <is>
          <t>Scopus</t>
        </is>
      </c>
      <c r="C354" s="26" t="inlineStr">
        <is>
          <t>Haldar P.</t>
        </is>
      </c>
      <c r="D354" s="26" t="n">
        <v>2026</v>
      </c>
      <c r="E354" s="27" t="inlineStr">
        <is>
          <t>AI-Powered Predictive Flight Maintenance</t>
        </is>
      </c>
      <c r="F354" s="26" t="inlineStr">
        <is>
          <t>Conference Proceedings - IEEE SOUTHEASTCON</t>
        </is>
      </c>
      <c r="G354" s="26" t="inlineStr">
        <is>
          <t>Conference paper</t>
        </is>
      </c>
      <c r="H354" s="26" t="inlineStr">
        <is>
          <t>10.1109/southeastcon63549.2026.11476176</t>
        </is>
      </c>
      <c r="I354" s="26" t="inlineStr">
        <is>
          <t>TA</t>
        </is>
      </c>
      <c r="J354" s="37" t="inlineStr">
        <is>
          <t>Exclude</t>
        </is>
      </c>
      <c r="K354" s="37" t="inlineStr">
        <is>
          <t>No supply chain scope</t>
        </is>
      </c>
      <c r="L354" s="27" t="n"/>
      <c r="M354" s="37" t="inlineStr">
        <is>
          <t>Mantenimiento predictivo de aeronaves con SAP HANA PAL y gemelos actualizados ("updates digital twins to assist maintenance teams in making informed decisions"); ambito de mantenimiento aeronautico (MRO), sin encuadre de cadena ni logistica.</t>
        </is>
      </c>
      <c r="N354" s="69" t="inlineStr">
        <is>
          <t>E2</t>
        </is>
      </c>
      <c r="O354" s="69" t="n">
        <v>14</v>
      </c>
      <c r="P354" s="69" t="inlineStr">
        <is>
          <t>Exclude</t>
        </is>
      </c>
      <c r="Q354" s="69" t="inlineStr">
        <is>
          <t>E2</t>
        </is>
      </c>
      <c r="R354" s="69" t="inlineStr">
        <is>
          <t>Mantenimiento predictivo de aeronaves con SAP HANA PAL y gemelos actualizados ("updates digital twins to assist maintenance teams in making informed decisions"); ambito de mantenimiento aeronautico (MRO), sin encuadre de cadena ni logistica.</t>
        </is>
      </c>
      <c r="S354" s="69" t="n"/>
    </row>
    <row r="355" ht="34.5" customHeight="1" s="17">
      <c r="A355" s="26" t="inlineStr">
        <is>
          <t>R0354</t>
        </is>
      </c>
      <c r="B355" s="26" t="inlineStr">
        <is>
          <t>Scopus</t>
        </is>
      </c>
      <c r="C355" s="26" t="inlineStr">
        <is>
          <t>Jadeja K.; Gohil M.; Nahar T.; Vijay A.; Das V.</t>
        </is>
      </c>
      <c r="D355" s="26" t="n">
        <v>2026</v>
      </c>
      <c r="E355" s="27" t="inlineStr">
        <is>
          <t>Securing Industrial Control Systems and SCADA Networks: Protocol Weaknesses, Standards, Emerging Defenses, and Future Research Directions</t>
        </is>
      </c>
      <c r="F355" s="26" t="inlineStr">
        <is>
          <t>Lecture Notes in Networks and Systems</t>
        </is>
      </c>
      <c r="G355" s="26" t="inlineStr">
        <is>
          <t>Conference paper</t>
        </is>
      </c>
      <c r="H355" s="26" t="inlineStr">
        <is>
          <t>10.1007/978-3-032-19300-1_22</t>
        </is>
      </c>
      <c r="I355" s="26" t="inlineStr">
        <is>
          <t>TA</t>
        </is>
      </c>
      <c r="J355" s="37" t="inlineStr">
        <is>
          <t>Exclude</t>
        </is>
      </c>
      <c r="K355" s="37" t="inlineStr">
        <is>
          <t>Wrong publication type</t>
        </is>
      </c>
      <c r="L355" s="27" t="n"/>
      <c r="M355" s="37" t="inlineStr">
        <is>
          <t>Revision de seguridad en sistemas de control industrial ("This review surveys protocol weaknesses, analyzes security standards, and highlights emerging solutions"); gemelo para deteccion de intrusiones. Valor para snowballing: bajo.</t>
        </is>
      </c>
      <c r="N355" s="69" t="inlineStr">
        <is>
          <t>E4</t>
        </is>
      </c>
      <c r="O355" s="69" t="n">
        <v>14</v>
      </c>
      <c r="P355" s="69" t="inlineStr">
        <is>
          <t>Exclude</t>
        </is>
      </c>
      <c r="Q355" s="69" t="inlineStr">
        <is>
          <t>E4</t>
        </is>
      </c>
      <c r="R355" s="69" t="inlineStr">
        <is>
          <t>Revision de seguridad en sistemas de control industrial ("This review surveys protocol weaknesses, analyzes security standards, and highlights emerging solutions"); gemelo para deteccion de intrusiones. Valor para snowballing: bajo.</t>
        </is>
      </c>
      <c r="S355" s="69" t="n"/>
    </row>
    <row r="356" ht="23.25" customHeight="1" s="17">
      <c r="A356" s="26" t="inlineStr">
        <is>
          <t>R0355</t>
        </is>
      </c>
      <c r="B356" s="26" t="inlineStr">
        <is>
          <t>WoS</t>
        </is>
      </c>
      <c r="C356" s="26" t="inlineStr">
        <is>
          <t>Jamwal, A; Kumar, A; Samadhiya, A; Mohapatra, AK; Garza-Reyes, JA</t>
        </is>
      </c>
      <c r="D356" s="26" t="n">
        <v>2026</v>
      </c>
      <c r="E356" s="27" t="inlineStr">
        <is>
          <t>How can Industry 5.0 transform operational excellence into a driver to achieve SDGs in Ibero-American countries?</t>
        </is>
      </c>
      <c r="F356" s="26" t="inlineStr">
        <is>
          <t>INTERNATIONAL JOURNAL OF LEAN SIX SIGMA</t>
        </is>
      </c>
      <c r="G356" s="26" t="inlineStr">
        <is>
          <t>Article; Early Access</t>
        </is>
      </c>
      <c r="H356" s="26" t="inlineStr">
        <is>
          <t>10.1108/ijlss-09-2025-0267</t>
        </is>
      </c>
      <c r="I356" s="26" t="inlineStr">
        <is>
          <t>TA</t>
        </is>
      </c>
      <c r="J356" s="37" t="inlineStr">
        <is>
          <t>Exclude</t>
        </is>
      </c>
      <c r="K356" s="37" t="inlineStr">
        <is>
          <t>Wrong publication type</t>
        </is>
      </c>
      <c r="L356" s="27" t="n"/>
      <c r="M356" s="37" t="inlineStr">
        <is>
          <t>Estudio conceptual basado en literatura sobre excelencia operativa e Industria 5.0 ("The authors adopted a conceptual and literature-based approach to review and synthesise academic literature"); examina "cobots, digital twins, artificial intelligence and blockchain" con colaboracion humano-maquina como eje. Valor para snowballing: medio.</t>
        </is>
      </c>
      <c r="N356" s="69" t="inlineStr">
        <is>
          <t>E4</t>
        </is>
      </c>
      <c r="O356" s="69" t="n">
        <v>14</v>
      </c>
      <c r="P356" s="69" t="inlineStr">
        <is>
          <t>Exclude</t>
        </is>
      </c>
      <c r="Q356" s="69" t="inlineStr">
        <is>
          <t>E4</t>
        </is>
      </c>
      <c r="R356" s="69" t="inlineStr">
        <is>
          <t>Estudio conceptual basado en literatura sobre excelencia operativa e Industria 5.0 ("The authors adopted a conceptual and literature-based approach to review and synthesise academic literature"); examina "cobots, digital twins, artificial intelligence and blockchain" con colaboracion humano-maquina como eje. Valor para snowballing: medio.</t>
        </is>
      </c>
      <c r="S356" s="69" t="n"/>
    </row>
    <row r="357" ht="23.25" customHeight="1" s="17">
      <c r="A357" s="26" t="inlineStr">
        <is>
          <t>R0356</t>
        </is>
      </c>
      <c r="B357" s="26" t="inlineStr">
        <is>
          <t>Scopus</t>
        </is>
      </c>
      <c r="C357" s="26" t="inlineStr">
        <is>
          <t>Al-Qirim N.; Majdalawieh M.; Bani-hani A.; Al Hamadi H.</t>
        </is>
      </c>
      <c r="D357" s="26" t="n">
        <v>2025</v>
      </c>
      <c r="E357" s="27" t="inlineStr">
        <is>
          <t>Cyber threat intelligence for smart grids using knowledge graphs, digital twins, and hybrid machine learning in SCADA networks</t>
        </is>
      </c>
      <c r="F357" s="26" t="inlineStr">
        <is>
          <t>International Journal of Engineering Business Management</t>
        </is>
      </c>
      <c r="G357" s="26" t="inlineStr">
        <is>
          <t>Article</t>
        </is>
      </c>
      <c r="H357" s="26" t="inlineStr">
        <is>
          <t>10.1177/18479790251328183</t>
        </is>
      </c>
      <c r="I357" s="26" t="inlineStr">
        <is>
          <t>TA</t>
        </is>
      </c>
      <c r="J357" s="37" t="inlineStr">
        <is>
          <t>Exclude</t>
        </is>
      </c>
      <c r="K357" s="37" t="inlineStr">
        <is>
          <t>No supply chain scope</t>
        </is>
      </c>
      <c r="L357" s="27" t="n"/>
      <c r="M357" s="37" t="inlineStr">
        <is>
          <t>Gemelo basado en grafo de conocimiento con ML para inteligencia de ciberamenazas en redes SCADA ("a knowledge-graph-based digital twin"); ambito de redes electricas, sin cadena ni logistica.</t>
        </is>
      </c>
      <c r="N357" s="69" t="inlineStr">
        <is>
          <t>E2</t>
        </is>
      </c>
      <c r="O357" s="69" t="n">
        <v>14</v>
      </c>
      <c r="P357" s="69" t="inlineStr">
        <is>
          <t>Exclude</t>
        </is>
      </c>
      <c r="Q357" s="69" t="inlineStr">
        <is>
          <t>E2</t>
        </is>
      </c>
      <c r="R357" s="69" t="inlineStr">
        <is>
          <t>Gemelo basado en grafo de conocimiento con ML para inteligencia de ciberamenazas en redes SCADA ("a knowledge-graph-based digital twin"); ambito de redes electricas, sin cadena ni logistica.</t>
        </is>
      </c>
      <c r="S357" s="69" t="n"/>
    </row>
    <row r="358" ht="23.25" customHeight="1" s="17">
      <c r="A358" s="26" t="inlineStr">
        <is>
          <t>R0357</t>
        </is>
      </c>
      <c r="B358" s="26" t="inlineStr">
        <is>
          <t>Scopus</t>
        </is>
      </c>
      <c r="C358" s="26" t="inlineStr">
        <is>
          <t>Moharam M.H.; Hany O.; Hany A.; Mahmoud A.; Mohamed M.; Saeed S.</t>
        </is>
      </c>
      <c r="D358" s="26" t="n">
        <v>2025</v>
      </c>
      <c r="E358" s="27" t="inlineStr">
        <is>
          <t>Anomaly detection using machine learning and adopted digital twin concepts in radio environments</t>
        </is>
      </c>
      <c r="F358" s="26" t="inlineStr">
        <is>
          <t>Scientific Reports</t>
        </is>
      </c>
      <c r="G358" s="26" t="inlineStr">
        <is>
          <t>Article</t>
        </is>
      </c>
      <c r="H358" s="26" t="inlineStr">
        <is>
          <t>10.1038/s41598-025-02759-5</t>
        </is>
      </c>
      <c r="I358" s="26" t="inlineStr">
        <is>
          <t>TA</t>
        </is>
      </c>
      <c r="J358" s="37" t="inlineStr">
        <is>
          <t>Exclude</t>
        </is>
      </c>
      <c r="K358" s="37" t="inlineStr">
        <is>
          <t>No digital twin/model</t>
        </is>
      </c>
      <c r="L358" s="27" t="n"/>
      <c r="M358" s="37" t="inlineStr">
        <is>
          <t>Gemelo que simula entornos de radio para detectar anomalias con ML ("Digital Twin (DT) technology to simulate and monitor dynamic radio environments"); generador de datos de propagacion de radio para un algoritmo, no modelo de operaciones (C6); también E2.</t>
        </is>
      </c>
      <c r="N358" s="69" t="inlineStr">
        <is>
          <t>E1</t>
        </is>
      </c>
      <c r="O358" s="69" t="n">
        <v>14</v>
      </c>
      <c r="P358" s="69" t="inlineStr">
        <is>
          <t>Exclude</t>
        </is>
      </c>
      <c r="Q358" s="69" t="inlineStr">
        <is>
          <t>E1</t>
        </is>
      </c>
      <c r="R358" s="69" t="inlineStr">
        <is>
          <t>Gemelo que simula entornos de radio para detectar anomalias con ML ("Digital Twin (DT) technology to simulate and monitor dynamic radio environments"); generador de datos de propagacion de radio para un algoritmo, no modelo de operaciones (C6); también E2.</t>
        </is>
      </c>
      <c r="S358" s="69" t="n"/>
    </row>
    <row r="359" ht="23.25" customHeight="1" s="17">
      <c r="A359" s="26" t="inlineStr">
        <is>
          <t>R0358</t>
        </is>
      </c>
      <c r="B359" s="26" t="inlineStr">
        <is>
          <t>Scopus</t>
        </is>
      </c>
      <c r="C359" s="26" t="inlineStr">
        <is>
          <t>Tagharobi M.; Babaeian Jelodar M.; Susnjak T.</t>
        </is>
      </c>
      <c r="D359" s="26" t="n">
        <v>2025</v>
      </c>
      <c r="E359" s="27" t="inlineStr">
        <is>
          <t>Data-driven progress prediction in construction: a multi-project portfolio management approach</t>
        </is>
      </c>
      <c r="F359" s="26" t="inlineStr">
        <is>
          <t>Frontiers in Built Environment</t>
        </is>
      </c>
      <c r="G359" s="26" t="inlineStr">
        <is>
          <t>Article</t>
        </is>
      </c>
      <c r="H359" s="26" t="inlineStr">
        <is>
          <t>10.3389/fbuil.2025.1681156</t>
        </is>
      </c>
      <c r="I359" s="26" t="inlineStr">
        <is>
          <t>TA</t>
        </is>
      </c>
      <c r="J359" s="37" t="inlineStr">
        <is>
          <t>Exclude</t>
        </is>
      </c>
      <c r="K359" s="37" t="inlineStr">
        <is>
          <t>No digital twin/model</t>
        </is>
      </c>
      <c r="L359" s="27" t="n"/>
      <c r="M359" s="37" t="inlineStr">
        <is>
          <t>Prediccion de avance de obra con regresion logistica multinomial; el gemelo sólo como integracion futura ("explore integration with digital twins or real-time adaptive systems"), C1; también E2.</t>
        </is>
      </c>
      <c r="N359" s="69" t="inlineStr">
        <is>
          <t>E1</t>
        </is>
      </c>
      <c r="O359" s="69" t="n">
        <v>14</v>
      </c>
      <c r="P359" s="69" t="inlineStr">
        <is>
          <t>Exclude</t>
        </is>
      </c>
      <c r="Q359" s="69" t="inlineStr">
        <is>
          <t>E1</t>
        </is>
      </c>
      <c r="R359" s="69" t="inlineStr">
        <is>
          <t>Prediccion de avance de obra con regresion logistica multinomial; el gemelo sólo como integracion futura ("explore integration with digital twins or real-time adaptive systems"), C1; también E2.</t>
        </is>
      </c>
      <c r="S359" s="69" t="n"/>
    </row>
    <row r="360" ht="15" customHeight="1" s="17">
      <c r="A360" s="26" t="inlineStr">
        <is>
          <t>R0359</t>
        </is>
      </c>
      <c r="B360" s="26" t="inlineStr">
        <is>
          <t>Scopus + WoS</t>
        </is>
      </c>
      <c r="C360" s="26" t="inlineStr">
        <is>
          <t>Pourhejazy P.; Solvang W.D.</t>
        </is>
      </c>
      <c r="D360" s="26" t="n">
        <v>2025</v>
      </c>
      <c r="E360" s="27" t="inlineStr">
        <is>
          <t>Exploring the role of Artificial Intelligence in life-cycle-related studies</t>
        </is>
      </c>
      <c r="F360" s="26" t="inlineStr">
        <is>
          <t>IFAC-PapersOnLine</t>
        </is>
      </c>
      <c r="G360" s="26" t="inlineStr">
        <is>
          <t>Conference paper</t>
        </is>
      </c>
      <c r="H360" s="26" t="inlineStr">
        <is>
          <t>10.1016/j.ifacol.2025.09.417</t>
        </is>
      </c>
      <c r="I360" s="26" t="inlineStr">
        <is>
          <t>TA</t>
        </is>
      </c>
      <c r="J360" s="37" t="inlineStr">
        <is>
          <t>Exclude</t>
        </is>
      </c>
      <c r="K360" s="37" t="inlineStr">
        <is>
          <t>Wrong publication type</t>
        </is>
      </c>
      <c r="L360" s="27" t="n"/>
      <c r="M360" s="37" t="inlineStr">
        <is>
          <t>Analisis de conglomerados de la literatura sobre IA y analisis de ciclo de vida ("This study identifies the major research themes based on Cluster Analysis, considering the literature at the intersection of AI and LCA"); gemelos como tema. Valor para snowballing: bajo.</t>
        </is>
      </c>
      <c r="N360" s="69" t="inlineStr">
        <is>
          <t>E4</t>
        </is>
      </c>
      <c r="O360" s="69" t="n">
        <v>14</v>
      </c>
      <c r="P360" s="69" t="inlineStr">
        <is>
          <t>Exclude</t>
        </is>
      </c>
      <c r="Q360" s="69" t="inlineStr">
        <is>
          <t>E4</t>
        </is>
      </c>
      <c r="R360" s="69" t="inlineStr">
        <is>
          <t>Analisis de conglomerados de la literatura sobre IA y analisis de ciclo de vida ("This study identifies the major research themes based on Cluster Analysis, considering the literature at the intersection of AI and LCA"); gemelos como tema. Valor para snowballing: bajo.</t>
        </is>
      </c>
      <c r="S360" s="69" t="n"/>
    </row>
    <row r="361" ht="34.5" customHeight="1" s="17">
      <c r="A361" s="26" t="inlineStr">
        <is>
          <t>R0360</t>
        </is>
      </c>
      <c r="B361" s="26" t="inlineStr">
        <is>
          <t>Scopus</t>
        </is>
      </c>
      <c r="C361" s="26" t="inlineStr">
        <is>
          <t>Al-Qirim N.; Bani-Hani A.; Majdalawieh M.; Al Hamadi H.; Kamrul Hasan M.</t>
        </is>
      </c>
      <c r="D361" s="26" t="n">
        <v>2025</v>
      </c>
      <c r="E361" s="27" t="inlineStr">
        <is>
          <t>DiGraph-Enabled Digital Twin and Label-Encoding Machine Learning for SCADA Network’s Cyber Attack Analysis in Industry 5.0</t>
        </is>
      </c>
      <c r="F361" s="26" t="inlineStr">
        <is>
          <t>IEEE Open Journal of the Communications Society</t>
        </is>
      </c>
      <c r="G361" s="26" t="inlineStr">
        <is>
          <t>Article</t>
        </is>
      </c>
      <c r="H361" s="26" t="inlineStr">
        <is>
          <t>10.1109/ojcoms.2024.3502544</t>
        </is>
      </c>
      <c r="I361" s="26" t="inlineStr">
        <is>
          <t>TA</t>
        </is>
      </c>
      <c r="J361" s="37" t="inlineStr">
        <is>
          <t>Exclude</t>
        </is>
      </c>
      <c r="K361" s="37" t="inlineStr">
        <is>
          <t>No supply chain scope</t>
        </is>
      </c>
      <c r="L361" s="27" t="n"/>
      <c r="M361" s="37" t="inlineStr">
        <is>
          <t>Gemelo habilitado por DiGraph con ML para analisis de flujos de ciberataque en SCADA ("Digital Twin and Machine Learning empowered Cyber Attacking Flow Analysis (DT-ML-CAFA)"); ambito de redes electricas, sin cadena ni logistica.</t>
        </is>
      </c>
      <c r="N361" s="69" t="inlineStr">
        <is>
          <t>E2</t>
        </is>
      </c>
      <c r="O361" s="69" t="n">
        <v>14</v>
      </c>
      <c r="P361" s="69" t="inlineStr">
        <is>
          <t>Exclude</t>
        </is>
      </c>
      <c r="Q361" s="69" t="inlineStr">
        <is>
          <t>E2</t>
        </is>
      </c>
      <c r="R361" s="69" t="inlineStr">
        <is>
          <t>Gemelo habilitado por DiGraph con ML para analisis de flujos de ciberataque en SCADA ("Digital Twin and Machine Learning empowered Cyber Attacking Flow Analysis (DT-ML-CAFA)"); ambito de redes electricas, sin cadena ni logistica.</t>
        </is>
      </c>
      <c r="S361" s="69" t="n"/>
    </row>
    <row r="362" ht="23.25" customHeight="1" s="17">
      <c r="A362" s="26" t="inlineStr">
        <is>
          <t>R0361</t>
        </is>
      </c>
      <c r="B362" s="26" t="inlineStr">
        <is>
          <t>Scopus</t>
        </is>
      </c>
      <c r="C362" s="26" t="inlineStr">
        <is>
          <t>López C.C.A.; Berrocal Y.I.H.; Correa M.N.M.</t>
        </is>
      </c>
      <c r="D362" s="26" t="n">
        <v>2025</v>
      </c>
      <c r="E362" s="27" t="inlineStr">
        <is>
          <t>Systematic Review on Applied Technologies in Logistics to Improve Efficiency in the Textile Industry</t>
        </is>
      </c>
      <c r="F362" s="26" t="inlineStr">
        <is>
          <t>Proceedings of the LACCEI international Multi-conference for Engineering, Education and Technology</t>
        </is>
      </c>
      <c r="G362" s="26" t="inlineStr">
        <is>
          <t>Conference paper</t>
        </is>
      </c>
      <c r="H362" s="26" t="inlineStr">
        <is>
          <t>10.18687/laccei2025.1.1.487</t>
        </is>
      </c>
      <c r="I362" s="26" t="inlineStr">
        <is>
          <t>TA</t>
        </is>
      </c>
      <c r="J362" s="37" t="inlineStr">
        <is>
          <t>Exclude</t>
        </is>
      </c>
      <c r="K362" s="37" t="inlineStr">
        <is>
          <t>Wrong publication type</t>
        </is>
      </c>
      <c r="L362" s="27" t="n"/>
      <c r="M362" s="37" t="inlineStr">
        <is>
          <t>Revision sistematica PRISMA de tecnologias en logistica textil ("This systematic review examines the transformative role of emerging technologies"); "digital modeling" entre las tecnologias analizadas. Valor para snowballing: medio.</t>
        </is>
      </c>
      <c r="N362" s="69" t="inlineStr">
        <is>
          <t>E4</t>
        </is>
      </c>
      <c r="O362" s="69" t="n">
        <v>14</v>
      </c>
      <c r="P362" s="69" t="inlineStr">
        <is>
          <t>Exclude</t>
        </is>
      </c>
      <c r="Q362" s="69" t="inlineStr">
        <is>
          <t>E4</t>
        </is>
      </c>
      <c r="R362" s="69" t="inlineStr">
        <is>
          <t>Revision sistematica PRISMA de tecnologias en logistica textil ("This systematic review examines the transformative role of emerging technologies"); "digital modeling" entre las tecnologias analizadas. Valor para snowballing: medio.</t>
        </is>
      </c>
      <c r="S362" s="69" t="n"/>
    </row>
    <row r="363" ht="34.5" customHeight="1" s="17">
      <c r="A363" s="26" t="inlineStr">
        <is>
          <t>R0362</t>
        </is>
      </c>
      <c r="B363" s="26" t="inlineStr">
        <is>
          <t>Scopus</t>
        </is>
      </c>
      <c r="C363" s="26" t="inlineStr">
        <is>
          <t>Zyoud S.; Zyoud A.H.</t>
        </is>
      </c>
      <c r="D363" s="26" t="n">
        <v>2025</v>
      </c>
      <c r="E363" s="27" t="inlineStr">
        <is>
          <t>Circular buildings in focus: A comprehensive analysis of knowledge trends, priorities, and insights through performance and visualization analysis</t>
        </is>
      </c>
      <c r="F363" s="26" t="inlineStr">
        <is>
          <t>Innovation and Green Development</t>
        </is>
      </c>
      <c r="G363" s="26" t="inlineStr">
        <is>
          <t>Article</t>
        </is>
      </c>
      <c r="H363" s="26" t="inlineStr">
        <is>
          <t>10.1016/j.igd.2025.100300</t>
        </is>
      </c>
      <c r="I363" s="26" t="inlineStr">
        <is>
          <t>TA</t>
        </is>
      </c>
      <c r="J363" s="37" t="inlineStr">
        <is>
          <t>Exclude</t>
        </is>
      </c>
      <c r="K363" s="37" t="inlineStr">
        <is>
          <t>Wrong publication type</t>
        </is>
      </c>
      <c r="L363" s="27" t="n"/>
      <c r="M363" s="37" t="inlineStr">
        <is>
          <t>Analisis bibliometrico de 217 publicaciones sobre edificios circulares ("This study presents an inclusive analysis of the performance of international research trajectories"); gemelos e IA como tecnologias distinguidas. Valor para snowballing: bajo.</t>
        </is>
      </c>
      <c r="N363" s="69" t="inlineStr">
        <is>
          <t>E4</t>
        </is>
      </c>
      <c r="O363" s="69" t="n">
        <v>14</v>
      </c>
      <c r="P363" s="69" t="inlineStr">
        <is>
          <t>Exclude</t>
        </is>
      </c>
      <c r="Q363" s="69" t="inlineStr">
        <is>
          <t>E4</t>
        </is>
      </c>
      <c r="R363" s="69" t="inlineStr">
        <is>
          <t>Analisis bibliometrico de 217 publicaciones sobre edificios circulares ("This study presents an inclusive analysis of the performance of international research trajectories"); gemelos e IA como tecnologias distinguidas. Valor para snowballing: bajo.</t>
        </is>
      </c>
      <c r="S363" s="69" t="n"/>
    </row>
    <row r="364" ht="23.25" customHeight="1" s="17">
      <c r="A364" s="26" t="inlineStr">
        <is>
          <t>R0363</t>
        </is>
      </c>
      <c r="B364" s="26" t="inlineStr">
        <is>
          <t>Scopus</t>
        </is>
      </c>
      <c r="C364" s="26" t="inlineStr">
        <is>
          <t>Eirado C.R.R.; Silveira D.; Cajueiro D.O.</t>
        </is>
      </c>
      <c r="D364" s="26" t="n">
        <v>2025</v>
      </c>
      <c r="E364" s="27" t="inlineStr">
        <is>
          <t>Digital Twins and Network Resilience in the EU ETS: Analysing Structural Shifts in Carbon Trading</t>
        </is>
      </c>
      <c r="F364" s="26" t="inlineStr">
        <is>
          <t>Sustainability (Switzerland)</t>
        </is>
      </c>
      <c r="G364" s="26" t="inlineStr">
        <is>
          <t>Article</t>
        </is>
      </c>
      <c r="H364" s="26" t="inlineStr">
        <is>
          <t>10.3390/su17156924</t>
        </is>
      </c>
      <c r="I364" s="26" t="inlineStr">
        <is>
          <t>TA</t>
        </is>
      </c>
      <c r="J364" s="37" t="inlineStr">
        <is>
          <t>Exclude</t>
        </is>
      </c>
      <c r="K364" s="37" t="inlineStr">
        <is>
          <t>No digital twin/model</t>
        </is>
      </c>
      <c r="L364" s="27" t="n"/>
      <c r="M364" s="37" t="inlineStr">
        <is>
          <t>Gemelo de la red de comercio de emisiones de la UE con redes neuronales de grafos ("We then construct a Digital Twin of the EU ETS"); constructo de mercado, no modelo de operaciones (C6); también E2.</t>
        </is>
      </c>
      <c r="N364" s="69" t="inlineStr">
        <is>
          <t>E1</t>
        </is>
      </c>
      <c r="O364" s="69" t="n">
        <v>14</v>
      </c>
      <c r="P364" s="69" t="inlineStr">
        <is>
          <t>Exclude</t>
        </is>
      </c>
      <c r="Q364" s="69" t="inlineStr">
        <is>
          <t>E1</t>
        </is>
      </c>
      <c r="R364" s="69" t="inlineStr">
        <is>
          <t>Gemelo de la red de comercio de emisiones de la UE con redes neuronales de grafos ("We then construct a Digital Twin of the EU ETS"); constructo de mercado, no modelo de operaciones (C6); también E2.</t>
        </is>
      </c>
      <c r="S364" s="69" t="n"/>
    </row>
    <row r="365" ht="15" customHeight="1" s="17">
      <c r="A365" s="26" t="inlineStr">
        <is>
          <t>R0364</t>
        </is>
      </c>
      <c r="B365" s="26" t="inlineStr">
        <is>
          <t>Scopus</t>
        </is>
      </c>
      <c r="C365" s="26" t="inlineStr">
        <is>
          <t>Moussa M.; Abbas M.; Elmaraghy H.</t>
        </is>
      </c>
      <c r="D365" s="26" t="n">
        <v>2025</v>
      </c>
      <c r="E365" s="27" t="inlineStr">
        <is>
          <t>Industry 4.0 in Automotive Manufacturing: A Digital Twin Approach</t>
        </is>
      </c>
      <c r="F365" s="26" t="inlineStr">
        <is>
          <t>Procedia CIRP</t>
        </is>
      </c>
      <c r="G365" s="26" t="inlineStr">
        <is>
          <t>Conference paper</t>
        </is>
      </c>
      <c r="H365" s="26" t="inlineStr">
        <is>
          <t>10.1016/j.procir.2025.02.197</t>
        </is>
      </c>
      <c r="I365" s="26" t="inlineStr">
        <is>
          <t>TA</t>
        </is>
      </c>
      <c r="J365" s="37" t="inlineStr">
        <is>
          <t>Exclude</t>
        </is>
      </c>
      <c r="K365" s="37" t="inlineStr">
        <is>
          <t>No supply chain scope</t>
        </is>
      </c>
      <c r="L365" s="27" t="n"/>
      <c r="M365" s="37" t="inlineStr">
        <is>
          <t>Gemelo de una celda de fundicion a alta presion con FlexSim, redes neuronales y regresion logistica ("This study introduces a Digital Twin framework for real-time monitoring and decision-making in automotive strut tower manufacturing"); celda de manufactura sin encuadre de cadena ni de logistica intra-planta (regla Make, C5).</t>
        </is>
      </c>
      <c r="N365" s="69" t="inlineStr">
        <is>
          <t>E2</t>
        </is>
      </c>
      <c r="O365" s="69" t="n">
        <v>14</v>
      </c>
      <c r="P365" s="69" t="inlineStr">
        <is>
          <t>Exclude</t>
        </is>
      </c>
      <c r="Q365" s="69" t="inlineStr">
        <is>
          <t>E2</t>
        </is>
      </c>
      <c r="R365" s="69" t="inlineStr">
        <is>
          <t>Gemelo de una celda de fundicion a alta presion con FlexSim, redes neuronales y regresion logistica ("This study introduces a Digital Twin framework for real-time monitoring and decision-making in automotive strut tower manufacturing"); celda de manufactura sin encuadre de cadena ni de logistica intra-planta (regla Make, C5).</t>
        </is>
      </c>
      <c r="S365" s="69" t="n"/>
    </row>
    <row r="366" ht="34.5" customHeight="1" s="17">
      <c r="A366" s="26" t="inlineStr">
        <is>
          <t>R0365</t>
        </is>
      </c>
      <c r="B366" s="26" t="inlineStr">
        <is>
          <t>Scopus</t>
        </is>
      </c>
      <c r="C366" s="26" t="inlineStr">
        <is>
          <t>Cosut M.; Bekdas G.; Nigdeli S.M.; Isikdag U.</t>
        </is>
      </c>
      <c r="D366" s="26" t="n">
        <v>2025</v>
      </c>
      <c r="E366" s="27" t="inlineStr">
        <is>
          <t>Predicting design suitability of box-shaped sustainable timber structural members using machine learning and hyperparameter optimization</t>
        </is>
      </c>
      <c r="F366" s="26" t="inlineStr">
        <is>
          <t>Neural Computing and Applications</t>
        </is>
      </c>
      <c r="G366" s="26" t="inlineStr">
        <is>
          <t>Article</t>
        </is>
      </c>
      <c r="H366" s="26" t="inlineStr">
        <is>
          <t>10.1007/s00521-025-11556-0</t>
        </is>
      </c>
      <c r="I366" s="26" t="inlineStr">
        <is>
          <t>TA</t>
        </is>
      </c>
      <c r="J366" s="37" t="inlineStr">
        <is>
          <t>Exclude</t>
        </is>
      </c>
      <c r="K366" s="37" t="inlineStr">
        <is>
          <t>No digital twin/model</t>
        </is>
      </c>
      <c r="L366" s="27" t="n"/>
      <c r="M366" s="37" t="inlineStr">
        <is>
          <t>Modelos digitales de diseño de vigas de madera para clasificar idoneidad con ML ("This study develops digital models of box-shape timber members"); modelos de diseño estructural, no de operaciones (C6); también E2.</t>
        </is>
      </c>
      <c r="N366" s="69" t="inlineStr">
        <is>
          <t>E1</t>
        </is>
      </c>
      <c r="O366" s="69" t="n">
        <v>14</v>
      </c>
      <c r="P366" s="69" t="inlineStr">
        <is>
          <t>Exclude</t>
        </is>
      </c>
      <c r="Q366" s="69" t="inlineStr">
        <is>
          <t>E1</t>
        </is>
      </c>
      <c r="R366" s="69" t="inlineStr">
        <is>
          <t>Modelos digitales de diseño de vigas de madera para clasificar idoneidad con ML ("This study develops digital models of box-shape timber members"); modelos de diseño estructural, no de operaciones (C6); también E2.</t>
        </is>
      </c>
      <c r="S366" s="69" t="n"/>
    </row>
    <row r="367" ht="23.25" customHeight="1" s="17">
      <c r="A367" s="26" t="inlineStr">
        <is>
          <t>R0366</t>
        </is>
      </c>
      <c r="B367" s="26" t="inlineStr">
        <is>
          <t>WoS</t>
        </is>
      </c>
      <c r="C367" s="26" t="inlineStr">
        <is>
          <t>Ciano, MP; Peron, M; Panza, L; Pozzi, R</t>
        </is>
      </c>
      <c r="D367" s="26" t="n">
        <v>2025</v>
      </c>
      <c r="E367" s="27" t="inlineStr">
        <is>
          <t>Industry 4.0 technologies in support of circular Economy: A 10R-based integration framework</t>
        </is>
      </c>
      <c r="F367" s="26" t="inlineStr">
        <is>
          <t>COMPUTERS &amp; INDUSTRIAL ENGINEERING</t>
        </is>
      </c>
      <c r="G367" s="26" t="inlineStr">
        <is>
          <t>Article</t>
        </is>
      </c>
      <c r="H367" s="26" t="inlineStr">
        <is>
          <t>10.1016/j.cie.2025.110867</t>
        </is>
      </c>
      <c r="I367" s="26" t="inlineStr">
        <is>
          <t>TA</t>
        </is>
      </c>
      <c r="J367" s="37" t="inlineStr">
        <is>
          <t>Exclude</t>
        </is>
      </c>
      <c r="K367" s="37" t="inlineStr">
        <is>
          <t>Wrong publication type</t>
        </is>
      </c>
      <c r="L367" s="27" t="n"/>
      <c r="M367" s="37" t="inlineStr">
        <is>
          <t>Marco de integracion 10R derivado de revision ("this study explores how I4.0 can support both implementation and decision-making in the CE 10Rs"); gemelos entre las tecnologias de Industria 4.0. Valor para snowballing: bajo.</t>
        </is>
      </c>
      <c r="N367" s="69" t="inlineStr">
        <is>
          <t>E4</t>
        </is>
      </c>
      <c r="O367" s="69" t="n">
        <v>14</v>
      </c>
      <c r="P367" s="69" t="inlineStr">
        <is>
          <t>Exclude</t>
        </is>
      </c>
      <c r="Q367" s="69" t="inlineStr">
        <is>
          <t>E4</t>
        </is>
      </c>
      <c r="R367" s="69" t="inlineStr">
        <is>
          <t>Marco de integracion 10R derivado de revision ("this study explores how I4.0 can support both implementation and decision-making in the CE 10Rs"); gemelos entre las tecnologias de Industria 4.0. Valor para snowballing: bajo.</t>
        </is>
      </c>
      <c r="S367" s="69" t="n"/>
    </row>
    <row r="368" ht="34.5" customHeight="1" s="17">
      <c r="A368" s="26" t="inlineStr">
        <is>
          <t>R0367</t>
        </is>
      </c>
      <c r="B368" s="26" t="inlineStr">
        <is>
          <t>WoS</t>
        </is>
      </c>
      <c r="C368" s="26" t="inlineStr">
        <is>
          <t>Mousa, S; Bouraoui, T</t>
        </is>
      </c>
      <c r="D368" s="26" t="n">
        <v>2025</v>
      </c>
      <c r="E368" s="27" t="inlineStr">
        <is>
          <t>Staging digital capability activation for innovation resilience: a dynamic capability perspective on sequencing AI, big data, IoT and blockchain</t>
        </is>
      </c>
      <c r="F368" s="26" t="inlineStr">
        <is>
          <t>INTERNATIONAL JOURNAL OF ORGANIZATIONAL ANALYSIS</t>
        </is>
      </c>
      <c r="G368" s="26" t="inlineStr">
        <is>
          <t>Article; Early Access</t>
        </is>
      </c>
      <c r="H368" s="26" t="inlineStr">
        <is>
          <t>10.1108/ijoa-07-2025-5797</t>
        </is>
      </c>
      <c r="I368" s="26" t="inlineStr">
        <is>
          <t>TA</t>
        </is>
      </c>
      <c r="J368" s="37" t="inlineStr">
        <is>
          <t>Exclude</t>
        </is>
      </c>
      <c r="K368" s="37" t="inlineStr">
        <is>
          <t>No digital twin/model</t>
        </is>
      </c>
      <c r="L368" s="27" t="n"/>
      <c r="M368" s="37" t="inlineStr">
        <is>
          <t>Encuesta transversal repetida con ecuaciones estructurales sobre secuenciacion de tecnologias digitales (regla C4); el gemelo sólo como extension futura ("extend the framework to additional technologies (e.g. digital twins, 5G)"), C1.</t>
        </is>
      </c>
      <c r="N368" s="69" t="inlineStr">
        <is>
          <t>E1</t>
        </is>
      </c>
      <c r="O368" s="69" t="n">
        <v>14</v>
      </c>
      <c r="P368" s="69" t="inlineStr">
        <is>
          <t>Exclude</t>
        </is>
      </c>
      <c r="Q368" s="69" t="inlineStr">
        <is>
          <t>E1</t>
        </is>
      </c>
      <c r="R368" s="69" t="inlineStr">
        <is>
          <t>Encuesta transversal repetida con ecuaciones estructurales sobre secuenciacion de tecnologias digitales (regla C4); el gemelo sólo como extension futura ("extend the framework to additional technologies (e.g. digital twins, 5G)"), C1.</t>
        </is>
      </c>
      <c r="S368" s="69" t="n"/>
    </row>
    <row r="369" ht="23.25" customHeight="1" s="17">
      <c r="A369" s="26" t="inlineStr">
        <is>
          <t>R0368</t>
        </is>
      </c>
      <c r="B369" s="26" t="inlineStr">
        <is>
          <t>Scopus</t>
        </is>
      </c>
      <c r="C369" s="26" t="inlineStr">
        <is>
          <t>Ezzahra L.F.; Zineb H.; Ayoub F.; Monteiro F.; Abdoul R.; Abdennasser A.</t>
        </is>
      </c>
      <c r="D369" s="26" t="n">
        <v>2024</v>
      </c>
      <c r="E369" s="27" t="inlineStr">
        <is>
          <t>Optimizing Industrial System From Machine Learning to Digital Twin-Driven Predictive Maintenance</t>
        </is>
      </c>
      <c r="F369" s="26" t="inlineStr">
        <is>
          <t>Proceedings of the International Conference on Microelectronics, ICM</t>
        </is>
      </c>
      <c r="G369" s="26" t="inlineStr">
        <is>
          <t>Conference paper</t>
        </is>
      </c>
      <c r="H369" s="26" t="inlineStr">
        <is>
          <t>10.1109/icm63406.2024.10815781</t>
        </is>
      </c>
      <c r="I369" s="26" t="inlineStr">
        <is>
          <t>TA</t>
        </is>
      </c>
      <c r="J369" s="37" t="inlineStr">
        <is>
          <t>Exclude</t>
        </is>
      </c>
      <c r="K369" s="37" t="inlineStr">
        <is>
          <t>No digital twin/model</t>
        </is>
      </c>
      <c r="L369" s="27" t="n"/>
      <c r="M369" s="37" t="inlineStr">
        <is>
          <t>Comparacion de seis modelos de ML para prediccion de fallas sobre un conjunto sintetico; el gemelo aparece sólo en el titulo como direccion y no en el resumen ("we generated a synthetic dataset to validate the approaches"), C1; también E2.</t>
        </is>
      </c>
      <c r="N369" s="69" t="inlineStr">
        <is>
          <t>E1</t>
        </is>
      </c>
      <c r="O369" s="69" t="n">
        <v>14</v>
      </c>
      <c r="P369" s="69" t="inlineStr">
        <is>
          <t>Exclude</t>
        </is>
      </c>
      <c r="Q369" s="69" t="inlineStr">
        <is>
          <t>E1</t>
        </is>
      </c>
      <c r="R369" s="69" t="inlineStr">
        <is>
          <t>Comparacion de seis modelos de ML para prediccion de fallas sobre un conjunto sintetico; el gemelo aparece sólo en el titulo como direccion y no en el resumen ("we generated a synthetic dataset to validate the approaches"), C1; también E2.</t>
        </is>
      </c>
      <c r="S369" s="69" t="n"/>
    </row>
    <row r="370" ht="23.25" customHeight="1" s="17">
      <c r="A370" s="26" t="inlineStr">
        <is>
          <t>R0369</t>
        </is>
      </c>
      <c r="B370" s="26" t="inlineStr">
        <is>
          <t>Scopus + WoS</t>
        </is>
      </c>
      <c r="C370" s="26" t="inlineStr">
        <is>
          <t>Sai A.M.V.V.; Wang C.; Cai Z.; Li Y.</t>
        </is>
      </c>
      <c r="D370" s="26" t="n">
        <v>2024</v>
      </c>
      <c r="E370" s="27" t="inlineStr">
        <is>
          <t>Navigating the Digital Twin Network landscape: A survey on architecture, applications, privacy and security</t>
        </is>
      </c>
      <c r="F370" s="26" t="inlineStr">
        <is>
          <t>High-Confidence Computing</t>
        </is>
      </c>
      <c r="G370" s="26" t="inlineStr">
        <is>
          <t>Article</t>
        </is>
      </c>
      <c r="H370" s="26" t="inlineStr">
        <is>
          <t>10.1016/j.hcc.2024.100269</t>
        </is>
      </c>
      <c r="I370" s="26" t="inlineStr">
        <is>
          <t>TA</t>
        </is>
      </c>
      <c r="J370" s="37" t="inlineStr">
        <is>
          <t>Exclude</t>
        </is>
      </c>
      <c r="K370" s="37" t="inlineStr">
        <is>
          <t>Wrong publication type</t>
        </is>
      </c>
      <c r="L370" s="27" t="n"/>
      <c r="M370" s="37" t="inlineStr">
        <is>
          <t>Encuesta de literatura sobre redes de gemelos digitales ("In this survey, we first provide a clear idea of the components of DTNs"); cadena sólo como palabra clave. Valor para snowballing: bajo.</t>
        </is>
      </c>
      <c r="N370" s="69" t="inlineStr">
        <is>
          <t>E4</t>
        </is>
      </c>
      <c r="O370" s="69" t="n">
        <v>14</v>
      </c>
      <c r="P370" s="69" t="inlineStr">
        <is>
          <t>Exclude</t>
        </is>
      </c>
      <c r="Q370" s="69" t="inlineStr">
        <is>
          <t>E4</t>
        </is>
      </c>
      <c r="R370" s="69" t="inlineStr">
        <is>
          <t>Encuesta de literatura sobre redes de gemelos digitales ("In this survey, we first provide a clear idea of the components of DTNs"); cadena sólo como palabra clave. Valor para snowballing: bajo.</t>
        </is>
      </c>
      <c r="S370" s="69" t="n"/>
    </row>
    <row r="371" ht="34.5" customHeight="1" s="17">
      <c r="A371" s="26" t="inlineStr">
        <is>
          <t>R0370</t>
        </is>
      </c>
      <c r="B371" s="26" t="inlineStr">
        <is>
          <t>Scopus</t>
        </is>
      </c>
      <c r="C371" s="26" t="inlineStr">
        <is>
          <t>Rizwana S.; Hazarika M.K.</t>
        </is>
      </c>
      <c r="D371" s="26" t="n">
        <v>2024</v>
      </c>
      <c r="E371" s="27" t="inlineStr">
        <is>
          <t>Study of the Soaking Process of a ready-to-eat rice of Assam (Komal Chaul): A Mechanistic and a Machine Learning Based Approach for spectra-based Estimation of Endpoint</t>
        </is>
      </c>
      <c r="F371" s="26" t="inlineStr">
        <is>
          <t>Food Biophysics</t>
        </is>
      </c>
      <c r="G371" s="26" t="inlineStr">
        <is>
          <t>Article</t>
        </is>
      </c>
      <c r="H371" s="26" t="inlineStr">
        <is>
          <t>10.1007/s11483-024-09852-8</t>
        </is>
      </c>
      <c r="I371" s="26" t="inlineStr">
        <is>
          <t>TA</t>
        </is>
      </c>
      <c r="J371" s="37" t="inlineStr">
        <is>
          <t>Exclude</t>
        </is>
      </c>
      <c r="K371" s="37" t="inlineStr">
        <is>
          <t>No digital twin/model</t>
        </is>
      </c>
      <c r="L371" s="27" t="n"/>
      <c r="M371" s="37" t="inlineStr">
        <is>
          <t>Modelo mecanicista y ML para el remojo de arroz; el gemelo sólo como concepto de paso ("the advancement of numerical tools and concepts of digital twins for process operations have led to the use of a sensor-based approach"), C1; también E2.</t>
        </is>
      </c>
      <c r="N371" s="69" t="inlineStr">
        <is>
          <t>E1</t>
        </is>
      </c>
      <c r="O371" s="69" t="n">
        <v>14</v>
      </c>
      <c r="P371" s="69" t="inlineStr">
        <is>
          <t>Exclude</t>
        </is>
      </c>
      <c r="Q371" s="69" t="inlineStr">
        <is>
          <t>E1</t>
        </is>
      </c>
      <c r="R371" s="69" t="inlineStr">
        <is>
          <t>Modelo mecanicista y ML para el remojo de arroz; el gemelo sólo como concepto de paso ("the advancement of numerical tools and concepts of digital twins for process operations have led to the use of a sensor-based approach"), C1; también E2.</t>
        </is>
      </c>
      <c r="S371" s="69" t="n"/>
    </row>
    <row r="372" ht="23.25" customHeight="1" s="17">
      <c r="A372" s="26" t="inlineStr">
        <is>
          <t>R0371</t>
        </is>
      </c>
      <c r="B372" s="26" t="inlineStr">
        <is>
          <t>Scopus</t>
        </is>
      </c>
      <c r="C372" s="26" t="inlineStr">
        <is>
          <t>Kandemir E.; Hasan A.; Kvamsdal T.; Alaliyat S.A.</t>
        </is>
      </c>
      <c r="D372" s="26" t="n">
        <v>2024</v>
      </c>
      <c r="E372" s="27" t="inlineStr">
        <is>
          <t>A Hybrid Method Enabling Predictive Digital Twin during the Design Phase of Wind Turbines</t>
        </is>
      </c>
      <c r="F372" s="26" t="inlineStr">
        <is>
          <t>IET Conference Proceedings</t>
        </is>
      </c>
      <c r="G372" s="26" t="inlineStr">
        <is>
          <t>Conference paper</t>
        </is>
      </c>
      <c r="H372" s="26" t="inlineStr">
        <is>
          <t>10.1049/icp.2024.3773</t>
        </is>
      </c>
      <c r="I372" s="26" t="inlineStr">
        <is>
          <t>TA</t>
        </is>
      </c>
      <c r="J372" s="37" t="inlineStr">
        <is>
          <t>Exclude</t>
        </is>
      </c>
      <c r="K372" s="37" t="inlineStr">
        <is>
          <t>No supply chain scope</t>
        </is>
      </c>
      <c r="L372" s="27" t="n"/>
      <c r="M372" s="37" t="inlineStr">
        <is>
          <t>Gemelo predictivo en fase de diseño de aerogeneradores con modelo hibrido estadistico y red neuronal ("a novel hybrid model, which is a part of a pre-deployment predictive digital twin"); diseño energetico, sin cadena ni logistica.</t>
        </is>
      </c>
      <c r="N372" s="69" t="inlineStr">
        <is>
          <t>E2</t>
        </is>
      </c>
      <c r="O372" s="69" t="n">
        <v>14</v>
      </c>
      <c r="P372" s="69" t="inlineStr">
        <is>
          <t>Exclude</t>
        </is>
      </c>
      <c r="Q372" s="69" t="inlineStr">
        <is>
          <t>E2</t>
        </is>
      </c>
      <c r="R372" s="69" t="inlineStr">
        <is>
          <t>Gemelo predictivo en fase de diseño de aerogeneradores con modelo hibrido estadistico y red neuronal ("a novel hybrid model, which is a part of a pre-deployment predictive digital twin"); diseño energetico, sin cadena ni logistica.</t>
        </is>
      </c>
      <c r="S372" s="69" t="n"/>
    </row>
    <row r="373" ht="23.25" customHeight="1" s="17">
      <c r="A373" s="26" t="inlineStr">
        <is>
          <t>R0372</t>
        </is>
      </c>
      <c r="B373" s="26" t="inlineStr">
        <is>
          <t>WoS</t>
        </is>
      </c>
      <c r="C373" s="26" t="inlineStr">
        <is>
          <t>Guidolin, M; Berti, N; Gnesotto, P; Battini, D; Reggiani, M</t>
        </is>
      </c>
      <c r="D373" s="26" t="n">
        <v>2024</v>
      </c>
      <c r="E373" s="27" t="inlineStr">
        <is>
          <t>Trust the Robot! Enabling Flexible Collaboration With Humans via Multi-Sensor Data Integration</t>
        </is>
      </c>
      <c r="F373" s="26" t="inlineStr">
        <is>
          <t>2024 IEEE 29TH INTERNATIONAL CONFERENCE ON EMERGING TECHNOLOGIES AND FACTORY AUTOMATION, ETFA 2024</t>
        </is>
      </c>
      <c r="G373" s="26" t="inlineStr">
        <is>
          <t>Proceedings Paper</t>
        </is>
      </c>
      <c r="H373" s="26" t="inlineStr">
        <is>
          <t>10.1109/etfa61755.2024.10710349</t>
        </is>
      </c>
      <c r="I373" s="26" t="inlineStr">
        <is>
          <t>TA</t>
        </is>
      </c>
      <c r="J373" s="37" t="inlineStr">
        <is>
          <t>Exclude</t>
        </is>
      </c>
      <c r="K373" s="37" t="inlineStr">
        <is>
          <t>No digital twin/model</t>
        </is>
      </c>
      <c r="L373" s="27" t="n"/>
      <c r="M373" s="37" t="inlineStr">
        <is>
          <t>Gemelo humano para colaboracion humano-robot en manufactura con ML para reducir sensores ("the transition from an integrated Human Digital Twin toward a lighter monitoring setup"); copia de una persona y no modelo de operaciones (C6), C2 ordena E1 antes que E2 (estacion colaborativa sin encuadre de cadena). Nota: pertinente a HITL como contexto.</t>
        </is>
      </c>
      <c r="N373" s="69" t="inlineStr">
        <is>
          <t>E1</t>
        </is>
      </c>
      <c r="O373" s="69" t="n">
        <v>14</v>
      </c>
      <c r="P373" s="69" t="inlineStr">
        <is>
          <t>Exclude</t>
        </is>
      </c>
      <c r="Q373" s="69" t="inlineStr">
        <is>
          <t>E1</t>
        </is>
      </c>
      <c r="R373" s="69" t="inlineStr">
        <is>
          <t>Gemelo humano para colaboracion humano-robot en manufactura con ML para reducir sensores ("the transition from an integrated Human Digital Twin toward a lighter monitoring setup"); copia de una persona y no modelo de operaciones (C6), C2 ordena E1 antes que E2 (estacion colaborativa sin encuadre de cadena). Nota: pertinente a HITL como contexto.</t>
        </is>
      </c>
      <c r="S373" s="69" t="n"/>
    </row>
    <row r="374" ht="23.25" customHeight="1" s="17">
      <c r="A374" s="26" t="inlineStr">
        <is>
          <t>R0373</t>
        </is>
      </c>
      <c r="B374" s="26" t="inlineStr">
        <is>
          <t>Scopus</t>
        </is>
      </c>
      <c r="C374" s="26" t="inlineStr">
        <is>
          <t>Chari A.; Marti S.; Johansson B.; Despeisse M.; Stahre J.; Lopes P.V.</t>
        </is>
      </c>
      <c r="D374" s="26" t="n">
        <v>2023</v>
      </c>
      <c r="E374" s="27" t="inlineStr">
        <is>
          <t>Modeling Risk Prioritization of a Manufacturing Supply Chain using Discrete Event Simulation</t>
        </is>
      </c>
      <c r="F374" s="26" t="inlineStr">
        <is>
          <t>Proceedings - Winter Simulation Conference</t>
        </is>
      </c>
      <c r="G374" s="26" t="inlineStr">
        <is>
          <t>Conference paper</t>
        </is>
      </c>
      <c r="H374" s="26" t="inlineStr">
        <is>
          <t>10.1109/wsc60868.2023.10407643</t>
        </is>
      </c>
      <c r="I374" s="26" t="inlineStr">
        <is>
          <t>TA</t>
        </is>
      </c>
      <c r="J374" s="37" t="inlineStr">
        <is>
          <t>Exclude</t>
        </is>
      </c>
      <c r="K374" s="37" t="inlineStr">
        <is>
          <t>No AI/ML component</t>
        </is>
      </c>
      <c r="L374" s="27" t="n"/>
      <c r="M374" s="37" t="inlineStr">
        <is>
          <t>Modelo de simulacion de eventos discretos de una cadena manufacturera sueca para priorizar riesgos ("we develop a discrete event simulation modelling approach to quantify the performance and risk assessment of a manufacturing supply chain in Sweden"); la IA sólo como uso futuro del modelo ("to build an artificial intelligence-enhanced predictive demonstrator model"), C8. Antecedente C8: alto (modelo digital de cadena real).</t>
        </is>
      </c>
      <c r="N374" s="69" t="inlineStr">
        <is>
          <t>E3</t>
        </is>
      </c>
      <c r="O374" s="69" t="n">
        <v>14</v>
      </c>
      <c r="P374" s="69" t="inlineStr">
        <is>
          <t>Exclude</t>
        </is>
      </c>
      <c r="Q374" s="69" t="inlineStr">
        <is>
          <t>E3</t>
        </is>
      </c>
      <c r="R374" s="69" t="inlineStr">
        <is>
          <t>Modelo de simulacion de eventos discretos de una cadena manufacturera sueca para priorizar riesgos ("we develop a discrete event simulation modelling approach to quantify the performance and risk assessment of a manufacturing supply chain in Sweden"); la IA sólo como uso futuro del modelo ("to build an artificial intelligence-enhanced predictive demonstrator model"), C8. Antecedente C8: alto (modelo digital de cadena real).</t>
        </is>
      </c>
      <c r="S374" s="69" t="n"/>
    </row>
    <row r="375" ht="23.25" customHeight="1" s="17">
      <c r="A375" s="26" t="inlineStr">
        <is>
          <t>R0374</t>
        </is>
      </c>
      <c r="B375" s="26" t="inlineStr">
        <is>
          <t>Scopus</t>
        </is>
      </c>
      <c r="C375" s="26" t="inlineStr">
        <is>
          <t>Yamin A.; Lam S.; Jin Y.C.</t>
        </is>
      </c>
      <c r="D375" s="26" t="n">
        <v>2023</v>
      </c>
      <c r="E375" s="27" t="inlineStr">
        <is>
          <t>Deep Neural Network for Operational Abnormality Detection for a Central Fill Pharmacy System</t>
        </is>
      </c>
      <c r="F375" s="26" t="inlineStr">
        <is>
          <t>IISE Annual Conference and Expo 2023</t>
        </is>
      </c>
      <c r="G375" s="26" t="inlineStr">
        <is>
          <t>Conference paper</t>
        </is>
      </c>
      <c r="H375" s="26" t="inlineStr">
        <is>
          <t>10.21872/2023iise_3213</t>
        </is>
      </c>
      <c r="I375" s="26" t="inlineStr">
        <is>
          <t>TA</t>
        </is>
      </c>
      <c r="J375" s="37" t="inlineStr">
        <is>
          <t>Exclude</t>
        </is>
      </c>
      <c r="K375" s="37" t="inlineStr">
        <is>
          <t>No digital twin/model</t>
        </is>
      </c>
      <c r="L375" s="27" t="n"/>
      <c r="M375" s="37" t="inlineStr">
        <is>
          <t>Red neuronal profunda para detectar anomalias operativas en una farmacia de llenado central; el gemelo sólo como tecnologia mencionada ("Advanced technology, such as digital twins, complex sensing systems, and real-time analysis, can help identify operational errors"), C1.</t>
        </is>
      </c>
      <c r="N375" s="69" t="inlineStr">
        <is>
          <t>E1</t>
        </is>
      </c>
      <c r="O375" s="69" t="n">
        <v>14</v>
      </c>
      <c r="P375" s="69" t="inlineStr">
        <is>
          <t>Exclude</t>
        </is>
      </c>
      <c r="Q375" s="69" t="inlineStr">
        <is>
          <t>E1</t>
        </is>
      </c>
      <c r="R375" s="69" t="inlineStr">
        <is>
          <t>Red neuronal profunda para detectar anomalias operativas en una farmacia de llenado central; el gemelo sólo como tecnologia mencionada ("Advanced technology, such as digital twins, complex sensing systems, and real-time analysis, can help identify operational errors"), C1.</t>
        </is>
      </c>
      <c r="S375" s="69" t="n"/>
    </row>
    <row r="376" ht="23.25" customHeight="1" s="17">
      <c r="A376" s="26" t="inlineStr">
        <is>
          <t>R0375</t>
        </is>
      </c>
      <c r="B376" s="26" t="inlineStr">
        <is>
          <t>Scopus</t>
        </is>
      </c>
      <c r="C376" s="26" t="inlineStr">
        <is>
          <t>Sampedro G.A.R.; Putra M.A.P.; Abisado M.</t>
        </is>
      </c>
      <c r="D376" s="26" t="n">
        <v>2023</v>
      </c>
      <c r="E376" s="27" t="inlineStr">
        <is>
          <t>3D-AmplifAI: An Ensemble Machine Learning Approach to Digital Twin Fault Monitoring for Additive Manufacturing in Smart Factories</t>
        </is>
      </c>
      <c r="F376" s="26" t="inlineStr">
        <is>
          <t>IEEE Access</t>
        </is>
      </c>
      <c r="G376" s="26" t="inlineStr">
        <is>
          <t>Article</t>
        </is>
      </c>
      <c r="H376" s="26" t="inlineStr">
        <is>
          <t>10.1109/access.2023.3289536</t>
        </is>
      </c>
      <c r="I376" s="26" t="inlineStr">
        <is>
          <t>TA</t>
        </is>
      </c>
      <c r="J376" s="37" t="inlineStr">
        <is>
          <t>Exclude</t>
        </is>
      </c>
      <c r="K376" s="37" t="inlineStr">
        <is>
          <t>No supply chain scope</t>
        </is>
      </c>
      <c r="L376" s="27" t="n"/>
      <c r="M376" s="37" t="inlineStr">
        <is>
          <t>Gemelo en Unity con algoritmo de ensamblado para monitoreo de fallas de impresoras 3D ("a digital twin-based system that employs the innovative ensemble 3D-AmplifAI algorithm for fault monitoring in 3D printers"); activo de fabricacion aditiva, sin cadena ni logistica.</t>
        </is>
      </c>
      <c r="N376" s="69" t="inlineStr">
        <is>
          <t>E2</t>
        </is>
      </c>
      <c r="O376" s="69" t="n">
        <v>14</v>
      </c>
      <c r="P376" s="69" t="inlineStr">
        <is>
          <t>Exclude</t>
        </is>
      </c>
      <c r="Q376" s="69" t="inlineStr">
        <is>
          <t>E2</t>
        </is>
      </c>
      <c r="R376" s="69" t="inlineStr">
        <is>
          <t>Gemelo en Unity con algoritmo de ensamblado para monitoreo de fallas de impresoras 3D ("a digital twin-based system that employs the innovative ensemble 3D-AmplifAI algorithm for fault monitoring in 3D printers"); activo de fabricacion aditiva, sin cadena ni logistica.</t>
        </is>
      </c>
      <c r="S376" s="69" t="n"/>
    </row>
    <row r="377" ht="23.25" customHeight="1" s="17">
      <c r="A377" s="26" t="inlineStr">
        <is>
          <t>R0376</t>
        </is>
      </c>
      <c r="B377" s="26" t="inlineStr">
        <is>
          <t>Scopus</t>
        </is>
      </c>
      <c r="C377" s="26" t="inlineStr">
        <is>
          <t>Kovalnogov V.; Generalov D.; Fedorov R.; Sherkunov V.; Gladilin N.</t>
        </is>
      </c>
      <c r="D377" s="26" t="n">
        <v>2023</v>
      </c>
      <c r="E377" s="27" t="inlineStr">
        <is>
          <t>Selecting a Machine Learning Model to Optimize the Burner Digital Twin</t>
        </is>
      </c>
      <c r="F377" s="26" t="inlineStr">
        <is>
          <t>Lecture Notes in Networks and Systems</t>
        </is>
      </c>
      <c r="G377" s="26" t="inlineStr">
        <is>
          <t>Conference paper</t>
        </is>
      </c>
      <c r="H377" s="26" t="inlineStr">
        <is>
          <t>10.1007/978-3-031-43792-2_22</t>
        </is>
      </c>
      <c r="I377" s="26" t="inlineStr">
        <is>
          <t>TA</t>
        </is>
      </c>
      <c r="J377" s="37" t="inlineStr">
        <is>
          <t>Exclude</t>
        </is>
      </c>
      <c r="K377" s="37" t="inlineStr">
        <is>
          <t>No supply chain scope</t>
        </is>
      </c>
      <c r="L377" s="27" t="n"/>
      <c r="M377" s="37" t="inlineStr">
        <is>
          <t>Seleccion de modelo de ML para clasificar modos de un quemador sobre su gemelo ("classifying the modes of an oil-gas burner using experiments on its digital twin"); ambito de combustion, sin cadena ni logistica.</t>
        </is>
      </c>
      <c r="N377" s="69" t="inlineStr">
        <is>
          <t>E2</t>
        </is>
      </c>
      <c r="O377" s="69" t="n">
        <v>14</v>
      </c>
      <c r="P377" s="69" t="inlineStr">
        <is>
          <t>Exclude</t>
        </is>
      </c>
      <c r="Q377" s="69" t="inlineStr">
        <is>
          <t>E2</t>
        </is>
      </c>
      <c r="R377" s="69" t="inlineStr">
        <is>
          <t>Seleccion de modelo de ML para clasificar modos de un quemador sobre su gemelo ("classifying the modes of an oil-gas burner using experiments on its digital twin"); ambito de combustion, sin cadena ni logistica.</t>
        </is>
      </c>
      <c r="S377" s="69" t="n"/>
    </row>
    <row r="378" ht="23.25" customHeight="1" s="17">
      <c r="A378" s="26" t="inlineStr">
        <is>
          <t>R0377</t>
        </is>
      </c>
      <c r="B378" s="26" t="inlineStr">
        <is>
          <t>Scopus</t>
        </is>
      </c>
      <c r="C378" s="26" t="inlineStr">
        <is>
          <t>Alshathri S.; Hemdan E.E.-D.; El-Shafai W.; Sayed A.</t>
        </is>
      </c>
      <c r="D378" s="26" t="n">
        <v>2023</v>
      </c>
      <c r="E378" s="27" t="inlineStr">
        <is>
          <t>Digital Twin-Based Automated Fault Diagnosis in Industrial IoT Applications</t>
        </is>
      </c>
      <c r="F378" s="26" t="inlineStr">
        <is>
          <t>Computers, Materials and Continua</t>
        </is>
      </c>
      <c r="G378" s="26" t="inlineStr">
        <is>
          <t>Article</t>
        </is>
      </c>
      <c r="H378" s="26" t="inlineStr">
        <is>
          <t>10.32604/cmc.2023.034048</t>
        </is>
      </c>
      <c r="I378" s="26" t="inlineStr">
        <is>
          <t>TA</t>
        </is>
      </c>
      <c r="J378" s="37" t="inlineStr">
        <is>
          <t>Exclude</t>
        </is>
      </c>
      <c r="K378" s="37" t="inlineStr">
        <is>
          <t>No supply chain scope</t>
        </is>
      </c>
      <c r="L378" s="27" t="n"/>
      <c r="M378" s="37" t="inlineStr">
        <is>
          <t>Diagnostico automatico de fallas basado en gemelo con GA-SVM para una bomba triplex ("the DT model of the machine is constructed by creating the simulation model"); activo industrial aislado, sin cadena ni logistica.</t>
        </is>
      </c>
      <c r="N378" s="69" t="inlineStr">
        <is>
          <t>E2</t>
        </is>
      </c>
      <c r="O378" s="69" t="n">
        <v>14</v>
      </c>
      <c r="P378" s="69" t="inlineStr">
        <is>
          <t>Exclude</t>
        </is>
      </c>
      <c r="Q378" s="69" t="inlineStr">
        <is>
          <t>E2</t>
        </is>
      </c>
      <c r="R378" s="69" t="inlineStr">
        <is>
          <t>Diagnostico automatico de fallas basado en gemelo con GA-SVM para una bomba triplex ("the DT model of the machine is constructed by creating the simulation model"); activo industrial aislado, sin cadena ni logistica.</t>
        </is>
      </c>
      <c r="S378" s="69" t="n"/>
    </row>
    <row r="379" ht="23.25" customHeight="1" s="17">
      <c r="A379" s="26" t="inlineStr">
        <is>
          <t>R0378</t>
        </is>
      </c>
      <c r="B379" s="26" t="inlineStr">
        <is>
          <t>Scopus</t>
        </is>
      </c>
      <c r="C379" s="26" t="inlineStr">
        <is>
          <t>Ji X.; Abdoli S.</t>
        </is>
      </c>
      <c r="D379" s="26" t="n">
        <v>2023</v>
      </c>
      <c r="E379" s="27" t="inlineStr">
        <is>
          <t>Challenges and Opportunities in Product Life Cycle Management in the Context of Industry 4.0</t>
        </is>
      </c>
      <c r="F379" s="26" t="inlineStr">
        <is>
          <t>Procedia CIRP</t>
        </is>
      </c>
      <c r="G379" s="26" t="inlineStr">
        <is>
          <t>Conference paper</t>
        </is>
      </c>
      <c r="H379" s="26" t="inlineStr">
        <is>
          <t>10.1016/j.procir.2023.04.002</t>
        </is>
      </c>
      <c r="I379" s="26" t="inlineStr">
        <is>
          <t>TA</t>
        </is>
      </c>
      <c r="J379" s="37" t="inlineStr">
        <is>
          <t>Exclude</t>
        </is>
      </c>
      <c r="K379" s="37" t="inlineStr">
        <is>
          <t>Wrong publication type</t>
        </is>
      </c>
      <c r="L379" s="27" t="n"/>
      <c r="M379" s="37" t="inlineStr">
        <is>
          <t>Revision de oportunidades de Industria 4.0 para la gestion del ciclo de vida del producto ("by reviewing existing scholarly papers in this context"); gemelos entre las tecnologias y logistica sólo como contexto. Valor para snowballing: bajo.</t>
        </is>
      </c>
      <c r="N379" s="69" t="inlineStr">
        <is>
          <t>E4</t>
        </is>
      </c>
      <c r="O379" s="69" t="n">
        <v>14</v>
      </c>
      <c r="P379" s="69" t="inlineStr">
        <is>
          <t>Exclude</t>
        </is>
      </c>
      <c r="Q379" s="69" t="inlineStr">
        <is>
          <t>E4</t>
        </is>
      </c>
      <c r="R379" s="69" t="inlineStr">
        <is>
          <t>Revision de oportunidades de Industria 4.0 para la gestion del ciclo de vida del producto ("by reviewing existing scholarly papers in this context"); gemelos entre las tecnologias y logistica sólo como contexto. Valor para snowballing: bajo.</t>
        </is>
      </c>
      <c r="S379" s="69" t="n"/>
    </row>
    <row r="380" ht="34.5" customHeight="1" s="17">
      <c r="A380" s="26" t="inlineStr">
        <is>
          <t>R0379</t>
        </is>
      </c>
      <c r="B380" s="26" t="inlineStr">
        <is>
          <t>Scopus</t>
        </is>
      </c>
      <c r="C380" s="26" t="inlineStr">
        <is>
          <t>Runsewe T.; Yavuz A.; Celik N.</t>
        </is>
      </c>
      <c r="D380" s="26" t="n">
        <v>2023</v>
      </c>
      <c r="E380" s="27" t="inlineStr">
        <is>
          <t>Digital Twin Based Learning Framework for Adaptive Fault Diagnosis In Microgrids with Autonomous Reconfiguration Capabilities</t>
        </is>
      </c>
      <c r="F380" s="26" t="inlineStr">
        <is>
          <t>Proceedings - Winter Simulation Conference</t>
        </is>
      </c>
      <c r="G380" s="26" t="inlineStr">
        <is>
          <t>Conference paper</t>
        </is>
      </c>
      <c r="H380" s="26" t="inlineStr">
        <is>
          <t>10.1109/wsc60868.2023.10408558</t>
        </is>
      </c>
      <c r="I380" s="26" t="inlineStr">
        <is>
          <t>TA</t>
        </is>
      </c>
      <c r="J380" s="37" t="inlineStr">
        <is>
          <t>Exclude</t>
        </is>
      </c>
      <c r="K380" s="37" t="inlineStr">
        <is>
          <t>No supply chain scope</t>
        </is>
      </c>
      <c r="L380" s="27" t="n"/>
      <c r="M380" s="37" t="inlineStr">
        <is>
          <t>Marco de ML basado en gemelo para diagnostico de fallas en microrredes ("a digital twin based machine learning (DTML) framework for fault diagnosis in MG monitoring systems"); sistemas energeticos, sin cadena ni logistica.</t>
        </is>
      </c>
      <c r="N380" s="69" t="inlineStr">
        <is>
          <t>E2</t>
        </is>
      </c>
      <c r="O380" s="69" t="n">
        <v>14</v>
      </c>
      <c r="P380" s="69" t="inlineStr">
        <is>
          <t>Exclude</t>
        </is>
      </c>
      <c r="Q380" s="69" t="inlineStr">
        <is>
          <t>E2</t>
        </is>
      </c>
      <c r="R380" s="69" t="inlineStr">
        <is>
          <t>Marco de ML basado en gemelo para diagnostico de fallas en microrredes ("a digital twin based machine learning (DTML) framework for fault diagnosis in MG monitoring systems"); sistemas energeticos, sin cadena ni logistica.</t>
        </is>
      </c>
      <c r="S380" s="69" t="n"/>
    </row>
    <row r="381" ht="23.25" customHeight="1" s="17">
      <c r="A381" s="26" t="inlineStr">
        <is>
          <t>R0380</t>
        </is>
      </c>
      <c r="B381" s="26" t="inlineStr">
        <is>
          <t>Scopus</t>
        </is>
      </c>
      <c r="C381" s="26" t="inlineStr">
        <is>
          <t>Padmapriya V.; Srivenkatesh M.</t>
        </is>
      </c>
      <c r="D381" s="26" t="n">
        <v>2023</v>
      </c>
      <c r="E381" s="27" t="inlineStr">
        <is>
          <t>Digital Twins for Smart Home Gadget Threat Prediction using Deep Convolution Neural Network</t>
        </is>
      </c>
      <c r="F381" s="26" t="inlineStr">
        <is>
          <t>International Journal of Advanced Computer Science and Applications</t>
        </is>
      </c>
      <c r="G381" s="26" t="inlineStr">
        <is>
          <t>Article</t>
        </is>
      </c>
      <c r="H381" s="26" t="inlineStr">
        <is>
          <t>10.14569/ijacsa.2023.0140270</t>
        </is>
      </c>
      <c r="I381" s="26" t="inlineStr">
        <is>
          <t>TA</t>
        </is>
      </c>
      <c r="J381" s="37" t="inlineStr">
        <is>
          <t>Exclude</t>
        </is>
      </c>
      <c r="K381" s="37" t="inlineStr">
        <is>
          <t>No supply chain scope</t>
        </is>
      </c>
      <c r="L381" s="27" t="n"/>
      <c r="M381" s="37" t="inlineStr">
        <is>
          <t>Gemelos de electrodomesticos con red convolucional y regresion logistica para predecir amenazas ("create a digital twin for smart home gadgets"); hogar inteligente, sin cadena ni logistica.</t>
        </is>
      </c>
      <c r="N381" s="69" t="inlineStr">
        <is>
          <t>E2</t>
        </is>
      </c>
      <c r="O381" s="69" t="n">
        <v>14</v>
      </c>
      <c r="P381" s="69" t="inlineStr">
        <is>
          <t>Exclude</t>
        </is>
      </c>
      <c r="Q381" s="69" t="inlineStr">
        <is>
          <t>E2</t>
        </is>
      </c>
      <c r="R381" s="69" t="inlineStr">
        <is>
          <t>Gemelos de electrodomesticos con red convolucional y regresion logistica para predecir amenazas ("create a digital twin for smart home gadgets"); hogar inteligente, sin cadena ni logistica.</t>
        </is>
      </c>
      <c r="S381" s="69" t="n"/>
    </row>
    <row r="382" ht="23.25" customHeight="1" s="17">
      <c r="A382" s="26" t="inlineStr">
        <is>
          <t>R0381</t>
        </is>
      </c>
      <c r="B382" s="26" t="inlineStr">
        <is>
          <t>Scopus</t>
        </is>
      </c>
      <c r="C382" s="26" t="inlineStr">
        <is>
          <t>Trusova K.V.</t>
        </is>
      </c>
      <c r="D382" s="26" t="n">
        <v>2022</v>
      </c>
      <c r="E382" s="27" t="inlineStr">
        <is>
          <t>Synthesis and Analysis of Avionics Functions Digital Twins Using Machine Learning Classification Algorithms</t>
        </is>
      </c>
      <c r="F382" s="26" t="inlineStr">
        <is>
          <t>Springer Proceedings in Physics</t>
        </is>
      </c>
      <c r="G382" s="26" t="inlineStr">
        <is>
          <t>Conference paper</t>
        </is>
      </c>
      <c r="H382" s="26" t="inlineStr">
        <is>
          <t>10.1007/978-3-030-81119-8_1</t>
        </is>
      </c>
      <c r="I382" s="26" t="inlineStr">
        <is>
          <t>TA</t>
        </is>
      </c>
      <c r="J382" s="37" t="inlineStr">
        <is>
          <t>Exclude</t>
        </is>
      </c>
      <c r="K382" s="37" t="inlineStr">
        <is>
          <t>No supply chain scope</t>
        </is>
      </c>
      <c r="L382" s="27" t="n"/>
      <c r="M382" s="37" t="inlineStr">
        <is>
          <t>Sintesis de gemelos de funciones de avionica con algoritmos de clasificacion ("a data-driven approach to digital twins synthesis of avionics functions"); diseño aeronautico, sin cadena ni logistica.</t>
        </is>
      </c>
      <c r="N382" s="69" t="inlineStr">
        <is>
          <t>E2</t>
        </is>
      </c>
      <c r="O382" s="69" t="n">
        <v>14</v>
      </c>
      <c r="P382" s="69" t="inlineStr">
        <is>
          <t>Exclude</t>
        </is>
      </c>
      <c r="Q382" s="69" t="inlineStr">
        <is>
          <t>E2</t>
        </is>
      </c>
      <c r="R382" s="69" t="inlineStr">
        <is>
          <t>Sintesis de gemelos de funciones de avionica con algoritmos de clasificacion ("a data-driven approach to digital twins synthesis of avionics functions"); diseño aeronautico, sin cadena ni logistica.</t>
        </is>
      </c>
      <c r="S382" s="69" t="n"/>
    </row>
    <row r="383" ht="23.25" customHeight="1" s="17">
      <c r="A383" s="26" t="inlineStr">
        <is>
          <t>R0382</t>
        </is>
      </c>
      <c r="B383" s="26" t="inlineStr">
        <is>
          <t>Scopus</t>
        </is>
      </c>
      <c r="C383" s="26" t="inlineStr">
        <is>
          <t>Trusova K.V.</t>
        </is>
      </c>
      <c r="D383" s="26" t="n">
        <v>2021</v>
      </c>
      <c r="E383" s="27" t="inlineStr">
        <is>
          <t>Machine Learning Methods Application for the Avionics Systems Health Analysis and Faults Localization Challenges</t>
        </is>
      </c>
      <c r="F383" s="26" t="inlineStr">
        <is>
          <t>Springer Proceedings in Physics</t>
        </is>
      </c>
      <c r="G383" s="26" t="inlineStr">
        <is>
          <t>Conference paper</t>
        </is>
      </c>
      <c r="H383" s="26" t="inlineStr">
        <is>
          <t>10.1007/978-3-030-58868-7_44</t>
        </is>
      </c>
      <c r="I383" s="26" t="inlineStr">
        <is>
          <t>TA</t>
        </is>
      </c>
      <c r="J383" s="37" t="inlineStr">
        <is>
          <t>Exclude</t>
        </is>
      </c>
      <c r="K383" s="37" t="inlineStr">
        <is>
          <t>No supply chain scope</t>
        </is>
      </c>
      <c r="L383" s="27" t="n"/>
      <c r="M383" s="37" t="inlineStr">
        <is>
          <t>Metodos de ML para analisis de salud y localizacion de fallas al construir gemelos de avionica ("to solve classification problems under building digital twins in ISHM"); gestion de salud de sistemas aeronauticos, sin cadena ni logistica.</t>
        </is>
      </c>
      <c r="N383" s="69" t="inlineStr">
        <is>
          <t>E2</t>
        </is>
      </c>
      <c r="O383" s="69" t="n">
        <v>14</v>
      </c>
      <c r="P383" s="69" t="inlineStr">
        <is>
          <t>Exclude</t>
        </is>
      </c>
      <c r="Q383" s="69" t="inlineStr">
        <is>
          <t>E2</t>
        </is>
      </c>
      <c r="R383" s="69" t="inlineStr">
        <is>
          <t>Metodos de ML para analisis de salud y localizacion de fallas al construir gemelos de avionica ("to solve classification problems under building digital twins in ISHM"); gestion de salud de sistemas aeronauticos, sin cadena ni logistica.</t>
        </is>
      </c>
      <c r="S383" s="69" t="n"/>
    </row>
    <row r="384" ht="23.25" customHeight="1" s="17">
      <c r="A384" s="26" t="inlineStr">
        <is>
          <t>R0383</t>
        </is>
      </c>
      <c r="B384" s="26" t="inlineStr">
        <is>
          <t>WoS</t>
        </is>
      </c>
      <c r="C384" s="26" t="inlineStr">
        <is>
          <t>Warke, V; Kumar, S; Bongale, A; Kotecha, K</t>
        </is>
      </c>
      <c r="D384" s="26" t="n">
        <v>2021</v>
      </c>
      <c r="E384" s="27" t="inlineStr">
        <is>
          <t>Sustainable Development of Smart Manufacturing Driven by the Digital Twin Framework: A Statistical Analysis</t>
        </is>
      </c>
      <c r="F384" s="26" t="inlineStr">
        <is>
          <t>SUSTAINABILITY</t>
        </is>
      </c>
      <c r="G384" s="26" t="inlineStr">
        <is>
          <t>Article</t>
        </is>
      </c>
      <c r="H384" s="26" t="inlineStr">
        <is>
          <t>10.3390/su131810139</t>
        </is>
      </c>
      <c r="I384" s="26" t="inlineStr">
        <is>
          <t>TA</t>
        </is>
      </c>
      <c r="J384" s="37" t="inlineStr">
        <is>
          <t>Exclude</t>
        </is>
      </c>
      <c r="K384" s="37" t="inlineStr">
        <is>
          <t>Wrong publication type</t>
        </is>
      </c>
      <c r="L384" s="27" t="n"/>
      <c r="M384" s="37" t="inlineStr">
        <is>
          <t>Analisis bibliometrico Proknow-C del gemelo en manufactura inteligente ("This paper intends to make an appraisal of the literature on the digital twin (DT) framework in the domain of smart manufacturing"); IA y ML como habilitadores. Valor para snowballing: medio.</t>
        </is>
      </c>
      <c r="N384" s="69" t="inlineStr">
        <is>
          <t>E4</t>
        </is>
      </c>
      <c r="O384" s="69" t="n">
        <v>14</v>
      </c>
      <c r="P384" s="69" t="inlineStr">
        <is>
          <t>Exclude</t>
        </is>
      </c>
      <c r="Q384" s="69" t="inlineStr">
        <is>
          <t>E4</t>
        </is>
      </c>
      <c r="R384" s="69" t="inlineStr">
        <is>
          <t>Analisis bibliometrico Proknow-C del gemelo en manufactura inteligente ("This paper intends to make an appraisal of the literature on the digital twin (DT) framework in the domain of smart manufacturing"); IA y ML como habilitadores. Valor para snowballing: medio.</t>
        </is>
      </c>
      <c r="S384" s="69" t="n"/>
    </row>
    <row r="385" ht="23.25" customHeight="1" s="17">
      <c r="A385" s="26" t="inlineStr">
        <is>
          <t>R0384</t>
        </is>
      </c>
      <c r="B385" s="26" t="inlineStr">
        <is>
          <t>WoS</t>
        </is>
      </c>
      <c r="C385" s="26" t="inlineStr">
        <is>
          <t>dos Santos, CH; Gabriel, GT; do Amaral, JVS; Montevechi, JAB; de Queiroz, JA</t>
        </is>
      </c>
      <c r="D385" s="26" t="n">
        <v>2021</v>
      </c>
      <c r="E385" s="27" t="inlineStr">
        <is>
          <t>Decision-making in a fast fashion company in the Industry 4.0 era: a Digital Twin proposal to support operational planning</t>
        </is>
      </c>
      <c r="F385" s="26" t="inlineStr">
        <is>
          <t>INTERNATIONAL JOURNAL OF ADVANCED MANUFACTURING TECHNOLOGY</t>
        </is>
      </c>
      <c r="G385" s="26" t="inlineStr">
        <is>
          <t>Article</t>
        </is>
      </c>
      <c r="H385" s="26" t="inlineStr">
        <is>
          <t>10.1007/s00170-021-07543-z</t>
        </is>
      </c>
      <c r="I385" s="26" t="inlineStr">
        <is>
          <t>TA</t>
        </is>
      </c>
      <c r="J385" s="37" t="inlineStr">
        <is>
          <t>Exclude</t>
        </is>
      </c>
      <c r="K385" s="37" t="inlineStr">
        <is>
          <t>No supply chain scope</t>
        </is>
      </c>
      <c r="L385" s="27" t="n"/>
      <c r="M385" s="37" t="inlineStr">
        <is>
          <t>Gemelo para planeacion operativa en una empresa de moda rapida ("The DT was composed of a Discrete Event Simulation model, an Artificial Intelligence model, and a decision dashboard that provides a user-friendly interface for the decision-maker"); planeacion de recursos de la linea sin encuadre de cadena ni de logistica intra-planta (regla Make, C5, como R0170). Nota: ciclo de decision con humano en el bucle, pertinente como contexto.</t>
        </is>
      </c>
      <c r="N385" s="69" t="inlineStr">
        <is>
          <t>E2</t>
        </is>
      </c>
      <c r="O385" s="69" t="n">
        <v>14</v>
      </c>
      <c r="P385" s="69" t="inlineStr">
        <is>
          <t>Exclude</t>
        </is>
      </c>
      <c r="Q385" s="69" t="inlineStr">
        <is>
          <t>E2</t>
        </is>
      </c>
      <c r="R385" s="69" t="inlineStr">
        <is>
          <t>Gemelo para planeacion operativa en una empresa de moda rapida ("The DT was composed of a Discrete Event Simulation model, an Artificial Intelligence model, and a decision dashboard that provides a user-friendly interface for the decision-maker"); planeacion de recursos de la linea sin encuadre de cadena ni de logistica intra-planta (regla Make, C5, como R0170). Nota: ciclo de decision con humano en el bucle, pertinente como contexto.</t>
        </is>
      </c>
      <c r="S385" s="69" t="n"/>
    </row>
    <row r="386" ht="23.25" customHeight="1" s="17">
      <c r="A386" s="26" t="inlineStr">
        <is>
          <t>R0385</t>
        </is>
      </c>
      <c r="B386" s="26" t="inlineStr">
        <is>
          <t>WoS</t>
        </is>
      </c>
      <c r="C386" s="26" t="inlineStr">
        <is>
          <t>Zacharaki, A; Vafeiadis, T; Kolokas, N; Vaxevani, A; Xu, YC; Peschl, M; Ioannidis, D; Tzovaras, D</t>
        </is>
      </c>
      <c r="D386" s="26" t="n">
        <v>2021</v>
      </c>
      <c r="E386" s="27" t="inlineStr">
        <is>
          <t>RECLAIM: Toward a New Era of Refurbishment and Remanufacturing of Industrial Equipment</t>
        </is>
      </c>
      <c r="F386" s="26" t="inlineStr">
        <is>
          <t>FRONTIERS IN ARTIFICIAL INTELLIGENCE</t>
        </is>
      </c>
      <c r="G386" s="26" t="inlineStr">
        <is>
          <t>Article</t>
        </is>
      </c>
      <c r="H386" s="26" t="inlineStr">
        <is>
          <t>10.3389/frai.2020.570562</t>
        </is>
      </c>
      <c r="I386" s="26" t="inlineStr">
        <is>
          <t>TA</t>
        </is>
      </c>
      <c r="J386" s="37" t="inlineStr">
        <is>
          <t>Exclude</t>
        </is>
      </c>
      <c r="K386" s="37" t="inlineStr">
        <is>
          <t>No supply chain scope</t>
        </is>
      </c>
      <c r="L386" s="27" t="n"/>
      <c r="M386" s="37" t="inlineStr">
        <is>
          <t>Proyecto RECLAIM de remanufactura de equipos con big data, ML y motor de simulacion con gemelos ("RECLAIM provides a simulation engine using digital twin in order to predict maintenance needs and potential faults of large industrial equipment"); decisiones de ciclo de vida de equipos, con la logistica inversa sólo en Keywords Plus, sin encuadre de cadena del estudio.</t>
        </is>
      </c>
      <c r="N386" s="69" t="inlineStr">
        <is>
          <t>E2</t>
        </is>
      </c>
      <c r="O386" s="69" t="n">
        <v>14</v>
      </c>
      <c r="P386" s="69" t="inlineStr">
        <is>
          <t>Exclude</t>
        </is>
      </c>
      <c r="Q386" s="69" t="inlineStr">
        <is>
          <t>E2</t>
        </is>
      </c>
      <c r="R386" s="69" t="inlineStr">
        <is>
          <t>Proyecto RECLAIM de remanufactura de equipos con big data, ML y motor de simulacion con gemelos ("RECLAIM provides a simulation engine using digital twin in order to predict maintenance needs and potential faults of large industrial equipment"); decisiones de ciclo de vida de equipos, con la logistica inversa sólo en Keywords Plus, sin encuadre de cadena del estudio.</t>
        </is>
      </c>
      <c r="S386" s="69" t="n"/>
    </row>
    <row r="387" ht="23.25" customHeight="1" s="17">
      <c r="A387" s="26" t="inlineStr">
        <is>
          <t>R0386</t>
        </is>
      </c>
      <c r="B387" s="26" t="inlineStr">
        <is>
          <t>Scopus</t>
        </is>
      </c>
      <c r="C387" s="26" t="inlineStr">
        <is>
          <t>Zhang L.; Cai Z.Q.; Ghee L.J.</t>
        </is>
      </c>
      <c r="D387" s="26" t="n">
        <v>2020</v>
      </c>
      <c r="E387" s="27" t="inlineStr">
        <is>
          <t>Virtual Commissioning and Machine Learning of a Reconfigurable Assembly System</t>
        </is>
      </c>
      <c r="F387" s="26" t="inlineStr">
        <is>
          <t>2nd International Conference on Industrial Artificial Intelligence, IAI 2020</t>
        </is>
      </c>
      <c r="G387" s="26" t="inlineStr">
        <is>
          <t>Conference paper</t>
        </is>
      </c>
      <c r="H387" s="26" t="inlineStr">
        <is>
          <t>10.1109/iai50351.2020.9262158</t>
        </is>
      </c>
      <c r="I387" s="26" t="inlineStr">
        <is>
          <t>TA</t>
        </is>
      </c>
      <c r="J387" s="37" t="inlineStr">
        <is>
          <t>Exclude</t>
        </is>
      </c>
      <c r="K387" s="37" t="inlineStr">
        <is>
          <t>No supply chain scope</t>
        </is>
      </c>
      <c r="L387" s="27" t="n"/>
      <c r="M387" s="37" t="inlineStr">
        <is>
          <t>Gemelo de puesta en marcha virtual de un sistema de ensamblaje reconfigurable con seis algoritmos de ML ("a virtual commissioning digital twin model for the modularized automatic assembly system running in our lab"); celda de laboratorio sin encuadre de cadena ni logistica (regla Make, C5).</t>
        </is>
      </c>
      <c r="N387" s="69" t="inlineStr">
        <is>
          <t>E2</t>
        </is>
      </c>
      <c r="O387" s="69" t="n">
        <v>14</v>
      </c>
      <c r="P387" s="69" t="inlineStr">
        <is>
          <t>Exclude</t>
        </is>
      </c>
      <c r="Q387" s="69" t="inlineStr">
        <is>
          <t>E2</t>
        </is>
      </c>
      <c r="R387" s="69" t="inlineStr">
        <is>
          <t>Gemelo de puesta en marcha virtual de un sistema de ensamblaje reconfigurable con seis algoritmos de ML ("a virtual commissioning digital twin model for the modularized automatic assembly system running in our lab"); celda de laboratorio sin encuadre de cadena ni logistica (regla Make, C5).</t>
        </is>
      </c>
      <c r="S387" s="69" t="n"/>
    </row>
    <row r="388" ht="23.25" customHeight="1" s="17">
      <c r="A388" s="26" t="inlineStr">
        <is>
          <t>R0387</t>
        </is>
      </c>
      <c r="B388" s="26" t="inlineStr">
        <is>
          <t>WoS</t>
        </is>
      </c>
      <c r="C388" s="26" t="inlineStr">
        <is>
          <t>Liu, Y; Zhang, YF; Ren, S; Yang, MY; Wang, YT; Huisingh, D</t>
        </is>
      </c>
      <c r="D388" s="26" t="n">
        <v>2020</v>
      </c>
      <c r="E388" s="27" t="inlineStr">
        <is>
          <t>How can smart technologies contribute to sustainable product lifecycle management?</t>
        </is>
      </c>
      <c r="F388" s="26" t="inlineStr">
        <is>
          <t>JOURNAL OF CLEANER PRODUCTION</t>
        </is>
      </c>
      <c r="G388" s="26" t="inlineStr">
        <is>
          <t>Article</t>
        </is>
      </c>
      <c r="H388" s="26" t="inlineStr">
        <is>
          <t>10.1016/j.jclepro.2019.119423</t>
        </is>
      </c>
      <c r="I388" s="26" t="inlineStr">
        <is>
          <t>TA</t>
        </is>
      </c>
      <c r="J388" s="37" t="inlineStr">
        <is>
          <t>Exclude</t>
        </is>
      </c>
      <c r="K388" s="37" t="inlineStr">
        <is>
          <t>Wrong publication type</t>
        </is>
      </c>
      <c r="L388" s="27" t="n"/>
      <c r="M388" s="37" t="inlineStr">
        <is>
          <t>Editorial de numero especial virtual ("This Virtual Special Issue (VSI) was proposed on par with the fascinating and exponentially growing development of smart enabling technologies"); no es un estudio. Valor para snowballing: bajo.</t>
        </is>
      </c>
      <c r="N388" s="69" t="inlineStr">
        <is>
          <t>E4</t>
        </is>
      </c>
      <c r="O388" s="69" t="n">
        <v>14</v>
      </c>
      <c r="P388" s="69" t="inlineStr">
        <is>
          <t>Exclude</t>
        </is>
      </c>
      <c r="Q388" s="69" t="inlineStr">
        <is>
          <t>E4</t>
        </is>
      </c>
      <c r="R388" s="69" t="inlineStr">
        <is>
          <t>Editorial de numero especial virtual ("This Virtual Special Issue (VSI) was proposed on par with the fascinating and exponentially growing development of smart enabling technologies"); no es un estudio. Valor para snowballing: bajo.</t>
        </is>
      </c>
      <c r="S388" s="69" t="n"/>
    </row>
    <row r="389" ht="34.5" customHeight="1" s="17">
      <c r="A389" s="26" t="inlineStr">
        <is>
          <t>R0388</t>
        </is>
      </c>
      <c r="B389" s="26" t="inlineStr">
        <is>
          <t>WoS</t>
        </is>
      </c>
      <c r="C389" s="26" t="inlineStr">
        <is>
          <t>Efimov, V; Lapteva, A</t>
        </is>
      </c>
      <c r="D389" s="26" t="n">
        <v>2019</v>
      </c>
      <c r="E389" s="27" t="inlineStr">
        <is>
          <t>DIGITAL TECHNOLOGY IN HIGHER EDUCATION: SITUATION ANALYSIS AND PROSPECTS ASSESSMENT (ON THE EXAMPLE OF KRASNOYARSK KRAI)</t>
        </is>
      </c>
      <c r="F389" s="26" t="inlineStr">
        <is>
          <t>13TH INTERNATIONAL TECHNOLOGY, EDUCATION AND DEVELOPMENT CONFERENCE (INTED2019)</t>
        </is>
      </c>
      <c r="G389" s="26" t="inlineStr">
        <is>
          <t>Proceedings Paper</t>
        </is>
      </c>
      <c r="H389" s="26" t="inlineStr">
        <is>
          <t>10.21125/inted.2019.1392</t>
        </is>
      </c>
      <c r="I389" s="26" t="inlineStr">
        <is>
          <t>TA</t>
        </is>
      </c>
      <c r="J389" s="37" t="inlineStr">
        <is>
          <t>Exclude</t>
        </is>
      </c>
      <c r="K389" s="37" t="inlineStr">
        <is>
          <t>No digital twin/model</t>
        </is>
      </c>
      <c r="L389" s="27" t="n"/>
      <c r="M389" s="37" t="inlineStr">
        <is>
          <t>Analisis de situacion y encuesta a expertos sobre tecnologia digital en educacion superior (regla C4); los modelos digitales sólo como grupo tecnologico listado ("data analytics, digital models, artificial intelligence, augmented and virtual reality, and the blockchain"), C1; también E2.</t>
        </is>
      </c>
      <c r="N389" s="69" t="inlineStr">
        <is>
          <t>E1</t>
        </is>
      </c>
      <c r="O389" s="69" t="n">
        <v>14</v>
      </c>
      <c r="P389" s="69" t="inlineStr">
        <is>
          <t>Exclude</t>
        </is>
      </c>
      <c r="Q389" s="69" t="inlineStr">
        <is>
          <t>E1</t>
        </is>
      </c>
      <c r="R389" s="69" t="inlineStr">
        <is>
          <t>Analisis de situacion y encuesta a expertos sobre tecnologia digital en educacion superior (regla C4); los modelos digitales sólo como grupo tecnologico listado ("data analytics, digital models, artificial intelligence, augmented and virtual reality, and the blockchain"), C1; también E2.</t>
        </is>
      </c>
      <c r="S389" s="69" t="n"/>
    </row>
    <row r="390" ht="23.25" customHeight="1" s="17">
      <c r="A390" s="26" t="inlineStr">
        <is>
          <t>R0389</t>
        </is>
      </c>
      <c r="B390" s="26" t="inlineStr">
        <is>
          <t>Scopus</t>
        </is>
      </c>
      <c r="C390" s="26" t="inlineStr">
        <is>
          <t>Kuehn W.</t>
        </is>
      </c>
      <c r="D390" s="26" t="n">
        <v>2018</v>
      </c>
      <c r="E390" s="27" t="inlineStr">
        <is>
          <t>Digital twins for decision making in complex production and logistic enterprises</t>
        </is>
      </c>
      <c r="F390" s="26" t="inlineStr">
        <is>
          <t>International Journal of Design and Nature and Ecodynamics</t>
        </is>
      </c>
      <c r="G390" s="26" t="inlineStr">
        <is>
          <t>Article</t>
        </is>
      </c>
      <c r="H390" s="26" t="inlineStr">
        <is>
          <t>10.2495/dne-v13-n3-260-271</t>
        </is>
      </c>
      <c r="I390" s="26" t="inlineStr">
        <is>
          <t>TA</t>
        </is>
      </c>
      <c r="J390" s="37" t="inlineStr">
        <is>
          <t>Exclude</t>
        </is>
      </c>
      <c r="K390" s="37" t="inlineStr">
        <is>
          <t>No AI/ML component</t>
        </is>
      </c>
      <c r="L390" s="27" t="n"/>
      <c r="M390" s="37" t="inlineStr">
        <is>
          <t>[Antecedente C8: medio] Recodificado 2026-09-06 en la auditoría final (I→E3): Concepto temprano de gemelo para la decisión operativa en "production and logistic enterprises" ("a digital twin concept can be applied. These digital twins are virtual clones of real systems or subsystems"); la IA sólo como oportunidad enunciada ("With simulation and artificial intelligence technologies new opportunities for operative decision making are possible"), sin papel articulado en el gemelo, a diferencia de la línea Ivanov (C8, primera precisión). Pool medio por gemelo conceptual con logística de planta central. | Nota original (I): Concepto temprano (2018) de gemelos para la decision operativa en empresas de produccion y logistica: "In order to improve operative decision making in production and logistic enterprises a digital twin concept can be applied" y "With simulation and artificial intelligence technologies new opportunities for operative decision making are possible"; conceptual de la linea Ivanov: la IA se presenta como tecnologia habilitadora del propio concepto de gemelo decisional, no como paso futuro (C8, tercera precision), y el ambito es el objeto del articulo. Si el texto completo no trae contenido de IA, cae a E3 con pool de antecedentes (valor medio).</t>
        </is>
      </c>
      <c r="N390" s="69" t="inlineStr">
        <is>
          <t>E3</t>
        </is>
      </c>
      <c r="O390" s="69" t="n">
        <v>14</v>
      </c>
      <c r="P390" s="69" t="inlineStr">
        <is>
          <t>Include</t>
        </is>
      </c>
      <c r="Q390" s="69" t="inlineStr">
        <is>
          <t>I</t>
        </is>
      </c>
      <c r="R390" s="69" t="inlineStr">
        <is>
          <t>Concepto temprano (2018) de gemelos para la decision operativa en empresas de produccion y logistica: "In order to improve operative decision making in production and logistic enterprises a digital twin concept can be applied" y "With simulation and artificial intelligence technologies new opportunities for operative decision making are possible"; conceptual de la linea Ivanov: la IA se presenta como tecnologia habilitadora del propio concepto de gemelo decisional, no como paso futuro (C8, tercera precision), y el ambito es el objeto del articulo. Si el texto completo no trae contenido de IA, cae a E3 con Antecedente C8: medio.</t>
        </is>
      </c>
      <c r="S390" s="69" t="n"/>
    </row>
    <row r="391" ht="15" customHeight="1" s="17">
      <c r="A391" s="26" t="inlineStr">
        <is>
          <t>R0390</t>
        </is>
      </c>
      <c r="B391" s="26" t="inlineStr">
        <is>
          <t>Scopus</t>
        </is>
      </c>
      <c r="C391" s="26" t="inlineStr">
        <is>
          <t>Ruhrmair U.; Solter J.; Sehnke F.; Xu X.; Mahmoud A.; Stoyanova V.; Dror G.; Schmidhuber J.; Burleson W.; Devadas S.</t>
        </is>
      </c>
      <c r="D391" s="26" t="n">
        <v>2013</v>
      </c>
      <c r="E391" s="27" t="inlineStr">
        <is>
          <t>PUF modeling attacks on simulated and silicon data</t>
        </is>
      </c>
      <c r="F391" s="26" t="inlineStr">
        <is>
          <t>IEEE Transactions on Information Forensics and Security</t>
        </is>
      </c>
      <c r="G391" s="26" t="inlineStr">
        <is>
          <t>Article</t>
        </is>
      </c>
      <c r="H391" s="26" t="inlineStr">
        <is>
          <t>10.1109/tifs.2013.2279798</t>
        </is>
      </c>
      <c r="I391" s="26" t="inlineStr">
        <is>
          <t>TA</t>
        </is>
      </c>
      <c r="J391" s="37" t="inlineStr">
        <is>
          <t>Exclude</t>
        </is>
      </c>
      <c r="K391" s="37" t="inlineStr">
        <is>
          <t>No digital twin/model</t>
        </is>
      </c>
      <c r="L391" s="27" t="n"/>
      <c r="M391" s="37" t="inlineStr">
        <is>
          <t>Ataques de modelado a funciones fisicas no clonables con ML; los "digital models of the respective PUFs" son modelos fisicos de simulacion, no de operaciones (C6), C1; también E2.</t>
        </is>
      </c>
      <c r="N391" s="69" t="inlineStr">
        <is>
          <t>E1</t>
        </is>
      </c>
      <c r="O391" s="69" t="n">
        <v>14</v>
      </c>
      <c r="P391" s="69" t="inlineStr">
        <is>
          <t>Exclude</t>
        </is>
      </c>
      <c r="Q391" s="69" t="inlineStr">
        <is>
          <t>E1</t>
        </is>
      </c>
      <c r="R391" s="69" t="inlineStr">
        <is>
          <t>Ataques de modelado a funciones fisicas no clonables con ML; los "digital models of the respective PUFs" son modelos fisicos de simulacion, no de operaciones (C6), C1; también E2.</t>
        </is>
      </c>
      <c r="S391" s="69" t="n"/>
    </row>
    <row r="392" ht="23.25" customHeight="1" s="17">
      <c r="A392" s="26" t="inlineStr">
        <is>
          <t>R0391</t>
        </is>
      </c>
      <c r="B392" s="26" t="inlineStr">
        <is>
          <t>Scopus + WoS</t>
        </is>
      </c>
      <c r="C392" s="26" t="inlineStr">
        <is>
          <t>Pinoski L.; Latos B.; Marigny D.; Jensen T.; Reyes A.D.L.; Helwig B.; Menezes P.L.</t>
        </is>
      </c>
      <c r="D392" s="26" t="n">
        <v>2026</v>
      </c>
      <c r="E392" s="27" t="inlineStr">
        <is>
          <t>Rechargeable Batteries for Grid-Scale Energy Storage: Technologies, Performance, and Emerging Directions</t>
        </is>
      </c>
      <c r="F392" s="26" t="inlineStr">
        <is>
          <t>Batteries</t>
        </is>
      </c>
      <c r="G392" s="26" t="inlineStr">
        <is>
          <t>Review</t>
        </is>
      </c>
      <c r="H392" s="26" t="inlineStr">
        <is>
          <t>10.3390/batteries12070264</t>
        </is>
      </c>
      <c r="I392" s="26" t="inlineStr">
        <is>
          <t>TA</t>
        </is>
      </c>
      <c r="J392" s="37" t="inlineStr">
        <is>
          <t>Exclude</t>
        </is>
      </c>
      <c r="K392" s="37" t="inlineStr">
        <is>
          <t>Wrong publication type</t>
        </is>
      </c>
      <c r="L392" s="31" t="inlineStr">
        <is>
          <t>Review paper: decide include as evidence or use for snowballing</t>
        </is>
      </c>
      <c r="M392" s="37" t="inlineStr">
        <is>
          <t>Revision de baterias para almacenamiento en red ("This review provides a comprehensive account of rechargeable battery technologies"); gemelos e IA sólo para mantenimiento predictivo. Valor para snowballing: bajo.</t>
        </is>
      </c>
      <c r="N392" s="69" t="inlineStr">
        <is>
          <t>E4</t>
        </is>
      </c>
      <c r="O392" s="69" t="n">
        <v>11</v>
      </c>
      <c r="P392" s="69" t="inlineStr">
        <is>
          <t>Exclude</t>
        </is>
      </c>
      <c r="Q392" s="69" t="inlineStr">
        <is>
          <t>E4</t>
        </is>
      </c>
      <c r="R392" s="69" t="inlineStr">
        <is>
          <t>Revision de baterias para almacenamiento en red ("This review provides a comprehensive account of rechargeable battery technologies"); gemelos e IA sólo para mantenimiento predictivo. Valor para snowballing: bajo.</t>
        </is>
      </c>
      <c r="S392" s="69" t="n"/>
    </row>
    <row r="393" ht="23.25" customHeight="1" s="17">
      <c r="A393" s="26" t="inlineStr">
        <is>
          <t>R0392</t>
        </is>
      </c>
      <c r="B393" s="26" t="inlineStr">
        <is>
          <t>Scopus + WoS</t>
        </is>
      </c>
      <c r="C393" s="26" t="inlineStr">
        <is>
          <t>Mansouri S.S.; Reuthe E.; Boskabadi M.R.; Savoie C.J.</t>
        </is>
      </c>
      <c r="D393" s="26" t="n">
        <v>2026</v>
      </c>
      <c r="E393" s="27" t="inlineStr">
        <is>
          <t>AAOSC: Adaptive agent-oriented system control</t>
        </is>
      </c>
      <c r="F393" s="26" t="inlineStr">
        <is>
          <t>Current Opinion in Chemical Engineering</t>
        </is>
      </c>
      <c r="G393" s="26" t="inlineStr">
        <is>
          <t>Review</t>
        </is>
      </c>
      <c r="H393" s="26" t="inlineStr">
        <is>
          <t>10.1016/j.coche.2026.101253</t>
        </is>
      </c>
      <c r="I393" s="26" t="inlineStr">
        <is>
          <t>TA</t>
        </is>
      </c>
      <c r="J393" s="37" t="inlineStr">
        <is>
          <t>Exclude</t>
        </is>
      </c>
      <c r="K393" s="37" t="inlineStr">
        <is>
          <t>Wrong publication type</t>
        </is>
      </c>
      <c r="L393" s="31" t="inlineStr">
        <is>
          <t>Review paper: decide include as evidence or use for snowballing</t>
        </is>
      </c>
      <c r="M393" s="37" t="inlineStr">
        <is>
          <t>Perspectiva (Doc type Review) que propone el marco AAOSC de agentes coordinados por gemelos ("a decentralized control layer built around specialized autonomous agents coordinated through digital twins"), con un caso de "supply chain security" entre cuatro; la cadena es uno de varios dominios. Valor para snowballing: medio. Nota: si lo consideras contribucion primaria, DUDA.</t>
        </is>
      </c>
      <c r="N393" s="69" t="inlineStr">
        <is>
          <t>E4</t>
        </is>
      </c>
      <c r="O393" s="69" t="n">
        <v>11</v>
      </c>
      <c r="P393" s="69" t="inlineStr">
        <is>
          <t>Exclude</t>
        </is>
      </c>
      <c r="Q393" s="69" t="inlineStr">
        <is>
          <t>E4</t>
        </is>
      </c>
      <c r="R393" s="69" t="inlineStr">
        <is>
          <t>Perspectiva (Doc type Review) que propone el marco AAOSC de agentes coordinados por gemelos ("a decentralized control layer built around specialized autonomous agents coordinated through digital twins"), con un caso de "supply chain security" entre cuatro; la cadena es uno de varios dominios. Valor para snowballing: medio. Nota: si lo consideras contribucion primaria, DUDA.</t>
        </is>
      </c>
      <c r="S393" s="69" t="n"/>
    </row>
    <row r="394" ht="23.25" customHeight="1" s="17">
      <c r="A394" s="26" t="inlineStr">
        <is>
          <t>R0393</t>
        </is>
      </c>
      <c r="B394" s="26" t="inlineStr">
        <is>
          <t>Scopus + WoS</t>
        </is>
      </c>
      <c r="C394" s="26" t="inlineStr">
        <is>
          <t>Karmakar A.; Shahriar Hossain M.A.; Hasan Emon M.F.; Yeassin R.; Arefin M.E.; Chakma B.</t>
        </is>
      </c>
      <c r="D394" s="26" t="n">
        <v>2026</v>
      </c>
      <c r="E394" s="27" t="inlineStr">
        <is>
          <t>Digital assisted hydrogen supply chain optimization: a bibliometric and thematic review of methods, trends, and future directions</t>
        </is>
      </c>
      <c r="F394" s="26" t="inlineStr">
        <is>
          <t>Energy Conversion and Management: X</t>
        </is>
      </c>
      <c r="G394" s="26" t="inlineStr">
        <is>
          <t>Review</t>
        </is>
      </c>
      <c r="H394" s="26" t="inlineStr">
        <is>
          <t>10.1016/j.ecmx.2026.102111</t>
        </is>
      </c>
      <c r="I394" s="26" t="inlineStr">
        <is>
          <t>TA</t>
        </is>
      </c>
      <c r="J394" s="37" t="inlineStr">
        <is>
          <t>Exclude</t>
        </is>
      </c>
      <c r="K394" s="37" t="inlineStr">
        <is>
          <t>Wrong publication type</t>
        </is>
      </c>
      <c r="L394" s="31" t="inlineStr">
        <is>
          <t>Review paper: decide include as evidence or use for snowballing</t>
        </is>
      </c>
      <c r="M394" s="37" t="inlineStr">
        <is>
          <t>Bibliometria de optimizacion de la cadena de hidrogeno ("This study presents a bibliometric and thematic analysis of 283"); gemelos sólo como necesidad futura. Valor para snowballing: bajo.</t>
        </is>
      </c>
      <c r="N394" s="69" t="inlineStr">
        <is>
          <t>E4</t>
        </is>
      </c>
      <c r="O394" s="69" t="n">
        <v>11</v>
      </c>
      <c r="P394" s="69" t="inlineStr">
        <is>
          <t>Exclude</t>
        </is>
      </c>
      <c r="Q394" s="69" t="inlineStr">
        <is>
          <t>E4</t>
        </is>
      </c>
      <c r="R394" s="69" t="inlineStr">
        <is>
          <t>Bibliometria de optimizacion de la cadena de hidrogeno ("This study presents a bibliometric and thematic analysis of 283"); gemelos sólo como necesidad futura. Valor para snowballing: bajo.</t>
        </is>
      </c>
      <c r="S394" s="69" t="n"/>
    </row>
    <row r="395" ht="23.25" customHeight="1" s="17">
      <c r="A395" s="26" t="inlineStr">
        <is>
          <t>R0394</t>
        </is>
      </c>
      <c r="B395" s="26" t="inlineStr">
        <is>
          <t>Scopus + WoS</t>
        </is>
      </c>
      <c r="C395" s="26" t="inlineStr">
        <is>
          <t>Jarquin-Segovia R.; Marmolejo-Saucedo J.A.</t>
        </is>
      </c>
      <c r="D395" s="26" t="n">
        <v>2026</v>
      </c>
      <c r="E395" s="27" t="inlineStr">
        <is>
          <t>Optimization Techniques for Improving Economic Profitability Through Supply Chain Processes: A Systematic Literature Review</t>
        </is>
      </c>
      <c r="F395" s="26" t="inlineStr">
        <is>
          <t>Mathematics</t>
        </is>
      </c>
      <c r="G395" s="26" t="inlineStr">
        <is>
          <t>Review</t>
        </is>
      </c>
      <c r="H395" s="26" t="inlineStr">
        <is>
          <t>10.3390/math14010185</t>
        </is>
      </c>
      <c r="I395" s="26" t="inlineStr">
        <is>
          <t>TA</t>
        </is>
      </c>
      <c r="J395" s="37" t="inlineStr">
        <is>
          <t>Exclude</t>
        </is>
      </c>
      <c r="K395" s="37" t="inlineStr">
        <is>
          <t>Wrong publication type</t>
        </is>
      </c>
      <c r="L395" s="31" t="inlineStr">
        <is>
          <t>Review paper: decide include as evidence or use for snowballing</t>
        </is>
      </c>
      <c r="M395" s="37" t="inlineStr">
        <is>
          <t>Revision sistematica PRISMA de tecnicas de optimizacion en cadena ("the PRISMA methodology was employed"); gemelos e IA como brecha de investigacion. Valor para snowballing: bajo.</t>
        </is>
      </c>
      <c r="N395" s="69" t="inlineStr">
        <is>
          <t>E4</t>
        </is>
      </c>
      <c r="O395" s="69" t="n">
        <v>11</v>
      </c>
      <c r="P395" s="69" t="inlineStr">
        <is>
          <t>Exclude</t>
        </is>
      </c>
      <c r="Q395" s="69" t="inlineStr">
        <is>
          <t>E4</t>
        </is>
      </c>
      <c r="R395" s="69" t="inlineStr">
        <is>
          <t>Revision sistematica PRISMA de tecnicas de optimizacion en cadena ("the PRISMA methodology was employed"); gemelos e IA como brecha de investigacion. Valor para snowballing: bajo.</t>
        </is>
      </c>
      <c r="S395" s="69" t="n"/>
    </row>
    <row r="396" ht="23.25" customHeight="1" s="17">
      <c r="A396" s="26" t="inlineStr">
        <is>
          <t>R0395</t>
        </is>
      </c>
      <c r="B396" s="26" t="inlineStr">
        <is>
          <t>Scopus + WoS</t>
        </is>
      </c>
      <c r="C396" s="26" t="inlineStr">
        <is>
          <t>Shamsuddoha M.; Zimmerman H.; Nasir T.; Sakib M.N.</t>
        </is>
      </c>
      <c r="D396" s="26" t="n">
        <v>2026</v>
      </c>
      <c r="E396" s="27" t="inlineStr">
        <is>
          <t>Autonomous Supply Chains: Integrating Artificial Intelligence, Digital Twins, and Predictive Analytics for Intelligent Decision Systems</t>
        </is>
      </c>
      <c r="F396" s="26" t="inlineStr">
        <is>
          <t>Information (Switzerland)</t>
        </is>
      </c>
      <c r="G396" s="26" t="inlineStr">
        <is>
          <t>Review</t>
        </is>
      </c>
      <c r="H396" s="26" t="inlineStr">
        <is>
          <t>10.3390/info17040371</t>
        </is>
      </c>
      <c r="I396" s="26" t="inlineStr">
        <is>
          <t>TA</t>
        </is>
      </c>
      <c r="J396" s="37" t="inlineStr">
        <is>
          <t>Exclude</t>
        </is>
      </c>
      <c r="K396" s="37" t="inlineStr">
        <is>
          <t>Wrong publication type</t>
        </is>
      </c>
      <c r="L396" s="31" t="inlineStr">
        <is>
          <t>Review paper: decide include as evidence or use for snowballing</t>
        </is>
      </c>
      <c r="M396" s="37" t="inlineStr">
        <is>
          <t>Revision estructurada de 52 estudios sobre cadenas autonomas ("Autonomous Supply Chains: Integrating Artificial Intelligence, Digital Twins, and Predictive Analytics") con marco multicapa y "human-AI collaboration in decision-making". Valor para snowballing: alto.</t>
        </is>
      </c>
      <c r="N396" s="69" t="inlineStr">
        <is>
          <t>E4</t>
        </is>
      </c>
      <c r="O396" s="69" t="n">
        <v>11</v>
      </c>
      <c r="P396" s="69" t="inlineStr">
        <is>
          <t>Exclude</t>
        </is>
      </c>
      <c r="Q396" s="69" t="inlineStr">
        <is>
          <t>E4</t>
        </is>
      </c>
      <c r="R396" s="69" t="inlineStr">
        <is>
          <t>Revision estructurada de 52 estudios sobre cadenas autonomas ("Autonomous Supply Chains: Integrating Artificial Intelligence, Digital Twins, and Predictive Analytics") con marco multicapa y "human-AI collaboration in decision-making". Valor para snowballing: alto.</t>
        </is>
      </c>
      <c r="S396" s="69" t="n"/>
    </row>
    <row r="397" ht="34.5" customHeight="1" s="17">
      <c r="A397" s="26" t="inlineStr">
        <is>
          <t>R0396</t>
        </is>
      </c>
      <c r="B397" s="26" t="inlineStr">
        <is>
          <t>Scopus + WoS</t>
        </is>
      </c>
      <c r="C397" s="26" t="inlineStr">
        <is>
          <t>Mao Y.; Zhang M.; Law C.L.; Rui L.</t>
        </is>
      </c>
      <c r="D397" s="26" t="n">
        <v>2026</v>
      </c>
      <c r="E397" s="27" t="inlineStr">
        <is>
          <t>The role of artificial intelligence in enhancing non-invasive quality monitoring in fresh food products supply chains: A comprehensive review</t>
        </is>
      </c>
      <c r="F397" s="26" t="inlineStr">
        <is>
          <t>Food Research International</t>
        </is>
      </c>
      <c r="G397" s="26" t="inlineStr">
        <is>
          <t>Review</t>
        </is>
      </c>
      <c r="H397" s="26" t="inlineStr">
        <is>
          <t>10.1016/j.foodres.2026.118927</t>
        </is>
      </c>
      <c r="I397" s="26" t="inlineStr">
        <is>
          <t>TA</t>
        </is>
      </c>
      <c r="J397" s="37" t="inlineStr">
        <is>
          <t>Exclude</t>
        </is>
      </c>
      <c r="K397" s="37" t="inlineStr">
        <is>
          <t>Wrong publication type</t>
        </is>
      </c>
      <c r="L397" s="31" t="inlineStr">
        <is>
          <t>Review paper: decide include as evidence or use for snowballing</t>
        </is>
      </c>
      <c r="M397" s="37" t="inlineStr">
        <is>
          <t>Revision de monitoreo no invasivo con IA en cadenas de alimentos frescos ("This review systematically summarizes research progress in AI-assisted NIMT"); gemelos sólo como integracion futura. Valor para snowballing: bajo.</t>
        </is>
      </c>
      <c r="N397" s="69" t="inlineStr">
        <is>
          <t>E4</t>
        </is>
      </c>
      <c r="O397" s="69" t="n">
        <v>11</v>
      </c>
      <c r="P397" s="69" t="inlineStr">
        <is>
          <t>Exclude</t>
        </is>
      </c>
      <c r="Q397" s="69" t="inlineStr">
        <is>
          <t>E4</t>
        </is>
      </c>
      <c r="R397" s="69" t="inlineStr">
        <is>
          <t>Revision de monitoreo no invasivo con IA en cadenas de alimentos frescos ("This review systematically summarizes research progress in AI-assisted NIMT"); gemelos sólo como integracion futura. Valor para snowballing: bajo.</t>
        </is>
      </c>
      <c r="S397" s="69" t="n"/>
    </row>
    <row r="398" ht="34.5" customHeight="1" s="17">
      <c r="A398" s="26" t="inlineStr">
        <is>
          <t>R0397</t>
        </is>
      </c>
      <c r="B398" s="26" t="inlineStr">
        <is>
          <t>Scopus + WoS</t>
        </is>
      </c>
      <c r="C398" s="26" t="inlineStr">
        <is>
          <t>Thiyagarajan S.; Cudney E.A.; Chimmani P.; D’silva L.H.; Laux C.M.</t>
        </is>
      </c>
      <c r="D398" s="26" t="n">
        <v>2026</v>
      </c>
      <c r="E398" s="27" t="inlineStr">
        <is>
          <t>Leveraging AI to Build Agile and Resilient Healthcare Supply Chains for Sustainable Performance: A Systematic Scoping Review and Future Directions</t>
        </is>
      </c>
      <c r="F398" s="26" t="inlineStr">
        <is>
          <t>Sustainability (Switzerland)</t>
        </is>
      </c>
      <c r="G398" s="26" t="inlineStr">
        <is>
          <t>Review</t>
        </is>
      </c>
      <c r="H398" s="26" t="inlineStr">
        <is>
          <t>10.3390/su18031434</t>
        </is>
      </c>
      <c r="I398" s="26" t="inlineStr">
        <is>
          <t>TA</t>
        </is>
      </c>
      <c r="J398" s="37" t="inlineStr">
        <is>
          <t>Exclude</t>
        </is>
      </c>
      <c r="K398" s="37" t="inlineStr">
        <is>
          <t>Wrong publication type</t>
        </is>
      </c>
      <c r="L398" s="31" t="inlineStr">
        <is>
          <t>Review paper: decide include as evidence or use for snowballing</t>
        </is>
      </c>
      <c r="M398" s="37" t="inlineStr">
        <is>
          <t>Revision sistematica de alcance sobre IA en cadenas sanitarias ("Using a systematic literature review with PRISMA-style screening"); gemelos como habilitadores estrategicos y agenda sobre "human-AI collaboration, trust calibration". Valor para snowballing: medio.</t>
        </is>
      </c>
      <c r="N398" s="69" t="inlineStr">
        <is>
          <t>E4</t>
        </is>
      </c>
      <c r="O398" s="69" t="n">
        <v>11</v>
      </c>
      <c r="P398" s="69" t="inlineStr">
        <is>
          <t>Exclude</t>
        </is>
      </c>
      <c r="Q398" s="69" t="inlineStr">
        <is>
          <t>E4</t>
        </is>
      </c>
      <c r="R398" s="69" t="inlineStr">
        <is>
          <t>Revision sistematica de alcance sobre IA en cadenas sanitarias ("Using a systematic literature review with PRISMA-style screening"); gemelos como habilitadores estrategicos y agenda sobre "human-AI collaboration, trust calibration". Valor para snowballing: medio.</t>
        </is>
      </c>
      <c r="S398" s="69" t="n"/>
    </row>
    <row r="399" ht="34.5" customHeight="1" s="17">
      <c r="A399" s="26" t="inlineStr">
        <is>
          <t>R0398</t>
        </is>
      </c>
      <c r="B399" s="26" t="inlineStr">
        <is>
          <t>Scopus + WoS</t>
        </is>
      </c>
      <c r="C399" s="26" t="inlineStr">
        <is>
          <t>Mao Y.; Zhang M.; Law C.L.; Rui L.</t>
        </is>
      </c>
      <c r="D399" s="26" t="n">
        <v>2026</v>
      </c>
      <c r="E399" s="27" t="inlineStr">
        <is>
          <t>Next-generation fresh livestock meat supply chains driven by industry 5.0: Towards the integration of ultra-long shelf life and intelligent quality perception</t>
        </is>
      </c>
      <c r="F399" s="26" t="inlineStr">
        <is>
          <t>Trends in Food Science and Technology</t>
        </is>
      </c>
      <c r="G399" s="26" t="inlineStr">
        <is>
          <t>Review</t>
        </is>
      </c>
      <c r="H399" s="26" t="inlineStr">
        <is>
          <t>10.1016/j.tifs.2026.105817</t>
        </is>
      </c>
      <c r="I399" s="26" t="inlineStr">
        <is>
          <t>TA</t>
        </is>
      </c>
      <c r="J399" s="37" t="inlineStr">
        <is>
          <t>Exclude</t>
        </is>
      </c>
      <c r="K399" s="37" t="inlineStr">
        <is>
          <t>Wrong publication type</t>
        </is>
      </c>
      <c r="L399" s="31" t="inlineStr">
        <is>
          <t>Review paper: decide include as evidence or use for snowballing</t>
        </is>
      </c>
      <c r="M399" s="37" t="inlineStr">
        <is>
          <t>Revision de cadenas de carne fresca bajo Industria 5.0 ("This review systematically examines how the Industry 5.0 paradigm reshapes shelf-life extension and quality monitoring"); gemelos y colaboracion humano-maquina en la percepcion inteligente de calidad. Valor para snowballing: medio.</t>
        </is>
      </c>
      <c r="N399" s="69" t="inlineStr">
        <is>
          <t>E4</t>
        </is>
      </c>
      <c r="O399" s="69" t="n">
        <v>11</v>
      </c>
      <c r="P399" s="69" t="inlineStr">
        <is>
          <t>Exclude</t>
        </is>
      </c>
      <c r="Q399" s="69" t="inlineStr">
        <is>
          <t>E4</t>
        </is>
      </c>
      <c r="R399" s="69" t="inlineStr">
        <is>
          <t>Revision de cadenas de carne fresca bajo Industria 5.0 ("This review systematically examines how the Industry 5.0 paradigm reshapes shelf-life extension and quality monitoring"); gemelos y colaboracion humano-maquina en la percepcion inteligente de calidad. Valor para snowballing: medio.</t>
        </is>
      </c>
      <c r="S399" s="69" t="n"/>
    </row>
    <row r="400" ht="23.25" customHeight="1" s="17">
      <c r="A400" s="26" t="inlineStr">
        <is>
          <t>R0399</t>
        </is>
      </c>
      <c r="B400" s="26" t="inlineStr">
        <is>
          <t>Scopus</t>
        </is>
      </c>
      <c r="C400" s="26" t="inlineStr">
        <is>
          <t>Cakir O.E.; Mukul E.; Goker N.</t>
        </is>
      </c>
      <c r="D400" s="26" t="n">
        <v>2026</v>
      </c>
      <c r="E400" s="27" t="inlineStr">
        <is>
          <t>Logistics 5.0: systematic literature review and future trends</t>
        </is>
      </c>
      <c r="F400" s="26" t="inlineStr">
        <is>
          <t>Logistics Research</t>
        </is>
      </c>
      <c r="G400" s="26" t="inlineStr">
        <is>
          <t>Review</t>
        </is>
      </c>
      <c r="H400" s="26" t="inlineStr">
        <is>
          <t>10.1108/lore-09-2025-0116</t>
        </is>
      </c>
      <c r="I400" s="26" t="inlineStr">
        <is>
          <t>TA</t>
        </is>
      </c>
      <c r="J400" s="37" t="inlineStr">
        <is>
          <t>Exclude</t>
        </is>
      </c>
      <c r="K400" s="37" t="inlineStr">
        <is>
          <t>Wrong publication type</t>
        </is>
      </c>
      <c r="L400" s="31" t="inlineStr">
        <is>
          <t>Review paper: decide include as evidence or use for snowballing</t>
        </is>
      </c>
      <c r="M400" s="37" t="inlineStr">
        <is>
          <t>Revision sistematica de Logistica 5.0 ("A systematic literature review was conducted using the Web of Science database"); gemelos e IA como habilitadores del giro humano-centrico. Valor para snowballing: medio.</t>
        </is>
      </c>
      <c r="N400" s="69" t="inlineStr">
        <is>
          <t>E4</t>
        </is>
      </c>
      <c r="O400" s="69" t="n">
        <v>11</v>
      </c>
      <c r="P400" s="69" t="inlineStr">
        <is>
          <t>Exclude</t>
        </is>
      </c>
      <c r="Q400" s="69" t="inlineStr">
        <is>
          <t>E4</t>
        </is>
      </c>
      <c r="R400" s="69" t="inlineStr">
        <is>
          <t>Revision sistematica de Logistica 5.0 ("A systematic literature review was conducted using the Web of Science database"); gemelos e IA como habilitadores del giro humano-centrico. Valor para snowballing: medio.</t>
        </is>
      </c>
      <c r="S400" s="69" t="n"/>
    </row>
    <row r="401" ht="23.25" customHeight="1" s="17">
      <c r="A401" s="26" t="inlineStr">
        <is>
          <t>R0400</t>
        </is>
      </c>
      <c r="B401" s="26" t="inlineStr">
        <is>
          <t>Scopus + WoS</t>
        </is>
      </c>
      <c r="C401" s="26" t="inlineStr">
        <is>
          <t>Malik V.; Bhatia M.</t>
        </is>
      </c>
      <c r="D401" s="26" t="n">
        <v>2026</v>
      </c>
      <c r="E401" s="27" t="inlineStr">
        <is>
          <t>A Scientometric Review of IoT-Driven Digital Transformation in the Oil and Gas Industry</t>
        </is>
      </c>
      <c r="F401" s="26" t="inlineStr">
        <is>
          <t>IEEE Internet of Things Journal</t>
        </is>
      </c>
      <c r="G401" s="26" t="inlineStr">
        <is>
          <t>Review</t>
        </is>
      </c>
      <c r="H401" s="26" t="inlineStr">
        <is>
          <t>10.1109/jiot.2026.3695577</t>
        </is>
      </c>
      <c r="I401" s="26" t="inlineStr">
        <is>
          <t>TA</t>
        </is>
      </c>
      <c r="J401" s="37" t="inlineStr">
        <is>
          <t>Exclude</t>
        </is>
      </c>
      <c r="K401" s="37" t="inlineStr">
        <is>
          <t>Wrong publication type</t>
        </is>
      </c>
      <c r="L401" s="31" t="inlineStr">
        <is>
          <t>Review paper: decide include as evidence or use for snowballing</t>
        </is>
      </c>
      <c r="M401" s="37" t="inlineStr">
        <is>
          <t>Revision cienciometrica de 978 registros sobre IoT en petroleo y gas ("systematic scientometric review of the IoT-driven digital transformation domain"); cadena y logistica como una de cuatro areas. Valor para snowballing: bajo.</t>
        </is>
      </c>
      <c r="N401" s="69" t="inlineStr">
        <is>
          <t>E4</t>
        </is>
      </c>
      <c r="O401" s="69" t="n">
        <v>11</v>
      </c>
      <c r="P401" s="69" t="inlineStr">
        <is>
          <t>Exclude</t>
        </is>
      </c>
      <c r="Q401" s="69" t="inlineStr">
        <is>
          <t>E4</t>
        </is>
      </c>
      <c r="R401" s="69" t="inlineStr">
        <is>
          <t>Revision cienciometrica de 978 registros sobre IoT en petroleo y gas ("systematic scientometric review of the IoT-driven digital transformation domain"); cadena y logistica como una de cuatro areas. Valor para snowballing: bajo.</t>
        </is>
      </c>
      <c r="S401" s="69" t="n"/>
    </row>
    <row r="402" ht="23.25" customHeight="1" s="17">
      <c r="A402" s="26" t="inlineStr">
        <is>
          <t>R0401</t>
        </is>
      </c>
      <c r="B402" s="26" t="inlineStr">
        <is>
          <t>Scopus + WoS</t>
        </is>
      </c>
      <c r="C402" s="26" t="inlineStr">
        <is>
          <t>Meng W.; Li S.; Gao R.; Yue Z.; Tu Z.; Chu D.</t>
        </is>
      </c>
      <c r="D402" s="26" t="n">
        <v>2026</v>
      </c>
      <c r="E402" s="27" t="inlineStr">
        <is>
          <t>Industrial digital twin for intelligent manufacturing: Key technologies, core challenges, applications, and forward-looking trends</t>
        </is>
      </c>
      <c r="F402" s="26" t="inlineStr">
        <is>
          <t>Robotics and Computer-Integrated Manufacturing</t>
        </is>
      </c>
      <c r="G402" s="26" t="inlineStr">
        <is>
          <t>Review</t>
        </is>
      </c>
      <c r="H402" s="26" t="inlineStr">
        <is>
          <t>10.1016/j.rcim.2026.103321</t>
        </is>
      </c>
      <c r="I402" s="26" t="inlineStr">
        <is>
          <t>TA</t>
        </is>
      </c>
      <c r="J402" s="37" t="inlineStr">
        <is>
          <t>Exclude</t>
        </is>
      </c>
      <c r="K402" s="37" t="inlineStr">
        <is>
          <t>Wrong publication type</t>
        </is>
      </c>
      <c r="L402" s="31" t="inlineStr">
        <is>
          <t>Review paper: decide include as evidence or use for snowballing</t>
        </is>
      </c>
      <c r="M402" s="37" t="inlineStr">
        <is>
          <t>Revision del gemelo industrial ("This review summarizes key advances in IDT research"); la cadena sólo como area de aplicacion ("supply-chain optimization"). Valor para snowballing: medio.</t>
        </is>
      </c>
      <c r="N402" s="69" t="inlineStr">
        <is>
          <t>E4</t>
        </is>
      </c>
      <c r="O402" s="69" t="n">
        <v>11</v>
      </c>
      <c r="P402" s="69" t="inlineStr">
        <is>
          <t>Exclude</t>
        </is>
      </c>
      <c r="Q402" s="69" t="inlineStr">
        <is>
          <t>E4</t>
        </is>
      </c>
      <c r="R402" s="69" t="inlineStr">
        <is>
          <t>Revision del gemelo industrial ("This review summarizes key advances in IDT research"); la cadena sólo como area de aplicacion ("supply-chain optimization"). Valor para snowballing: medio.</t>
        </is>
      </c>
      <c r="S402" s="69" t="n"/>
    </row>
    <row r="403" ht="23.25" customHeight="1" s="17">
      <c r="A403" s="26" t="inlineStr">
        <is>
          <t>R0402</t>
        </is>
      </c>
      <c r="B403" s="26" t="inlineStr">
        <is>
          <t>Scopus + WoS</t>
        </is>
      </c>
      <c r="C403" s="26" t="inlineStr">
        <is>
          <t>Zaidi A.A.; Jilani A.; Asif M.; Khan A.L.; Khan S.Z.</t>
        </is>
      </c>
      <c r="D403" s="26" t="n">
        <v>2026</v>
      </c>
      <c r="E403" s="27" t="inlineStr">
        <is>
          <t>The AI revolution in sustainable food processing: From process optimization to a circular bioeconomy</t>
        </is>
      </c>
      <c r="F403" s="26" t="inlineStr">
        <is>
          <t>Food and Bioproducts Processing</t>
        </is>
      </c>
      <c r="G403" s="26" t="inlineStr">
        <is>
          <t>Review</t>
        </is>
      </c>
      <c r="H403" s="26" t="inlineStr">
        <is>
          <t>10.1016/j.fbp.2026.05.013</t>
        </is>
      </c>
      <c r="I403" s="26" t="inlineStr">
        <is>
          <t>TA</t>
        </is>
      </c>
      <c r="J403" s="37" t="inlineStr">
        <is>
          <t>Exclude</t>
        </is>
      </c>
      <c r="K403" s="37" t="inlineStr">
        <is>
          <t>Wrong publication type</t>
        </is>
      </c>
      <c r="L403" s="31" t="inlineStr">
        <is>
          <t>Review paper: decide include as evidence or use for snowballing</t>
        </is>
      </c>
      <c r="M403" s="37" t="inlineStr">
        <is>
          <t>Revision de IA en procesamiento de alimentos ("This review provides a comprehensive, critical assessment of artificial intelligence (AI)"); gemelos como tecnologia complementaria. Valor para snowballing: bajo.</t>
        </is>
      </c>
      <c r="N403" s="69" t="inlineStr">
        <is>
          <t>E4</t>
        </is>
      </c>
      <c r="O403" s="69" t="n">
        <v>11</v>
      </c>
      <c r="P403" s="69" t="inlineStr">
        <is>
          <t>Exclude</t>
        </is>
      </c>
      <c r="Q403" s="69" t="inlineStr">
        <is>
          <t>E4</t>
        </is>
      </c>
      <c r="R403" s="69" t="inlineStr">
        <is>
          <t>Revision de IA en procesamiento de alimentos ("This review provides a comprehensive, critical assessment of artificial intelligence (AI)"); gemelos como tecnologia complementaria. Valor para snowballing: bajo.</t>
        </is>
      </c>
      <c r="S403" s="69" t="n"/>
    </row>
    <row r="404" ht="34.5" customHeight="1" s="17">
      <c r="A404" s="26" t="inlineStr">
        <is>
          <t>R0403</t>
        </is>
      </c>
      <c r="B404" s="26" t="inlineStr">
        <is>
          <t>Scopus + WoS</t>
        </is>
      </c>
      <c r="C404" s="26" t="inlineStr">
        <is>
          <t>Deligiannis A.; Madas M.</t>
        </is>
      </c>
      <c r="D404" s="26" t="n">
        <v>2026</v>
      </c>
      <c r="E404" s="27" t="inlineStr">
        <is>
          <t>Operational AI for Multimodal Urban Transport: A Systematic Literature Review and Deployment Framework for Multi-Objective Control and Electrification</t>
        </is>
      </c>
      <c r="F404" s="26" t="inlineStr">
        <is>
          <t>Logistics</t>
        </is>
      </c>
      <c r="G404" s="26" t="inlineStr">
        <is>
          <t>Review</t>
        </is>
      </c>
      <c r="H404" s="26" t="inlineStr">
        <is>
          <t>10.3390/logistics10020029</t>
        </is>
      </c>
      <c r="I404" s="26" t="inlineStr">
        <is>
          <t>TA</t>
        </is>
      </c>
      <c r="J404" s="37" t="inlineStr">
        <is>
          <t>Exclude</t>
        </is>
      </c>
      <c r="K404" s="37" t="inlineStr">
        <is>
          <t>Wrong publication type</t>
        </is>
      </c>
      <c r="L404" s="31" t="inlineStr">
        <is>
          <t>Review paper: decide include as evidence or use for snowballing</t>
        </is>
      </c>
      <c r="M404" s="37" t="inlineStr">
        <is>
          <t>Revision sistematica PRISMA 2020 de 145 estudios con marco de despliegue ("This study presents a systematic review and synthesis of 145 peer-reviewed studies"); transporte urbano multimodal, gemelos como tema revisado. Valor para snowballing: medio.</t>
        </is>
      </c>
      <c r="N404" s="69" t="inlineStr">
        <is>
          <t>E4</t>
        </is>
      </c>
      <c r="O404" s="69" t="n">
        <v>11</v>
      </c>
      <c r="P404" s="69" t="inlineStr">
        <is>
          <t>Exclude</t>
        </is>
      </c>
      <c r="Q404" s="69" t="inlineStr">
        <is>
          <t>E4</t>
        </is>
      </c>
      <c r="R404" s="69" t="inlineStr">
        <is>
          <t>Revision sistematica PRISMA 2020 de 145 estudios con marco de despliegue ("This study presents a systematic review and synthesis of 145 peer-reviewed studies"); transporte urbano multimodal, gemelos como tema revisado. Valor para snowballing: medio.</t>
        </is>
      </c>
      <c r="S404" s="69" t="n"/>
    </row>
    <row r="405" ht="23.25" customHeight="1" s="17">
      <c r="A405" s="26" t="inlineStr">
        <is>
          <t>R0404</t>
        </is>
      </c>
      <c r="B405" s="26" t="inlineStr">
        <is>
          <t>Scopus + WoS</t>
        </is>
      </c>
      <c r="C405" s="26" t="inlineStr">
        <is>
          <t>Ahmad A.; Murad M.; Utra U.; Yussof N.S.; Fazial F.F.; Lazim A.; Fazry S.; Law D.</t>
        </is>
      </c>
      <c r="D405" s="26" t="n">
        <v>2026</v>
      </c>
      <c r="E405" s="27" t="inlineStr">
        <is>
          <t>Transforming Food Systems with Artificial Intelligence: Challenges, Governance, and Pathways for Sustainable Integration</t>
        </is>
      </c>
      <c r="F405" s="26" t="inlineStr">
        <is>
          <t>Food Reviews International</t>
        </is>
      </c>
      <c r="G405" s="26" t="inlineStr">
        <is>
          <t>Review</t>
        </is>
      </c>
      <c r="H405" s="26" t="inlineStr">
        <is>
          <t>10.1080/87559129.2025.2585134</t>
        </is>
      </c>
      <c r="I405" s="26" t="inlineStr">
        <is>
          <t>TA</t>
        </is>
      </c>
      <c r="J405" s="37" t="inlineStr">
        <is>
          <t>Exclude</t>
        </is>
      </c>
      <c r="K405" s="37" t="inlineStr">
        <is>
          <t>Wrong publication type</t>
        </is>
      </c>
      <c r="L405" s="31" t="inlineStr">
        <is>
          <t>Review paper: decide include as evidence or use for snowballing</t>
        </is>
      </c>
      <c r="M405" s="37" t="inlineStr">
        <is>
          <t>Revision de IA en sistemas alimentarios con enfoque de gobernanza ("this paper uniquely integrates governance frameworks, ethical considerations, and regional disparities"); gemelos como herramienta listada. Valor para snowballing: bajo.</t>
        </is>
      </c>
      <c r="N405" s="69" t="inlineStr">
        <is>
          <t>E4</t>
        </is>
      </c>
      <c r="O405" s="69" t="n">
        <v>11</v>
      </c>
      <c r="P405" s="69" t="inlineStr">
        <is>
          <t>Exclude</t>
        </is>
      </c>
      <c r="Q405" s="69" t="inlineStr">
        <is>
          <t>E4</t>
        </is>
      </c>
      <c r="R405" s="69" t="inlineStr">
        <is>
          <t>Revision de IA en sistemas alimentarios con enfoque de gobernanza ("this paper uniquely integrates governance frameworks, ethical considerations, and regional disparities"); gemelos como herramienta listada. Valor para snowballing: bajo.</t>
        </is>
      </c>
      <c r="S405" s="69" t="n"/>
    </row>
    <row r="406" ht="23.25" customHeight="1" s="17">
      <c r="A406" s="26" t="inlineStr">
        <is>
          <t>R0405</t>
        </is>
      </c>
      <c r="B406" s="26" t="inlineStr">
        <is>
          <t>Scopus + WoS</t>
        </is>
      </c>
      <c r="C406" s="26" t="inlineStr">
        <is>
          <t>Miller T.; Durlik I.</t>
        </is>
      </c>
      <c r="D406" s="26" t="n">
        <v>2026</v>
      </c>
      <c r="E406" s="27" t="inlineStr">
        <is>
          <t>How Far from the Shore? Federated Maritime Intelligence for Autonomous Ship and Harbor Maneuvering</t>
        </is>
      </c>
      <c r="F406" s="26" t="inlineStr">
        <is>
          <t>Applied Sciences (Switzerland)</t>
        </is>
      </c>
      <c r="G406" s="26" t="inlineStr">
        <is>
          <t>Review</t>
        </is>
      </c>
      <c r="H406" s="26" t="inlineStr">
        <is>
          <t>10.3390/app16126210</t>
        </is>
      </c>
      <c r="I406" s="26" t="inlineStr">
        <is>
          <t>TA</t>
        </is>
      </c>
      <c r="J406" s="37" t="inlineStr">
        <is>
          <t>Exclude</t>
        </is>
      </c>
      <c r="K406" s="37" t="inlineStr">
        <is>
          <t>Wrong publication type</t>
        </is>
      </c>
      <c r="L406" s="31" t="inlineStr">
        <is>
          <t>Review paper: decide include as evidence or use for snowballing</t>
        </is>
      </c>
      <c r="M406" s="37" t="inlineStr">
        <is>
          <t>Revision critica orientada a arquitectura ("This study presents an architecture-oriented critical review of autonomous ship and harbor maneuvering research"); capa de federacion de gemelos, agentes y supervision humana en logistica portuaria. Valor para snowballing: medio.</t>
        </is>
      </c>
      <c r="N406" s="69" t="inlineStr">
        <is>
          <t>E4</t>
        </is>
      </c>
      <c r="O406" s="69" t="n">
        <v>11</v>
      </c>
      <c r="P406" s="69" t="inlineStr">
        <is>
          <t>Exclude</t>
        </is>
      </c>
      <c r="Q406" s="69" t="inlineStr">
        <is>
          <t>E4</t>
        </is>
      </c>
      <c r="R406" s="69" t="inlineStr">
        <is>
          <t>Revision critica orientada a arquitectura ("This study presents an architecture-oriented critical review of autonomous ship and harbor maneuvering research"); capa de federacion de gemelos, agentes y supervision humana en logistica portuaria. Valor para snowballing: medio.</t>
        </is>
      </c>
      <c r="S406" s="69" t="n"/>
    </row>
    <row r="407" ht="34.5" customHeight="1" s="17">
      <c r="A407" s="26" t="inlineStr">
        <is>
          <t>R0406</t>
        </is>
      </c>
      <c r="B407" s="26" t="inlineStr">
        <is>
          <t>Scopus + WoS</t>
        </is>
      </c>
      <c r="C407" s="26" t="inlineStr">
        <is>
          <t>Gonzalez J.; Wang J.</t>
        </is>
      </c>
      <c r="D407" s="26" t="n">
        <v>2026</v>
      </c>
      <c r="E407" s="27" t="inlineStr">
        <is>
          <t>Optimizing Biomass Feedstock Logistics Using AI for Integrated Multimodal Transport in Bioenergy and Bioproduct Systems: A Review</t>
        </is>
      </c>
      <c r="F407" s="26" t="inlineStr">
        <is>
          <t>Logistics</t>
        </is>
      </c>
      <c r="G407" s="26" t="inlineStr">
        <is>
          <t>Review</t>
        </is>
      </c>
      <c r="H407" s="26" t="inlineStr">
        <is>
          <t>10.3390/logistics10030054</t>
        </is>
      </c>
      <c r="I407" s="26" t="inlineStr">
        <is>
          <t>TA</t>
        </is>
      </c>
      <c r="J407" s="37" t="inlineStr">
        <is>
          <t>Exclude</t>
        </is>
      </c>
      <c r="K407" s="37" t="inlineStr">
        <is>
          <t>Wrong publication type</t>
        </is>
      </c>
      <c r="L407" s="31" t="inlineStr">
        <is>
          <t>Review paper: decide include as evidence or use for snowballing</t>
        </is>
      </c>
      <c r="M407" s="37" t="inlineStr">
        <is>
          <t>Revision de logistica de biomasa con IA y transporte multimodal ("This study analyzes how combining artificial intelligence (AI) with multimodal transport can optimize"); gemelos y ML para pronostico y ruteo. Valor para snowballing: medio.</t>
        </is>
      </c>
      <c r="N407" s="69" t="inlineStr">
        <is>
          <t>E4</t>
        </is>
      </c>
      <c r="O407" s="69" t="n">
        <v>11</v>
      </c>
      <c r="P407" s="69" t="inlineStr">
        <is>
          <t>Exclude</t>
        </is>
      </c>
      <c r="Q407" s="69" t="inlineStr">
        <is>
          <t>E4</t>
        </is>
      </c>
      <c r="R407" s="69" t="inlineStr">
        <is>
          <t>Revision de logistica de biomasa con IA y transporte multimodal ("This study analyzes how combining artificial intelligence (AI) with multimodal transport can optimize"); gemelos y ML para pronostico y ruteo. Valor para snowballing: medio.</t>
        </is>
      </c>
      <c r="S407" s="69" t="n"/>
    </row>
    <row r="408" ht="34.5" customHeight="1" s="17">
      <c r="A408" s="26" t="inlineStr">
        <is>
          <t>R0407</t>
        </is>
      </c>
      <c r="B408" s="26" t="inlineStr">
        <is>
          <t>Scopus + WoS</t>
        </is>
      </c>
      <c r="C408" s="26" t="inlineStr">
        <is>
          <t>Zulkifli M.N.</t>
        </is>
      </c>
      <c r="D408" s="26" t="n">
        <v>2026</v>
      </c>
      <c r="E408" s="27" t="inlineStr">
        <is>
          <t>The science-governed interface: a critical review of advanced metallization, intelligent control and characterization strategies for wire bonding technology</t>
        </is>
      </c>
      <c r="F408" s="26" t="inlineStr">
        <is>
          <t>Microelectronics International</t>
        </is>
      </c>
      <c r="G408" s="26" t="inlineStr">
        <is>
          <t>Review</t>
        </is>
      </c>
      <c r="H408" s="26" t="inlineStr">
        <is>
          <t>10.1108/mi-02-2026-0046</t>
        </is>
      </c>
      <c r="I408" s="26" t="inlineStr">
        <is>
          <t>TA</t>
        </is>
      </c>
      <c r="J408" s="37" t="inlineStr">
        <is>
          <t>Exclude</t>
        </is>
      </c>
      <c r="K408" s="37" t="inlineStr">
        <is>
          <t>Wrong publication type</t>
        </is>
      </c>
      <c r="L408" s="31" t="inlineStr">
        <is>
          <t>Review paper: decide include as evidence or use for snowballing</t>
        </is>
      </c>
      <c r="M408" s="37" t="inlineStr">
        <is>
          <t>Revision critica de wire bonding ("This critical synthesis review combines a systematic literature search (2020-2025)"); cadena sólo como resiliencia de suministro. Valor para snowballing: bajo.</t>
        </is>
      </c>
      <c r="N408" s="69" t="inlineStr">
        <is>
          <t>E4</t>
        </is>
      </c>
      <c r="O408" s="69" t="n">
        <v>11</v>
      </c>
      <c r="P408" s="69" t="inlineStr">
        <is>
          <t>Exclude</t>
        </is>
      </c>
      <c r="Q408" s="69" t="inlineStr">
        <is>
          <t>E4</t>
        </is>
      </c>
      <c r="R408" s="69" t="inlineStr">
        <is>
          <t>Revision critica de wire bonding ("This critical synthesis review combines a systematic literature search (2020-2025)"); cadena sólo como resiliencia de suministro. Valor para snowballing: bajo.</t>
        </is>
      </c>
      <c r="S408" s="69" t="n"/>
    </row>
    <row r="409" ht="23.25" customHeight="1" s="17">
      <c r="A409" s="26" t="inlineStr">
        <is>
          <t>R0408</t>
        </is>
      </c>
      <c r="B409" s="26" t="inlineStr">
        <is>
          <t>Scopus + WoS</t>
        </is>
      </c>
      <c r="C409" s="26" t="inlineStr">
        <is>
          <t>Dorgham M.J.M.; Kayvanfar V.; Baldacci R.</t>
        </is>
      </c>
      <c r="D409" s="26" t="n">
        <v>2026</v>
      </c>
      <c r="E409" s="27" t="inlineStr">
        <is>
          <t>A Systematic Review of Advances, Challenges, and Optimization Strategies in Maintenance Logistics for Airside Operations</t>
        </is>
      </c>
      <c r="F409" s="26" t="inlineStr">
        <is>
          <t>IEEE Access</t>
        </is>
      </c>
      <c r="G409" s="26" t="inlineStr">
        <is>
          <t>Review</t>
        </is>
      </c>
      <c r="H409" s="26" t="inlineStr">
        <is>
          <t>10.1109/access.2026.3651544</t>
        </is>
      </c>
      <c r="I409" s="26" t="inlineStr">
        <is>
          <t>TA</t>
        </is>
      </c>
      <c r="J409" s="37" t="inlineStr">
        <is>
          <t>Exclude</t>
        </is>
      </c>
      <c r="K409" s="37" t="inlineStr">
        <is>
          <t>Wrong publication type</t>
        </is>
      </c>
      <c r="L409" s="31" t="inlineStr">
        <is>
          <t>Review paper: decide include as evidence or use for snowballing</t>
        </is>
      </c>
      <c r="M409" s="37" t="inlineStr">
        <is>
          <t>Revision sistematica de logistica de mantenimiento en operaciones de plataforma ("This study presents a systematic review of the literature on maintenance logistics in airside operations"); ML y gemelos descritos aisladamente, brecha en interaccion humano-maquina. Valor para snowballing: medio.</t>
        </is>
      </c>
      <c r="N409" s="69" t="inlineStr">
        <is>
          <t>E4</t>
        </is>
      </c>
      <c r="O409" s="69" t="n">
        <v>11</v>
      </c>
      <c r="P409" s="69" t="inlineStr">
        <is>
          <t>Exclude</t>
        </is>
      </c>
      <c r="Q409" s="69" t="inlineStr">
        <is>
          <t>E4</t>
        </is>
      </c>
      <c r="R409" s="69" t="inlineStr">
        <is>
          <t>Revision sistematica de logistica de mantenimiento en operaciones de plataforma ("This study presents a systematic review of the literature on maintenance logistics in airside operations"); ML y gemelos descritos aisladamente, brecha en interaccion humano-maquina. Valor para snowballing: medio.</t>
        </is>
      </c>
      <c r="S409" s="69" t="n"/>
    </row>
    <row r="410" ht="23.25" customHeight="1" s="17">
      <c r="A410" s="26" t="inlineStr">
        <is>
          <t>R0409</t>
        </is>
      </c>
      <c r="B410" s="26" t="inlineStr">
        <is>
          <t>Scopus + WoS</t>
        </is>
      </c>
      <c r="C410" s="26" t="inlineStr">
        <is>
          <t>Slamani M.; Louhichi B.; Amroune S.; Jawaid M.</t>
        </is>
      </c>
      <c r="D410" s="26" t="n">
        <v>2026</v>
      </c>
      <c r="E410" s="27" t="inlineStr">
        <is>
          <t>Next-Generation Composite Materials and Manufacturing: A Review of Smart, Sustainable, and Digital Advancements</t>
        </is>
      </c>
      <c r="F410" s="26" t="inlineStr">
        <is>
          <t>Advanced Materials Technologies</t>
        </is>
      </c>
      <c r="G410" s="26" t="inlineStr">
        <is>
          <t>Review</t>
        </is>
      </c>
      <c r="H410" s="26" t="inlineStr">
        <is>
          <t>10.1002/admt.202501409</t>
        </is>
      </c>
      <c r="I410" s="26" t="inlineStr">
        <is>
          <t>TA</t>
        </is>
      </c>
      <c r="J410" s="37" t="inlineStr">
        <is>
          <t>Exclude</t>
        </is>
      </c>
      <c r="K410" s="37" t="inlineStr">
        <is>
          <t>Wrong publication type</t>
        </is>
      </c>
      <c r="L410" s="31" t="inlineStr">
        <is>
          <t>Review paper: decide include as evidence or use for snowballing</t>
        </is>
      </c>
      <c r="M410" s="37" t="inlineStr">
        <is>
          <t>Revision de composites sostenibles y digitales ("This critical review examines recent advances in sustainable digital composite manufacturing"); gemelos e IA como eficiencia productiva. Valor para snowballing: bajo.</t>
        </is>
      </c>
      <c r="N410" s="69" t="inlineStr">
        <is>
          <t>E4</t>
        </is>
      </c>
      <c r="O410" s="69" t="n">
        <v>11</v>
      </c>
      <c r="P410" s="69" t="inlineStr">
        <is>
          <t>Exclude</t>
        </is>
      </c>
      <c r="Q410" s="69" t="inlineStr">
        <is>
          <t>E4</t>
        </is>
      </c>
      <c r="R410" s="69" t="inlineStr">
        <is>
          <t>Revision de composites sostenibles y digitales ("This critical review examines recent advances in sustainable digital composite manufacturing"); gemelos e IA como eficiencia productiva. Valor para snowballing: bajo.</t>
        </is>
      </c>
      <c r="S410" s="69" t="n"/>
    </row>
    <row r="411" ht="23.25" customHeight="1" s="17">
      <c r="A411" s="26" t="inlineStr">
        <is>
          <t>R0410</t>
        </is>
      </c>
      <c r="B411" s="26" t="inlineStr">
        <is>
          <t>Scopus + WoS</t>
        </is>
      </c>
      <c r="C411" s="26" t="inlineStr">
        <is>
          <t>Salawu G.; Glen B.</t>
        </is>
      </c>
      <c r="D411" s="26" t="n">
        <v>2026</v>
      </c>
      <c r="E411" s="27" t="inlineStr">
        <is>
          <t>Quantum Computing as a Disruptive Technology: Implications for Advanced Manufacturing and Industry 5.0</t>
        </is>
      </c>
      <c r="F411" s="26" t="inlineStr">
        <is>
          <t>Applied Sciences (Switzerland)</t>
        </is>
      </c>
      <c r="G411" s="26" t="inlineStr">
        <is>
          <t>Review</t>
        </is>
      </c>
      <c r="H411" s="26" t="inlineStr">
        <is>
          <t>10.3390/app16104856</t>
        </is>
      </c>
      <c r="I411" s="26" t="inlineStr">
        <is>
          <t>TA</t>
        </is>
      </c>
      <c r="J411" s="37" t="inlineStr">
        <is>
          <t>Exclude</t>
        </is>
      </c>
      <c r="K411" s="37" t="inlineStr">
        <is>
          <t>Wrong publication type</t>
        </is>
      </c>
      <c r="L411" s="31" t="inlineStr">
        <is>
          <t>Review paper: decide include as evidence or use for snowballing</t>
        </is>
      </c>
      <c r="M411" s="37" t="inlineStr">
        <is>
          <t>Revision de computacion cuantica para Industria 5.0 ("This paper offers a comprehensive and critical review of the potential impacts of quantum computing"); gemelos y cadena como temas. Valor para snowballing: bajo.</t>
        </is>
      </c>
      <c r="N411" s="69" t="inlineStr">
        <is>
          <t>E4</t>
        </is>
      </c>
      <c r="O411" s="69" t="n">
        <v>11</v>
      </c>
      <c r="P411" s="69" t="inlineStr">
        <is>
          <t>Exclude</t>
        </is>
      </c>
      <c r="Q411" s="69" t="inlineStr">
        <is>
          <t>E4</t>
        </is>
      </c>
      <c r="R411" s="69" t="inlineStr">
        <is>
          <t>Revision de computacion cuantica para Industria 5.0 ("This paper offers a comprehensive and critical review of the potential impacts of quantum computing"); gemelos y cadena como temas. Valor para snowballing: bajo.</t>
        </is>
      </c>
      <c r="S411" s="69" t="n"/>
    </row>
    <row r="412" ht="23.25" customHeight="1" s="17">
      <c r="A412" s="26" t="inlineStr">
        <is>
          <t>R0411</t>
        </is>
      </c>
      <c r="B412" s="26" t="inlineStr">
        <is>
          <t>Scopus + WoS</t>
        </is>
      </c>
      <c r="C412" s="26" t="inlineStr">
        <is>
          <t>Zeng F.; Zhang M.; Law C.L.; Rui L.</t>
        </is>
      </c>
      <c r="D412" s="26" t="n">
        <v>2026</v>
      </c>
      <c r="E412" s="27" t="inlineStr">
        <is>
          <t>Intelligent label systems in fresh food supply chain: from single-function to multi-parameter integration</t>
        </is>
      </c>
      <c r="F412" s="26" t="inlineStr">
        <is>
          <t>Trends in Food Science and Technology</t>
        </is>
      </c>
      <c r="G412" s="26" t="inlineStr">
        <is>
          <t>Review</t>
        </is>
      </c>
      <c r="H412" s="26" t="inlineStr">
        <is>
          <t>10.1016/j.tifs.2026.105670</t>
        </is>
      </c>
      <c r="I412" s="26" t="inlineStr">
        <is>
          <t>TA</t>
        </is>
      </c>
      <c r="J412" s="37" t="inlineStr">
        <is>
          <t>Exclude</t>
        </is>
      </c>
      <c r="K412" s="37" t="inlineStr">
        <is>
          <t>Wrong publication type</t>
        </is>
      </c>
      <c r="L412" s="31" t="inlineStr">
        <is>
          <t>Review paper: decide include as evidence or use for snowballing</t>
        </is>
      </c>
      <c r="M412" s="37" t="inlineStr">
        <is>
          <t>Revision de etiquetas inteligentes en cadenas de alimentos frescos ("This paper systematically reviews research progress and future trends in intelligent multi-parameter integrated labels"); gemelos entre las tecnologias. Valor para snowballing: bajo.</t>
        </is>
      </c>
      <c r="N412" s="69" t="inlineStr">
        <is>
          <t>E4</t>
        </is>
      </c>
      <c r="O412" s="69" t="n">
        <v>11</v>
      </c>
      <c r="P412" s="69" t="inlineStr">
        <is>
          <t>Exclude</t>
        </is>
      </c>
      <c r="Q412" s="69" t="inlineStr">
        <is>
          <t>E4</t>
        </is>
      </c>
      <c r="R412" s="69" t="inlineStr">
        <is>
          <t>Revision de etiquetas inteligentes en cadenas de alimentos frescos ("This paper systematically reviews research progress and future trends in intelligent multi-parameter integrated labels"); gemelos entre las tecnologias. Valor para snowballing: bajo.</t>
        </is>
      </c>
      <c r="S412" s="69" t="n"/>
    </row>
    <row r="413" ht="23.25" customHeight="1" s="17">
      <c r="A413" s="26" t="inlineStr">
        <is>
          <t>R0412</t>
        </is>
      </c>
      <c r="B413" s="26" t="inlineStr">
        <is>
          <t>Scopus + WoS</t>
        </is>
      </c>
      <c r="C413" s="26" t="inlineStr">
        <is>
          <t>Ahmadi L.; Bilal M.; Olumo A.; Mollaei A.; Jalaei F.; Ebrahimi N.; Mozaffari H.; Kim J.; Haas C.</t>
        </is>
      </c>
      <c r="D413" s="26" t="n">
        <v>2026</v>
      </c>
      <c r="E413" s="27" t="inlineStr">
        <is>
          <t>Enhancing Circularity in the Building Industry: A Review of Material Passports and Digital Twin Technologies</t>
        </is>
      </c>
      <c r="F413" s="26" t="inlineStr">
        <is>
          <t>Journal of Construction Engineering and Management</t>
        </is>
      </c>
      <c r="G413" s="26" t="inlineStr">
        <is>
          <t>Review</t>
        </is>
      </c>
      <c r="H413" s="26" t="inlineStr">
        <is>
          <t>10.1061/jcemd4.coeng-16899</t>
        </is>
      </c>
      <c r="I413" s="26" t="inlineStr">
        <is>
          <t>TA</t>
        </is>
      </c>
      <c r="J413" s="37" t="inlineStr">
        <is>
          <t>Exclude</t>
        </is>
      </c>
      <c r="K413" s="37" t="inlineStr">
        <is>
          <t>Wrong publication type</t>
        </is>
      </c>
      <c r="L413" s="31" t="inlineStr">
        <is>
          <t>Review paper: decide include as evidence or use for snowballing</t>
        </is>
      </c>
      <c r="M413" s="37" t="inlineStr">
        <is>
          <t>Revision sistematica PRISMA de pasaportes de materiales y gemelos en construccion ("This systematic review assesses the current state of research"); gemelo como gestor de datos (C6). Valor para snowballing: bajo.</t>
        </is>
      </c>
      <c r="N413" s="69" t="inlineStr">
        <is>
          <t>E4</t>
        </is>
      </c>
      <c r="O413" s="69" t="n">
        <v>11</v>
      </c>
      <c r="P413" s="69" t="inlineStr">
        <is>
          <t>Exclude</t>
        </is>
      </c>
      <c r="Q413" s="69" t="inlineStr">
        <is>
          <t>E4</t>
        </is>
      </c>
      <c r="R413" s="69" t="inlineStr">
        <is>
          <t>Revision sistematica PRISMA de pasaportes de materiales y gemelos en construccion ("This systematic review assesses the current state of research"); gemelo como gestor de datos (C6). Valor para snowballing: bajo.</t>
        </is>
      </c>
      <c r="S413" s="69" t="n"/>
    </row>
    <row r="414" ht="23.25" customHeight="1" s="17">
      <c r="A414" s="26" t="inlineStr">
        <is>
          <t>R0413</t>
        </is>
      </c>
      <c r="B414" s="26" t="inlineStr">
        <is>
          <t>Scopus + WoS</t>
        </is>
      </c>
      <c r="C414" s="26" t="inlineStr">
        <is>
          <t>Salehi A.; Babaei A.; Hamidi H.</t>
        </is>
      </c>
      <c r="D414" s="26" t="n">
        <v>2026</v>
      </c>
      <c r="E414" s="27" t="inlineStr">
        <is>
          <t>AI-Driven Strategies for Supply Chain Resilience: A Review of Challenges and Solutions During Pandemics</t>
        </is>
      </c>
      <c r="F414" s="26" t="inlineStr">
        <is>
          <t>International Journal of Engineering, Transactions B: Applications</t>
        </is>
      </c>
      <c r="G414" s="26" t="inlineStr">
        <is>
          <t>Review</t>
        </is>
      </c>
      <c r="H414" s="26" t="inlineStr">
        <is>
          <t>10.5829/ije.2026.39.03c.03</t>
        </is>
      </c>
      <c r="I414" s="26" t="inlineStr">
        <is>
          <t>TA</t>
        </is>
      </c>
      <c r="J414" s="37" t="inlineStr">
        <is>
          <t>Exclude</t>
        </is>
      </c>
      <c r="K414" s="37" t="inlineStr">
        <is>
          <t>Wrong publication type</t>
        </is>
      </c>
      <c r="L414" s="31" t="inlineStr">
        <is>
          <t>Review paper: decide include as evidence or use for snowballing</t>
        </is>
      </c>
      <c r="M414" s="37" t="inlineStr">
        <is>
          <t>Revision de estrategias de IA para resiliencia de cadena en pandemias ("This review addresses this gap by analyzing how AI/ML technologies mitigated disruptions"); propone integrar gemelos. Valor para snowballing: medio.</t>
        </is>
      </c>
      <c r="N414" s="69" t="inlineStr">
        <is>
          <t>E4</t>
        </is>
      </c>
      <c r="O414" s="69" t="n">
        <v>11</v>
      </c>
      <c r="P414" s="69" t="inlineStr">
        <is>
          <t>Exclude</t>
        </is>
      </c>
      <c r="Q414" s="69" t="inlineStr">
        <is>
          <t>E4</t>
        </is>
      </c>
      <c r="R414" s="69" t="inlineStr">
        <is>
          <t>Revision de estrategias de IA para resiliencia de cadena en pandemias ("This review addresses this gap by analyzing how AI/ML technologies mitigated disruptions"); propone integrar gemelos. Valor para snowballing: medio.</t>
        </is>
      </c>
      <c r="S414" s="69" t="n"/>
    </row>
    <row r="415" ht="34.5" customHeight="1" s="17">
      <c r="A415" s="26" t="inlineStr">
        <is>
          <t>R0414</t>
        </is>
      </c>
      <c r="B415" s="26" t="inlineStr">
        <is>
          <t>Scopus + WoS</t>
        </is>
      </c>
      <c r="C415" s="26" t="inlineStr">
        <is>
          <t>Hasmee N.; Joshi H.; Gurung M.; Singh B.; Naseema S.</t>
        </is>
      </c>
      <c r="D415" s="26" t="n">
        <v>2026</v>
      </c>
      <c r="E415" s="27" t="inlineStr">
        <is>
          <t>Optimising ICU supply chains: Evidence-based strategies for efficiency, resilience and patient safety—a structured narrative review</t>
        </is>
      </c>
      <c r="F415" s="26" t="inlineStr">
        <is>
          <t>BMJ Open Quality</t>
        </is>
      </c>
      <c r="G415" s="26" t="inlineStr">
        <is>
          <t>Review</t>
        </is>
      </c>
      <c r="H415" s="26" t="inlineStr">
        <is>
          <t>10.1136/bmjoq-2025-003422</t>
        </is>
      </c>
      <c r="I415" s="26" t="inlineStr">
        <is>
          <t>TA</t>
        </is>
      </c>
      <c r="J415" s="37" t="inlineStr">
        <is>
          <t>Exclude</t>
        </is>
      </c>
      <c r="K415" s="37" t="inlineStr">
        <is>
          <t>Wrong publication type</t>
        </is>
      </c>
      <c r="L415" s="31" t="inlineStr">
        <is>
          <t>Review paper: decide include as evidence or use for snowballing</t>
        </is>
      </c>
      <c r="M415" s="37" t="inlineStr">
        <is>
          <t>Revision narrativa de cadenas de suministro en UCI ("This narrative review explores current challenges and evidence-based strategies for optimising ICU supply chains"); pronostico con IA y gemelos emergentes en una red de suministro hospitalaria. Valor para snowballing: medio.</t>
        </is>
      </c>
      <c r="N415" s="69" t="inlineStr">
        <is>
          <t>E4</t>
        </is>
      </c>
      <c r="O415" s="69" t="n">
        <v>11</v>
      </c>
      <c r="P415" s="69" t="inlineStr">
        <is>
          <t>Exclude</t>
        </is>
      </c>
      <c r="Q415" s="69" t="inlineStr">
        <is>
          <t>E4</t>
        </is>
      </c>
      <c r="R415" s="69" t="inlineStr">
        <is>
          <t>Revision narrativa de cadenas de suministro en UCI ("This narrative review explores current challenges and evidence-based strategies for optimising ICU supply chains"); pronostico con IA y gemelos emergentes en una red de suministro hospitalaria. Valor para snowballing: medio.</t>
        </is>
      </c>
      <c r="S415" s="69" t="n"/>
    </row>
    <row r="416" ht="23.25" customHeight="1" s="17">
      <c r="A416" s="26" t="inlineStr">
        <is>
          <t>R0415</t>
        </is>
      </c>
      <c r="B416" s="26" t="inlineStr">
        <is>
          <t>Scopus + WoS</t>
        </is>
      </c>
      <c r="C416" s="26" t="inlineStr">
        <is>
          <t>Bahroun Z.; Saihi A.; As'ad R.; Tanash M.</t>
        </is>
      </c>
      <c r="D416" s="26" t="n">
        <v>2026</v>
      </c>
      <c r="E416" s="27" t="inlineStr">
        <is>
          <t>A systematic analysis of generative artificial intelligence for supply chain transformation</t>
        </is>
      </c>
      <c r="F416" s="26" t="inlineStr">
        <is>
          <t>Supply Chain Analytics</t>
        </is>
      </c>
      <c r="G416" s="26" t="inlineStr">
        <is>
          <t>Review</t>
        </is>
      </c>
      <c r="H416" s="26" t="inlineStr">
        <is>
          <t>10.1016/j.sca.2025.100188</t>
        </is>
      </c>
      <c r="I416" s="26" t="inlineStr">
        <is>
          <t>TA</t>
        </is>
      </c>
      <c r="J416" s="37" t="inlineStr">
        <is>
          <t>Exclude</t>
        </is>
      </c>
      <c r="K416" s="37" t="inlineStr">
        <is>
          <t>Wrong publication type</t>
        </is>
      </c>
      <c r="L416" s="31" t="inlineStr">
        <is>
          <t>Review paper: decide include as evidence or use for snowballing</t>
        </is>
      </c>
      <c r="M416" s="37" t="inlineStr">
        <is>
          <t>Revision sistematica PRISMA de 98 estudios de IA generativa en cadena con mapeo SCOR ("the first combined thematic and Supply Chain Operations Reference (SCOR) model-based mapping"); agenda de "hybrid GAI-driven optimization with digital twin architectures". Valor para snowballing: alto.</t>
        </is>
      </c>
      <c r="N416" s="69" t="inlineStr">
        <is>
          <t>E4</t>
        </is>
      </c>
      <c r="O416" s="69" t="n">
        <v>11</v>
      </c>
      <c r="P416" s="69" t="inlineStr">
        <is>
          <t>Exclude</t>
        </is>
      </c>
      <c r="Q416" s="69" t="inlineStr">
        <is>
          <t>E4</t>
        </is>
      </c>
      <c r="R416" s="69" t="inlineStr">
        <is>
          <t>Revision sistematica PRISMA de 98 estudios de IA generativa en cadena con mapeo SCOR ("the first combined thematic and Supply Chain Operations Reference (SCOR) model-based mapping"); agenda de "hybrid GAI-driven optimization with digital twin architectures". Valor para snowballing: alto.</t>
        </is>
      </c>
      <c r="S416" s="69" t="n"/>
    </row>
    <row r="417" ht="34.5" customHeight="1" s="17">
      <c r="A417" s="26" t="inlineStr">
        <is>
          <t>R0416</t>
        </is>
      </c>
      <c r="B417" s="26" t="inlineStr">
        <is>
          <t>Scopus + WoS</t>
        </is>
      </c>
      <c r="C417" s="26" t="inlineStr">
        <is>
          <t>Rojek I.; Dostatni E.; Kopowski J.; Lewandowski J.; Mikołajewski D.</t>
        </is>
      </c>
      <c r="D417" s="26" t="n">
        <v>2026</v>
      </c>
      <c r="E417" s="27" t="inlineStr">
        <is>
          <t>Automation and Sustainability—The Impact of AI on Energy Consumption and Other Key Features of Industry 4.0/5.0 Technologies</t>
        </is>
      </c>
      <c r="F417" s="26" t="inlineStr">
        <is>
          <t>Applied Sciences (Switzerland)</t>
        </is>
      </c>
      <c r="G417" s="26" t="inlineStr">
        <is>
          <t>Review</t>
        </is>
      </c>
      <c r="H417" s="26" t="inlineStr">
        <is>
          <t>10.3390/app16052550</t>
        </is>
      </c>
      <c r="I417" s="26" t="inlineStr">
        <is>
          <t>TA</t>
        </is>
      </c>
      <c r="J417" s="37" t="inlineStr">
        <is>
          <t>Exclude</t>
        </is>
      </c>
      <c r="K417" s="37" t="inlineStr">
        <is>
          <t>Wrong publication type</t>
        </is>
      </c>
      <c r="L417" s="31" t="inlineStr">
        <is>
          <t>Review paper: decide include as evidence or use for snowballing</t>
        </is>
      </c>
      <c r="M417" s="37" t="inlineStr">
        <is>
          <t>Revision de automatizacion, IA y consumo energetico ("Generative AI and digital twins (DTs) enable real-time energy modeling"); logistica sólo como ambito optimizado. Valor para snowballing: bajo.</t>
        </is>
      </c>
      <c r="N417" s="69" t="inlineStr">
        <is>
          <t>E4</t>
        </is>
      </c>
      <c r="O417" s="69" t="n">
        <v>11</v>
      </c>
      <c r="P417" s="69" t="inlineStr">
        <is>
          <t>Exclude</t>
        </is>
      </c>
      <c r="Q417" s="69" t="inlineStr">
        <is>
          <t>E4</t>
        </is>
      </c>
      <c r="R417" s="69" t="inlineStr">
        <is>
          <t>Revision de automatizacion, IA y consumo energetico ("Generative AI and digital twins (DTs) enable real-time energy modeling"); logistica sólo como ambito optimizado. Valor para snowballing: bajo.</t>
        </is>
      </c>
      <c r="S417" s="69" t="n"/>
    </row>
    <row r="418" ht="34.5" customHeight="1" s="17">
      <c r="A418" s="26" t="inlineStr">
        <is>
          <t>R0417</t>
        </is>
      </c>
      <c r="B418" s="26" t="inlineStr">
        <is>
          <t>Scopus + WoS</t>
        </is>
      </c>
      <c r="C418" s="26" t="inlineStr">
        <is>
          <t>Xiao Y.; Zhang M.; Shi H.; Chen Y.</t>
        </is>
      </c>
      <c r="D418" s="26" t="n">
        <v>2026</v>
      </c>
      <c r="E418" s="27" t="inlineStr">
        <is>
          <t>Ultra-long shelf-life strategies for fresh edible mushrooms in next-generation supply chains: Precision sensing, shelf-life prediction, and coordinated control</t>
        </is>
      </c>
      <c r="F418" s="26" t="inlineStr">
        <is>
          <t>Food Bioscience</t>
        </is>
      </c>
      <c r="G418" s="26" t="inlineStr">
        <is>
          <t>Review</t>
        </is>
      </c>
      <c r="H418" s="26" t="inlineStr">
        <is>
          <t>10.1016/j.fbio.2026.109305</t>
        </is>
      </c>
      <c r="I418" s="26" t="inlineStr">
        <is>
          <t>TA</t>
        </is>
      </c>
      <c r="J418" s="37" t="inlineStr">
        <is>
          <t>Exclude</t>
        </is>
      </c>
      <c r="K418" s="37" t="inlineStr">
        <is>
          <t>Wrong publication type</t>
        </is>
      </c>
      <c r="L418" s="31" t="inlineStr">
        <is>
          <t>Review paper: decide include as evidence or use for snowballing</t>
        </is>
      </c>
      <c r="M418" s="37" t="inlineStr">
        <is>
          <t>Revision de vida util de hongos frescos en cadenas de nueva generacion ("This review focuses on ultra-long shelf-life strategies for fresh edible mushrooms"); gemelos como rol potencial. Valor para snowballing: bajo.</t>
        </is>
      </c>
      <c r="N418" s="69" t="inlineStr">
        <is>
          <t>E4</t>
        </is>
      </c>
      <c r="O418" s="69" t="n">
        <v>11</v>
      </c>
      <c r="P418" s="69" t="inlineStr">
        <is>
          <t>Exclude</t>
        </is>
      </c>
      <c r="Q418" s="69" t="inlineStr">
        <is>
          <t>E4</t>
        </is>
      </c>
      <c r="R418" s="69" t="inlineStr">
        <is>
          <t>Revision de vida util de hongos frescos en cadenas de nueva generacion ("This review focuses on ultra-long shelf-life strategies for fresh edible mushrooms"); gemelos como rol potencial. Valor para snowballing: bajo.</t>
        </is>
      </c>
      <c r="S418" s="69" t="n"/>
    </row>
    <row r="419" ht="34.5" customHeight="1" s="17">
      <c r="A419" s="26" t="inlineStr">
        <is>
          <t>R0418</t>
        </is>
      </c>
      <c r="B419" s="26" t="inlineStr">
        <is>
          <t>Scopus + WoS</t>
        </is>
      </c>
      <c r="C419" s="26" t="inlineStr">
        <is>
          <t>Shvydyuk K.O.; Lanceros-Mendez S.; Silva A.P.</t>
        </is>
      </c>
      <c r="D419" s="26" t="n">
        <v>2026</v>
      </c>
      <c r="E419" s="27" t="inlineStr">
        <is>
          <t>Advanced Ceramics in Aerospace and Defense: The Interrelationship between Traditional and Additive Manufacturing Approaches</t>
        </is>
      </c>
      <c r="F419" s="26" t="inlineStr">
        <is>
          <t>Advanced Materials Technologies</t>
        </is>
      </c>
      <c r="G419" s="26" t="inlineStr">
        <is>
          <t>Review</t>
        </is>
      </c>
      <c r="H419" s="26" t="inlineStr">
        <is>
          <t>10.1002/admt.202501012</t>
        </is>
      </c>
      <c r="I419" s="26" t="inlineStr">
        <is>
          <t>TA</t>
        </is>
      </c>
      <c r="J419" s="37" t="inlineStr">
        <is>
          <t>Exclude</t>
        </is>
      </c>
      <c r="K419" s="37" t="inlineStr">
        <is>
          <t>Wrong publication type</t>
        </is>
      </c>
      <c r="L419" s="31" t="inlineStr">
        <is>
          <t>Review paper: decide include as evidence or use for snowballing</t>
        </is>
      </c>
      <c r="M419" s="37" t="inlineStr">
        <is>
          <t>Revision de ceramicas avanzadas y fabricacion aditiva ("In this review, the up-to-date traditional manufacturing interrelationship with AM is discussed"); gemelos e IA como pilares listados. Valor para snowballing: bajo.</t>
        </is>
      </c>
      <c r="N419" s="69" t="inlineStr">
        <is>
          <t>E4</t>
        </is>
      </c>
      <c r="O419" s="69" t="n">
        <v>11</v>
      </c>
      <c r="P419" s="69" t="inlineStr">
        <is>
          <t>Exclude</t>
        </is>
      </c>
      <c r="Q419" s="69" t="inlineStr">
        <is>
          <t>E4</t>
        </is>
      </c>
      <c r="R419" s="69" t="inlineStr">
        <is>
          <t>Revision de ceramicas avanzadas y fabricacion aditiva ("In this review, the up-to-date traditional manufacturing interrelationship with AM is discussed"); gemelos e IA como pilares listados. Valor para snowballing: bajo.</t>
        </is>
      </c>
      <c r="S419" s="69" t="n"/>
    </row>
    <row r="420" ht="34.5" customHeight="1" s="17">
      <c r="A420" s="26" t="inlineStr">
        <is>
          <t>R0419</t>
        </is>
      </c>
      <c r="B420" s="26" t="inlineStr">
        <is>
          <t>Scopus + WoS</t>
        </is>
      </c>
      <c r="C420" s="26" t="inlineStr">
        <is>
          <t>Li X.; Zhou H.; Yu R.; Li J.; Xue L.; Ma Y.</t>
        </is>
      </c>
      <c r="D420" s="26" t="n">
        <v>2026</v>
      </c>
      <c r="E420" s="27" t="inlineStr">
        <is>
          <t>Digital intelligence agri-food supply chain—tripartite breakthrough in harvest optimization, postharvest preservation, and stakeholder synergy</t>
        </is>
      </c>
      <c r="F420" s="26" t="inlineStr">
        <is>
          <t>Journal of Food Measurement and Characterization</t>
        </is>
      </c>
      <c r="G420" s="26" t="inlineStr">
        <is>
          <t>Review</t>
        </is>
      </c>
      <c r="H420" s="26" t="inlineStr">
        <is>
          <t>10.1007/s11694-026-04680-5</t>
        </is>
      </c>
      <c r="I420" s="26" t="inlineStr">
        <is>
          <t>TA</t>
        </is>
      </c>
      <c r="J420" s="37" t="inlineStr">
        <is>
          <t>Exclude</t>
        </is>
      </c>
      <c r="K420" s="37" t="inlineStr">
        <is>
          <t>Wrong publication type</t>
        </is>
      </c>
      <c r="L420" s="31" t="inlineStr">
        <is>
          <t>Review paper: decide include as evidence or use for snowballing</t>
        </is>
      </c>
      <c r="M420" s="37" t="inlineStr">
        <is>
          <t>Revision de cadena agroalimentaria inteligente ("This review systematically examines advances in intelligent technologies across three key areas"); gemelos para trazabilidad. Valor para snowballing: bajo.</t>
        </is>
      </c>
      <c r="N420" s="69" t="inlineStr">
        <is>
          <t>E4</t>
        </is>
      </c>
      <c r="O420" s="69" t="n">
        <v>11</v>
      </c>
      <c r="P420" s="69" t="inlineStr">
        <is>
          <t>Exclude</t>
        </is>
      </c>
      <c r="Q420" s="69" t="inlineStr">
        <is>
          <t>E4</t>
        </is>
      </c>
      <c r="R420" s="69" t="inlineStr">
        <is>
          <t>Revision de cadena agroalimentaria inteligente ("This review systematically examines advances in intelligent technologies across three key areas"); gemelos para trazabilidad. Valor para snowballing: bajo.</t>
        </is>
      </c>
      <c r="S420" s="69" t="n"/>
    </row>
    <row r="421" ht="34.5" customHeight="1" s="17">
      <c r="A421" s="26" t="inlineStr">
        <is>
          <t>R0420</t>
        </is>
      </c>
      <c r="B421" s="26" t="inlineStr">
        <is>
          <t>Scopus + WoS</t>
        </is>
      </c>
      <c r="C421" s="26" t="inlineStr">
        <is>
          <t>Sajawal Akhtar M.; Gómez F.R.; Pandit A.; Mahmood H.; Khan M.A.; Liu J.</t>
        </is>
      </c>
      <c r="D421" s="26" t="n">
        <v>2026</v>
      </c>
      <c r="E421" s="27" t="inlineStr">
        <is>
          <t>Toward Standards-Compliant Dynamic Life Cycle Assessment: Harnessing Digital Innovations for Climate and Regulatory Alignment</t>
        </is>
      </c>
      <c r="F421" s="26" t="inlineStr">
        <is>
          <t>ACS Sustainable Chemistry and Engineering</t>
        </is>
      </c>
      <c r="G421" s="26" t="inlineStr">
        <is>
          <t>Review</t>
        </is>
      </c>
      <c r="H421" s="26" t="inlineStr">
        <is>
          <t>10.1021/acssuschemeng.5c10525</t>
        </is>
      </c>
      <c r="I421" s="26" t="inlineStr">
        <is>
          <t>TA</t>
        </is>
      </c>
      <c r="J421" s="37" t="inlineStr">
        <is>
          <t>Exclude</t>
        </is>
      </c>
      <c r="K421" s="37" t="inlineStr">
        <is>
          <t>Wrong publication type</t>
        </is>
      </c>
      <c r="L421" s="31" t="inlineStr">
        <is>
          <t>Review paper: decide include as evidence or use for snowballing</t>
        </is>
      </c>
      <c r="M421" s="37" t="inlineStr">
        <is>
          <t>Perspectiva sobre analisis dinamico de ciclo de vida ("This Perspective critically examines recent advances in DLCA"); gemelos e IA como innovaciones digitales. Valor para snowballing: bajo.</t>
        </is>
      </c>
      <c r="N421" s="69" t="inlineStr">
        <is>
          <t>E4</t>
        </is>
      </c>
      <c r="O421" s="69" t="n">
        <v>11</v>
      </c>
      <c r="P421" s="69" t="inlineStr">
        <is>
          <t>Exclude</t>
        </is>
      </c>
      <c r="Q421" s="69" t="inlineStr">
        <is>
          <t>E4</t>
        </is>
      </c>
      <c r="R421" s="69" t="inlineStr">
        <is>
          <t>Perspectiva sobre analisis dinamico de ciclo de vida ("This Perspective critically examines recent advances in DLCA"); gemelos e IA como innovaciones digitales. Valor para snowballing: bajo.</t>
        </is>
      </c>
      <c r="S421" s="69" t="n"/>
    </row>
    <row r="422" ht="34.5" customHeight="1" s="17">
      <c r="A422" s="26" t="inlineStr">
        <is>
          <t>R0421</t>
        </is>
      </c>
      <c r="B422" s="26" t="inlineStr">
        <is>
          <t>Scopus + WoS</t>
        </is>
      </c>
      <c r="C422" s="26" t="inlineStr">
        <is>
          <t>Alam M.M.; Ugli R.A.N.; Tanha K.J.; Jun T.</t>
        </is>
      </c>
      <c r="D422" s="26" t="n">
        <v>2026</v>
      </c>
      <c r="E422" s="27" t="inlineStr">
        <is>
          <t>AI-enhanced Digital Twin systems for warehouse logistics optimization: A review of challenges with solutions and future directions</t>
        </is>
      </c>
      <c r="F422" s="26" t="inlineStr">
        <is>
          <t>ICT Express</t>
        </is>
      </c>
      <c r="G422" s="26" t="inlineStr">
        <is>
          <t>Review</t>
        </is>
      </c>
      <c r="H422" s="26" t="inlineStr">
        <is>
          <t>10.1016/j.icte.2026.01.009</t>
        </is>
      </c>
      <c r="I422" s="26" t="inlineStr">
        <is>
          <t>TA</t>
        </is>
      </c>
      <c r="J422" s="37" t="inlineStr">
        <is>
          <t>Exclude</t>
        </is>
      </c>
      <c r="K422" s="37" t="inlineStr">
        <is>
          <t>Wrong publication type</t>
        </is>
      </c>
      <c r="L422" s="31" t="inlineStr">
        <is>
          <t>Review paper: decide include as evidence or use for snowballing</t>
        </is>
      </c>
      <c r="M422" s="37" t="inlineStr">
        <is>
          <t>Revision de gemelos con IA para logistica de almacen ("AI-enhanced Digital Twin systems for warehouse logistics optimization: A review"); planeacion de rutas, asignacion de tareas, inventario y robots colaborativos. Valor para snowballing: alto.</t>
        </is>
      </c>
      <c r="N422" s="69" t="inlineStr">
        <is>
          <t>E4</t>
        </is>
      </c>
      <c r="O422" s="69" t="n">
        <v>11</v>
      </c>
      <c r="P422" s="69" t="inlineStr">
        <is>
          <t>Exclude</t>
        </is>
      </c>
      <c r="Q422" s="69" t="inlineStr">
        <is>
          <t>E4</t>
        </is>
      </c>
      <c r="R422" s="69" t="inlineStr">
        <is>
          <t>Revision de gemelos con IA para logistica de almacen ("AI-enhanced Digital Twin systems for warehouse logistics optimization: A review"); planeacion de rutas, asignacion de tareas, inventario y robots colaborativos. Valor para snowballing: alto.</t>
        </is>
      </c>
      <c r="S422" s="69" t="n"/>
    </row>
    <row r="423" ht="23.25" customHeight="1" s="17">
      <c r="A423" s="26" t="inlineStr">
        <is>
          <t>R0422</t>
        </is>
      </c>
      <c r="B423" s="26" t="inlineStr">
        <is>
          <t>Scopus + WoS</t>
        </is>
      </c>
      <c r="C423" s="26" t="inlineStr">
        <is>
          <t>Teixeira P.; Lopes R.B.; Teixeira L.</t>
        </is>
      </c>
      <c r="D423" s="26" t="n">
        <v>2026</v>
      </c>
      <c r="E423" s="27" t="inlineStr">
        <is>
          <t>The integration of Artificial Intelligence in seaports' smart gate processes: Evidence based on a systematic literature review</t>
        </is>
      </c>
      <c r="F423" s="26" t="inlineStr">
        <is>
          <t>Results in Engineering</t>
        </is>
      </c>
      <c r="G423" s="26" t="inlineStr">
        <is>
          <t>Review</t>
        </is>
      </c>
      <c r="H423" s="26" t="inlineStr">
        <is>
          <t>10.1016/j.rineng.2025.108919</t>
        </is>
      </c>
      <c r="I423" s="26" t="inlineStr">
        <is>
          <t>TA</t>
        </is>
      </c>
      <c r="J423" s="37" t="inlineStr">
        <is>
          <t>Exclude</t>
        </is>
      </c>
      <c r="K423" s="37" t="inlineStr">
        <is>
          <t>Wrong publication type</t>
        </is>
      </c>
      <c r="L423" s="31" t="inlineStr">
        <is>
          <t>Review paper: decide include as evidence or use for snowballing</t>
        </is>
      </c>
      <c r="M423" s="37" t="inlineStr">
        <is>
          <t>Revision sistematica PRISMA de IA en puertas inteligentes portuarias ("a systematic literature review was applied following the PRISMA reporting guidelines"); "Reinforcement learning and digital twin systems are emerging as tools for adaptive control". Valor para snowballing: medio.</t>
        </is>
      </c>
      <c r="N423" s="69" t="inlineStr">
        <is>
          <t>E4</t>
        </is>
      </c>
      <c r="O423" s="69" t="n">
        <v>11</v>
      </c>
      <c r="P423" s="69" t="inlineStr">
        <is>
          <t>Exclude</t>
        </is>
      </c>
      <c r="Q423" s="69" t="inlineStr">
        <is>
          <t>E4</t>
        </is>
      </c>
      <c r="R423" s="69" t="inlineStr">
        <is>
          <t>Revision sistematica PRISMA de IA en puertas inteligentes portuarias ("a systematic literature review was applied following the PRISMA reporting guidelines"); "Reinforcement learning and digital twin systems are emerging as tools for adaptive control". Valor para snowballing: medio.</t>
        </is>
      </c>
      <c r="S423" s="69" t="n"/>
    </row>
    <row r="424" ht="34.5" customHeight="1" s="17">
      <c r="A424" s="26" t="inlineStr">
        <is>
          <t>R0423</t>
        </is>
      </c>
      <c r="B424" s="26" t="inlineStr">
        <is>
          <t>Scopus + WoS</t>
        </is>
      </c>
      <c r="C424" s="26" t="inlineStr">
        <is>
          <t>Keohavong B.</t>
        </is>
      </c>
      <c r="D424" s="26" t="n">
        <v>2026</v>
      </c>
      <c r="E424" s="27" t="inlineStr">
        <is>
          <t>Digital innovation integration into biotechnology for development of sustainable protein frontiers for poultry nutrition in a circular bioeconomy</t>
        </is>
      </c>
      <c r="F424" s="26" t="inlineStr">
        <is>
          <t>Poultry Science</t>
        </is>
      </c>
      <c r="G424" s="26" t="inlineStr">
        <is>
          <t>Review</t>
        </is>
      </c>
      <c r="H424" s="26" t="inlineStr">
        <is>
          <t>10.1016/j.psj.2025.106276</t>
        </is>
      </c>
      <c r="I424" s="26" t="inlineStr">
        <is>
          <t>TA</t>
        </is>
      </c>
      <c r="J424" s="37" t="inlineStr">
        <is>
          <t>Exclude</t>
        </is>
      </c>
      <c r="K424" s="37" t="inlineStr">
        <is>
          <t>Wrong publication type</t>
        </is>
      </c>
      <c r="L424" s="31" t="inlineStr">
        <is>
          <t>Review paper: decide include as evidence or use for snowballing</t>
        </is>
      </c>
      <c r="M424" s="37" t="inlineStr">
        <is>
          <t>Revision de proteinas alternativas para nutricion avicola ("This review synthesizes recent advances in single-cell protein"); gemelos como herramienta digital emergente. Valor para snowballing: bajo.</t>
        </is>
      </c>
      <c r="N424" s="69" t="inlineStr">
        <is>
          <t>E4</t>
        </is>
      </c>
      <c r="O424" s="69" t="n">
        <v>11</v>
      </c>
      <c r="P424" s="69" t="inlineStr">
        <is>
          <t>Exclude</t>
        </is>
      </c>
      <c r="Q424" s="69" t="inlineStr">
        <is>
          <t>E4</t>
        </is>
      </c>
      <c r="R424" s="69" t="inlineStr">
        <is>
          <t>Revision de proteinas alternativas para nutricion avicola ("This review synthesizes recent advances in single-cell protein"); gemelos como herramienta digital emergente. Valor para snowballing: bajo.</t>
        </is>
      </c>
      <c r="S424" s="69" t="n"/>
    </row>
    <row r="425" ht="23.25" customHeight="1" s="17">
      <c r="A425" s="26" t="inlineStr">
        <is>
          <t>R0424</t>
        </is>
      </c>
      <c r="B425" s="26" t="inlineStr">
        <is>
          <t>Scopus + WoS</t>
        </is>
      </c>
      <c r="C425" s="26" t="inlineStr">
        <is>
          <t>Zheng W.; Zhang M.; Zhan F.</t>
        </is>
      </c>
      <c r="D425" s="26" t="n">
        <v>2026</v>
      </c>
      <c r="E425" s="27" t="inlineStr">
        <is>
          <t>Next-generation super-drying technologies for aquatic foods in the context of industry 5.0: A review</t>
        </is>
      </c>
      <c r="F425" s="26" t="inlineStr">
        <is>
          <t>Food Research International</t>
        </is>
      </c>
      <c r="G425" s="26" t="inlineStr">
        <is>
          <t>Review</t>
        </is>
      </c>
      <c r="H425" s="26" t="inlineStr">
        <is>
          <t>10.1016/j.foodres.2026.119857</t>
        </is>
      </c>
      <c r="I425" s="26" t="inlineStr">
        <is>
          <t>TA</t>
        </is>
      </c>
      <c r="J425" s="37" t="inlineStr">
        <is>
          <t>Exclude</t>
        </is>
      </c>
      <c r="K425" s="37" t="inlineStr">
        <is>
          <t>Wrong publication type</t>
        </is>
      </c>
      <c r="L425" s="31" t="inlineStr">
        <is>
          <t>Review paper: decide include as evidence or use for snowballing</t>
        </is>
      </c>
      <c r="M425" s="37" t="inlineStr">
        <is>
          <t>Revision de secado de alimentos acuaticos bajo Industria 5.0 ("reviews key enabling technologies, including energy-efficient drying"); gemelos de secado. Valor para snowballing: bajo.</t>
        </is>
      </c>
      <c r="N425" s="69" t="inlineStr">
        <is>
          <t>E4</t>
        </is>
      </c>
      <c r="O425" s="69" t="n">
        <v>11</v>
      </c>
      <c r="P425" s="69" t="inlineStr">
        <is>
          <t>Exclude</t>
        </is>
      </c>
      <c r="Q425" s="69" t="inlineStr">
        <is>
          <t>E4</t>
        </is>
      </c>
      <c r="R425" s="69" t="inlineStr">
        <is>
          <t>Revision de secado de alimentos acuaticos bajo Industria 5.0 ("reviews key enabling technologies, including energy-efficient drying"); gemelos de secado. Valor para snowballing: bajo.</t>
        </is>
      </c>
      <c r="S425" s="69" t="n"/>
    </row>
    <row r="426" ht="23.25" customHeight="1" s="17">
      <c r="A426" s="26" t="inlineStr">
        <is>
          <t>R0425</t>
        </is>
      </c>
      <c r="B426" s="26" t="inlineStr">
        <is>
          <t>Scopus</t>
        </is>
      </c>
      <c r="C426" s="26" t="inlineStr">
        <is>
          <t>Gomaa A.H.</t>
        </is>
      </c>
      <c r="D426" s="26" t="n">
        <v>2026</v>
      </c>
      <c r="E426" s="27" t="inlineStr">
        <is>
          <t>Sustainable supply chain management in Industry 4.0: A review, research gaps, and conceptual framework</t>
        </is>
      </c>
      <c r="F426" s="26" t="inlineStr">
        <is>
          <t>Clean Technologies and Recycling</t>
        </is>
      </c>
      <c r="G426" s="26" t="inlineStr">
        <is>
          <t>Review</t>
        </is>
      </c>
      <c r="H426" s="26" t="inlineStr">
        <is>
          <t>10.3934/ctr.2026007</t>
        </is>
      </c>
      <c r="I426" s="26" t="inlineStr">
        <is>
          <t>TA</t>
        </is>
      </c>
      <c r="J426" s="37" t="inlineStr">
        <is>
          <t>Exclude</t>
        </is>
      </c>
      <c r="K426" s="37" t="inlineStr">
        <is>
          <t>Wrong publication type</t>
        </is>
      </c>
      <c r="L426" s="31" t="inlineStr">
        <is>
          <t>Review paper: decide include as evidence or use for snowballing</t>
        </is>
      </c>
      <c r="M426" s="37" t="inlineStr">
        <is>
          <t>Revision de gestion sostenible de cadena en Industria 4.0 con marco integrador ("this study conducts a literature review of SSCM in the Industry 4.0 context"); gemelos entre las tecnologias. Valor para snowballing: bajo.</t>
        </is>
      </c>
      <c r="N426" s="69" t="inlineStr">
        <is>
          <t>E4</t>
        </is>
      </c>
      <c r="O426" s="69" t="n">
        <v>11</v>
      </c>
      <c r="P426" s="69" t="inlineStr">
        <is>
          <t>Exclude</t>
        </is>
      </c>
      <c r="Q426" s="69" t="inlineStr">
        <is>
          <t>E4</t>
        </is>
      </c>
      <c r="R426" s="69" t="inlineStr">
        <is>
          <t>Revision de gestion sostenible de cadena en Industria 4.0 con marco integrador ("this study conducts a literature review of SSCM in the Industry 4.0 context"); gemelos entre las tecnologias. Valor para snowballing: bajo.</t>
        </is>
      </c>
      <c r="S426" s="69" t="n"/>
    </row>
    <row r="427" ht="23.25" customHeight="1" s="17">
      <c r="A427" s="26" t="inlineStr">
        <is>
          <t>R0426</t>
        </is>
      </c>
      <c r="B427" s="26" t="inlineStr">
        <is>
          <t>Scopus + WoS</t>
        </is>
      </c>
      <c r="C427" s="26" t="inlineStr">
        <is>
          <t>Itu A.</t>
        </is>
      </c>
      <c r="D427" s="26" t="n">
        <v>2026</v>
      </c>
      <c r="E427" s="27" t="inlineStr">
        <is>
          <t>Resilient and Intelligent Supply Chains: Advances and Challenges in AI-Driven Optimization and Forecasting</t>
        </is>
      </c>
      <c r="F427" s="26" t="inlineStr">
        <is>
          <t>Applied Sciences (Switzerland)</t>
        </is>
      </c>
      <c r="G427" s="26" t="inlineStr">
        <is>
          <t>Review</t>
        </is>
      </c>
      <c r="H427" s="26" t="inlineStr">
        <is>
          <t>10.3390/app16094285</t>
        </is>
      </c>
      <c r="I427" s="26" t="inlineStr">
        <is>
          <t>TA</t>
        </is>
      </c>
      <c r="J427" s="37" t="inlineStr">
        <is>
          <t>Exclude</t>
        </is>
      </c>
      <c r="K427" s="37" t="inlineStr">
        <is>
          <t>Wrong publication type</t>
        </is>
      </c>
      <c r="L427" s="31" t="inlineStr">
        <is>
          <t>Review paper: decide include as evidence or use for snowballing</t>
        </is>
      </c>
      <c r="M427" s="37" t="inlineStr">
        <is>
          <t>Revision de optimizacion de cadena con IA e investigacion de operaciones ("This review synthesizes recent advances in supply chain optimization"); capa de "digitalized execution through simulation and digital twin environments" y ecosistemas de decision supervisados por humanos. Valor para snowballing: alto.</t>
        </is>
      </c>
      <c r="N427" s="69" t="inlineStr">
        <is>
          <t>E4</t>
        </is>
      </c>
      <c r="O427" s="69" t="n">
        <v>11</v>
      </c>
      <c r="P427" s="69" t="inlineStr">
        <is>
          <t>Exclude</t>
        </is>
      </c>
      <c r="Q427" s="69" t="inlineStr">
        <is>
          <t>E4</t>
        </is>
      </c>
      <c r="R427" s="69" t="inlineStr">
        <is>
          <t>Revision de optimizacion de cadena con IA e investigacion de operaciones ("This review synthesizes recent advances in supply chain optimization"); capa de "digitalized execution through simulation and digital twin environments" y ecosistemas de decision supervisados por humanos. Valor para snowballing: alto.</t>
        </is>
      </c>
      <c r="S427" s="69" t="n"/>
    </row>
    <row r="428" ht="34.5" customHeight="1" s="17">
      <c r="A428" s="26" t="inlineStr">
        <is>
          <t>R0427</t>
        </is>
      </c>
      <c r="B428" s="26" t="inlineStr">
        <is>
          <t>Scopus + WoS</t>
        </is>
      </c>
      <c r="C428" s="26" t="inlineStr">
        <is>
          <t>Wu Y.; Fu X.</t>
        </is>
      </c>
      <c r="D428" s="26" t="n">
        <v>2026</v>
      </c>
      <c r="E428" s="27" t="inlineStr">
        <is>
          <t>Clean and Smart Energy Technologies for Agricultural Energy Internet Systems: A Comprehensive Review and Future Perspectives</t>
        </is>
      </c>
      <c r="F428" s="26" t="inlineStr">
        <is>
          <t>Applied Sciences (Switzerland)</t>
        </is>
      </c>
      <c r="G428" s="26" t="inlineStr">
        <is>
          <t>Review</t>
        </is>
      </c>
      <c r="H428" s="26" t="inlineStr">
        <is>
          <t>10.3390/app16104859</t>
        </is>
      </c>
      <c r="I428" s="26" t="inlineStr">
        <is>
          <t>TA</t>
        </is>
      </c>
      <c r="J428" s="37" t="inlineStr">
        <is>
          <t>Exclude</t>
        </is>
      </c>
      <c r="K428" s="37" t="inlineStr">
        <is>
          <t>Wrong publication type</t>
        </is>
      </c>
      <c r="L428" s="31" t="inlineStr">
        <is>
          <t>Review paper: decide include as evidence or use for snowballing</t>
        </is>
      </c>
      <c r="M428" s="37" t="inlineStr">
        <is>
          <t>Revision del Internet de la energia agricola ("This review systematically examines the evolutionary trajectory of AEI"); gemelos y logistica de cadena de frio como procesos energeticos. Valor para snowballing: bajo.</t>
        </is>
      </c>
      <c r="N428" s="69" t="inlineStr">
        <is>
          <t>E4</t>
        </is>
      </c>
      <c r="O428" s="69" t="n">
        <v>11</v>
      </c>
      <c r="P428" s="69" t="inlineStr">
        <is>
          <t>Exclude</t>
        </is>
      </c>
      <c r="Q428" s="69" t="inlineStr">
        <is>
          <t>E4</t>
        </is>
      </c>
      <c r="R428" s="69" t="inlineStr">
        <is>
          <t>Revision del Internet de la energia agricola ("This review systematically examines the evolutionary trajectory of AEI"); gemelos y logistica de cadena de frio como procesos energeticos. Valor para snowballing: bajo.</t>
        </is>
      </c>
      <c r="S428" s="69" t="n"/>
    </row>
    <row r="429" ht="23.25" customHeight="1" s="17">
      <c r="A429" s="26" t="inlineStr">
        <is>
          <t>R0428</t>
        </is>
      </c>
      <c r="B429" s="26" t="inlineStr">
        <is>
          <t>Scopus + WoS</t>
        </is>
      </c>
      <c r="C429" s="26" t="inlineStr">
        <is>
          <t>Han J.; Sun C.; Ji Z.; Yang X.</t>
        </is>
      </c>
      <c r="D429" s="26" t="n">
        <v>2026</v>
      </c>
      <c r="E429" s="27" t="inlineStr">
        <is>
          <t>Smart cold chain logistics for fresh agricultural products: key technologies, challenges, and future trends</t>
        </is>
      </c>
      <c r="F429" s="26" t="inlineStr">
        <is>
          <t>Trends in Food Science and Technology</t>
        </is>
      </c>
      <c r="G429" s="26" t="inlineStr">
        <is>
          <t>Review</t>
        </is>
      </c>
      <c r="H429" s="26" t="inlineStr">
        <is>
          <t>10.1016/j.tifs.2025.105421</t>
        </is>
      </c>
      <c r="I429" s="26" t="inlineStr">
        <is>
          <t>TA</t>
        </is>
      </c>
      <c r="J429" s="37" t="inlineStr">
        <is>
          <t>Exclude</t>
        </is>
      </c>
      <c r="K429" s="37" t="inlineStr">
        <is>
          <t>Wrong publication type</t>
        </is>
      </c>
      <c r="L429" s="31" t="inlineStr">
        <is>
          <t>Review paper: decide include as evidence or use for snowballing</t>
        </is>
      </c>
      <c r="M429" s="37" t="inlineStr">
        <is>
          <t>Revision de logistica de cadena de frio inteligente ("This review first outlines how the smart CCL concept evolved"); plataformas de gemelo como requisito futuro. Valor para snowballing: medio.</t>
        </is>
      </c>
      <c r="N429" s="69" t="inlineStr">
        <is>
          <t>E4</t>
        </is>
      </c>
      <c r="O429" s="69" t="n">
        <v>11</v>
      </c>
      <c r="P429" s="69" t="inlineStr">
        <is>
          <t>Exclude</t>
        </is>
      </c>
      <c r="Q429" s="69" t="inlineStr">
        <is>
          <t>E4</t>
        </is>
      </c>
      <c r="R429" s="69" t="inlineStr">
        <is>
          <t>Revision de logistica de cadena de frio inteligente ("This review first outlines how the smart CCL concept evolved"); plataformas de gemelo como requisito futuro. Valor para snowballing: medio.</t>
        </is>
      </c>
      <c r="S429" s="69" t="n"/>
    </row>
    <row r="430" ht="23.25" customHeight="1" s="17">
      <c r="A430" s="26" t="inlineStr">
        <is>
          <t>R0429</t>
        </is>
      </c>
      <c r="B430" s="26" t="inlineStr">
        <is>
          <t>Scopus</t>
        </is>
      </c>
      <c r="C430" s="26" t="inlineStr">
        <is>
          <t>Mohammadkamal H.; Zinatlou Ajabshir S.; Mostafaei A.</t>
        </is>
      </c>
      <c r="D430" s="26" t="n">
        <v>2026</v>
      </c>
      <c r="E430" s="27" t="inlineStr">
        <is>
          <t>Additive Manufacturing at the Crossroads: Costs, Sustainability, and Global Adoption</t>
        </is>
      </c>
      <c r="F430" s="26" t="inlineStr">
        <is>
          <t>Journal of Manufacturing and Materials Processing</t>
        </is>
      </c>
      <c r="G430" s="26" t="inlineStr">
        <is>
          <t>Review</t>
        </is>
      </c>
      <c r="H430" s="26" t="inlineStr">
        <is>
          <t>10.3390/jmmp10010005</t>
        </is>
      </c>
      <c r="I430" s="26" t="inlineStr">
        <is>
          <t>TA</t>
        </is>
      </c>
      <c r="J430" s="37" t="inlineStr">
        <is>
          <t>Exclude</t>
        </is>
      </c>
      <c r="K430" s="37" t="inlineStr">
        <is>
          <t>Wrong publication type</t>
        </is>
      </c>
      <c r="L430" s="31" t="inlineStr">
        <is>
          <t>Review paper: decide include as evidence or use for snowballing</t>
        </is>
      </c>
      <c r="M430" s="37" t="inlineStr">
        <is>
          <t>Revision de fabricacion aditiva ("This review synthesizes evidence from AM processes for different materials"); gemelos como herramienta digital. Valor para snowballing: bajo.</t>
        </is>
      </c>
      <c r="N430" s="69" t="inlineStr">
        <is>
          <t>E4</t>
        </is>
      </c>
      <c r="O430" s="69" t="n">
        <v>11</v>
      </c>
      <c r="P430" s="69" t="inlineStr">
        <is>
          <t>Exclude</t>
        </is>
      </c>
      <c r="Q430" s="69" t="inlineStr">
        <is>
          <t>E4</t>
        </is>
      </c>
      <c r="R430" s="69" t="inlineStr">
        <is>
          <t>Revision de fabricacion aditiva ("This review synthesizes evidence from AM processes for different materials"); gemelos como herramienta digital. Valor para snowballing: bajo.</t>
        </is>
      </c>
      <c r="S430" s="69" t="n"/>
    </row>
    <row r="431" ht="23.25" customHeight="1" s="17">
      <c r="A431" s="26" t="inlineStr">
        <is>
          <t>R0430</t>
        </is>
      </c>
      <c r="B431" s="26" t="inlineStr">
        <is>
          <t>Scopus + WoS</t>
        </is>
      </c>
      <c r="C431" s="26" t="inlineStr">
        <is>
          <t>Ren Y.; Lei T.; Meng W.; Sun D.-W.; Argyropoulos D.</t>
        </is>
      </c>
      <c r="D431" s="26" t="n">
        <v>2026</v>
      </c>
      <c r="E431" s="27" t="inlineStr">
        <is>
          <t>Advancing digital depth: AI-enhanced 3D reconstruction for post-harvest food supply chain quality management</t>
        </is>
      </c>
      <c r="F431" s="26" t="inlineStr">
        <is>
          <t>Postharvest Biology and Technology</t>
        </is>
      </c>
      <c r="G431" s="26" t="inlineStr">
        <is>
          <t>Review</t>
        </is>
      </c>
      <c r="H431" s="26" t="inlineStr">
        <is>
          <t>10.1016/j.postharvbio.2026.114329</t>
        </is>
      </c>
      <c r="I431" s="26" t="inlineStr">
        <is>
          <t>TA</t>
        </is>
      </c>
      <c r="J431" s="37" t="inlineStr">
        <is>
          <t>Exclude</t>
        </is>
      </c>
      <c r="K431" s="37" t="inlineStr">
        <is>
          <t>Wrong publication type</t>
        </is>
      </c>
      <c r="L431" s="31" t="inlineStr">
        <is>
          <t>Review paper: decide include as evidence or use for snowballing</t>
        </is>
      </c>
      <c r="M431" s="37" t="inlineStr">
        <is>
          <t>Revision de 90 estudios sobre reconstruccion 3D con IA en cadena poscosecha ("This review analyzed 90 major related studies during 2015-2025"); gemelos como integracion futura. Valor para snowballing: bajo.</t>
        </is>
      </c>
      <c r="N431" s="69" t="inlineStr">
        <is>
          <t>E4</t>
        </is>
      </c>
      <c r="O431" s="69" t="n">
        <v>11</v>
      </c>
      <c r="P431" s="69" t="inlineStr">
        <is>
          <t>Exclude</t>
        </is>
      </c>
      <c r="Q431" s="69" t="inlineStr">
        <is>
          <t>E4</t>
        </is>
      </c>
      <c r="R431" s="69" t="inlineStr">
        <is>
          <t>Revision de 90 estudios sobre reconstruccion 3D con IA en cadena poscosecha ("This review analyzed 90 major related studies during 2015-2025"); gemelos como integracion futura. Valor para snowballing: bajo.</t>
        </is>
      </c>
      <c r="S431" s="69" t="n"/>
    </row>
    <row r="432" ht="23.25" customHeight="1" s="17">
      <c r="A432" s="26" t="inlineStr">
        <is>
          <t>R0431</t>
        </is>
      </c>
      <c r="B432" s="26" t="inlineStr">
        <is>
          <t>Scopus + WoS</t>
        </is>
      </c>
      <c r="C432" s="26" t="inlineStr">
        <is>
          <t>Khan Md.I.; Farahani M.; Wuest T.</t>
        </is>
      </c>
      <c r="D432" s="26" t="n">
        <v>2026</v>
      </c>
      <c r="E432" s="27" t="inlineStr">
        <is>
          <t>Blockchain-Empowered Federated Learning Applications in Smart Manufacturing: A Literature Review</t>
        </is>
      </c>
      <c r="F432" s="26" t="inlineStr">
        <is>
          <t>Journal of Computing and Information Science in Engineering</t>
        </is>
      </c>
      <c r="G432" s="26" t="inlineStr">
        <is>
          <t>Review</t>
        </is>
      </c>
      <c r="H432" s="26" t="inlineStr">
        <is>
          <t>10.1115/1.4071613</t>
        </is>
      </c>
      <c r="I432" s="26" t="inlineStr">
        <is>
          <t>TA</t>
        </is>
      </c>
      <c r="J432" s="37" t="inlineStr">
        <is>
          <t>Exclude</t>
        </is>
      </c>
      <c r="K432" s="37" t="inlineStr">
        <is>
          <t>Wrong publication type</t>
        </is>
      </c>
      <c r="L432" s="31" t="inlineStr">
        <is>
          <t>Review paper: decide include as evidence or use for snowballing</t>
        </is>
      </c>
      <c r="M432" s="37" t="inlineStr">
        <is>
          <t>Revision de blockchain y aprendizaje federado en manufactura ("This review investigates the integration of blockchain (BC) and federated learning (FL)"); gemelos y cadena como aplicaciones. Valor para snowballing: bajo.</t>
        </is>
      </c>
      <c r="N432" s="69" t="inlineStr">
        <is>
          <t>E4</t>
        </is>
      </c>
      <c r="O432" s="69" t="n">
        <v>11</v>
      </c>
      <c r="P432" s="69" t="inlineStr">
        <is>
          <t>Exclude</t>
        </is>
      </c>
      <c r="Q432" s="69" t="inlineStr">
        <is>
          <t>E4</t>
        </is>
      </c>
      <c r="R432" s="69" t="inlineStr">
        <is>
          <t>Revision de blockchain y aprendizaje federado en manufactura ("This review investigates the integration of blockchain (BC) and federated learning (FL)"); gemelos y cadena como aplicaciones. Valor para snowballing: bajo.</t>
        </is>
      </c>
      <c r="S432" s="69" t="n"/>
    </row>
    <row r="433" ht="23.25" customHeight="1" s="17">
      <c r="A433" s="26" t="inlineStr">
        <is>
          <t>R0432</t>
        </is>
      </c>
      <c r="B433" s="26" t="inlineStr">
        <is>
          <t>Scopus + WoS</t>
        </is>
      </c>
      <c r="C433" s="26" t="inlineStr">
        <is>
          <t>Liu K.; Shao Z.</t>
        </is>
      </c>
      <c r="D433" s="26" t="n">
        <v>2026</v>
      </c>
      <c r="E433" s="27" t="inlineStr">
        <is>
          <t>Digital technology Adaption in the hydrogen economy: A literature review</t>
        </is>
      </c>
      <c r="F433" s="26" t="inlineStr">
        <is>
          <t>International Journal of Hydrogen Energy</t>
        </is>
      </c>
      <c r="G433" s="26" t="inlineStr">
        <is>
          <t>Review</t>
        </is>
      </c>
      <c r="H433" s="26" t="inlineStr">
        <is>
          <t>10.1016/j.ijhydene.2025.152687</t>
        </is>
      </c>
      <c r="I433" s="26" t="inlineStr">
        <is>
          <t>TA</t>
        </is>
      </c>
      <c r="J433" s="37" t="inlineStr">
        <is>
          <t>Exclude</t>
        </is>
      </c>
      <c r="K433" s="37" t="inlineStr">
        <is>
          <t>Wrong publication type</t>
        </is>
      </c>
      <c r="L433" s="31" t="inlineStr">
        <is>
          <t>Review paper: decide include as evidence or use for snowballing</t>
        </is>
      </c>
      <c r="M433" s="37" t="inlineStr">
        <is>
          <t>Revision de tecnologias digitales en la economia del hidrogeno ("This comprehensive review provides guidance for building an intelligent, transparent, and efficient digital hydrogen economy"). Valor para snowballing: bajo.</t>
        </is>
      </c>
      <c r="N433" s="69" t="inlineStr">
        <is>
          <t>E4</t>
        </is>
      </c>
      <c r="O433" s="69" t="n">
        <v>11</v>
      </c>
      <c r="P433" s="69" t="inlineStr">
        <is>
          <t>Exclude</t>
        </is>
      </c>
      <c r="Q433" s="69" t="inlineStr">
        <is>
          <t>E4</t>
        </is>
      </c>
      <c r="R433" s="69" t="inlineStr">
        <is>
          <t>Revision de tecnologias digitales en la economia del hidrogeno ("This comprehensive review provides guidance for building an intelligent, transparent, and efficient digital hydrogen economy"). Valor para snowballing: bajo.</t>
        </is>
      </c>
      <c r="S433" s="69" t="n"/>
    </row>
    <row r="434" ht="34.5" customHeight="1" s="17">
      <c r="A434" s="26" t="inlineStr">
        <is>
          <t>R0433</t>
        </is>
      </c>
      <c r="B434" s="26" t="inlineStr">
        <is>
          <t>Scopus</t>
        </is>
      </c>
      <c r="C434" s="26" t="inlineStr">
        <is>
          <t>Tian X.; Wang D.; Yang Y.; Ma C.; Xu Y.; Xu X.; Zhang G.; Wang B.; Wang J.; Tan B.; Liu Y.; Zhang N.; Zhong Q.</t>
        </is>
      </c>
      <c r="D434" s="26" t="n">
        <v>2026</v>
      </c>
      <c r="E434" s="27" t="inlineStr">
        <is>
          <t>Advances in AI-enabled digital integration for geographical origin authenticity of staple crops: Omics-based molecular and elemental strategies</t>
        </is>
      </c>
      <c r="F434" s="26" t="inlineStr">
        <is>
          <t>Trends in Food Science and Technology</t>
        </is>
      </c>
      <c r="G434" s="26" t="inlineStr">
        <is>
          <t>Review</t>
        </is>
      </c>
      <c r="H434" s="26" t="inlineStr">
        <is>
          <t>10.1016/j.tifs.2026.105794</t>
        </is>
      </c>
      <c r="I434" s="26" t="inlineStr">
        <is>
          <t>TA</t>
        </is>
      </c>
      <c r="J434" s="37" t="inlineStr">
        <is>
          <t>Exclude</t>
        </is>
      </c>
      <c r="K434" s="37" t="inlineStr">
        <is>
          <t>Wrong publication type</t>
        </is>
      </c>
      <c r="L434" s="31" t="inlineStr">
        <is>
          <t>Review paper: decide include as evidence or use for snowballing</t>
        </is>
      </c>
      <c r="M434" s="37" t="inlineStr">
        <is>
          <t>Revision de autenticidad de origen con omicas e IA ("This review summarizes recent applications of isotope ratio analysis"); gemelos como tecnologia digital. Valor para snowballing: bajo.</t>
        </is>
      </c>
      <c r="N434" s="69" t="inlineStr">
        <is>
          <t>E4</t>
        </is>
      </c>
      <c r="O434" s="69" t="n">
        <v>11</v>
      </c>
      <c r="P434" s="69" t="inlineStr">
        <is>
          <t>Exclude</t>
        </is>
      </c>
      <c r="Q434" s="69" t="inlineStr">
        <is>
          <t>E4</t>
        </is>
      </c>
      <c r="R434" s="69" t="inlineStr">
        <is>
          <t>Revision de autenticidad de origen con omicas e IA ("This review summarizes recent applications of isotope ratio analysis"); gemelos como tecnologia digital. Valor para snowballing: bajo.</t>
        </is>
      </c>
      <c r="S434" s="69" t="n"/>
    </row>
    <row r="435" ht="23.25" customHeight="1" s="17">
      <c r="A435" s="26" t="inlineStr">
        <is>
          <t>R0434</t>
        </is>
      </c>
      <c r="B435" s="26" t="inlineStr">
        <is>
          <t>Scopus + WoS</t>
        </is>
      </c>
      <c r="C435" s="26" t="inlineStr">
        <is>
          <t>Tyagi K.; Kohli V.; Sikka K.; Kumari M.</t>
        </is>
      </c>
      <c r="D435" s="26" t="n">
        <v>2026</v>
      </c>
      <c r="E435" s="27" t="inlineStr">
        <is>
          <t>Enhancing Food Safety and Traceability: The Contribution of Smart Technologies in the Contemporary Food Sector</t>
        </is>
      </c>
      <c r="F435" s="26" t="inlineStr">
        <is>
          <t>Food Reviews International</t>
        </is>
      </c>
      <c r="G435" s="26" t="inlineStr">
        <is>
          <t>Review</t>
        </is>
      </c>
      <c r="H435" s="26" t="inlineStr">
        <is>
          <t>10.1080/87559129.2026.2670674</t>
        </is>
      </c>
      <c r="I435" s="26" t="inlineStr">
        <is>
          <t>TA</t>
        </is>
      </c>
      <c r="J435" s="37" t="inlineStr">
        <is>
          <t>Exclude</t>
        </is>
      </c>
      <c r="K435" s="37" t="inlineStr">
        <is>
          <t>Wrong publication type</t>
        </is>
      </c>
      <c r="L435" s="31" t="inlineStr">
        <is>
          <t>Review paper: decide include as evidence or use for snowballing</t>
        </is>
      </c>
      <c r="M435" s="37" t="inlineStr">
        <is>
          <t>Revision PRISMA de tecnologias inteligentes para seguridad alimentaria ("Using the PRISMA framework, recent advancements were systematically reviewed"); "DT improves accountability by providing real-time virtual models of food supply chains". Valor para snowballing: medio.</t>
        </is>
      </c>
      <c r="N435" s="69" t="inlineStr">
        <is>
          <t>E4</t>
        </is>
      </c>
      <c r="O435" s="69" t="n">
        <v>11</v>
      </c>
      <c r="P435" s="69" t="inlineStr">
        <is>
          <t>Exclude</t>
        </is>
      </c>
      <c r="Q435" s="69" t="inlineStr">
        <is>
          <t>E4</t>
        </is>
      </c>
      <c r="R435" s="69" t="inlineStr">
        <is>
          <t>Revision PRISMA de tecnologias inteligentes para seguridad alimentaria ("Using the PRISMA framework, recent advancements were systematically reviewed"); "DT improves accountability by providing real-time virtual models of food supply chains". Valor para snowballing: medio.</t>
        </is>
      </c>
      <c r="S435" s="69" t="n"/>
    </row>
    <row r="436" ht="23.25" customHeight="1" s="17">
      <c r="A436" s="26" t="inlineStr">
        <is>
          <t>R0435</t>
        </is>
      </c>
      <c r="B436" s="26" t="inlineStr">
        <is>
          <t>Scopus</t>
        </is>
      </c>
      <c r="C436" s="26" t="inlineStr">
        <is>
          <t>Trabelsi N.; Rejeb A.; Couris S.; Bhat Z.F.; Mhlanga D.; Hassoun A.</t>
        </is>
      </c>
      <c r="D436" s="26" t="n">
        <v>2026</v>
      </c>
      <c r="E436" s="27" t="inlineStr">
        <is>
          <t>Industry 4.0 in olive farming and oil production: A comprehensive review of technologies and trends</t>
        </is>
      </c>
      <c r="F436" s="26" t="inlineStr">
        <is>
          <t>Journal of Agriculture and Food Research</t>
        </is>
      </c>
      <c r="G436" s="26" t="inlineStr">
        <is>
          <t>Review</t>
        </is>
      </c>
      <c r="H436" s="26" t="inlineStr">
        <is>
          <t>10.1016/j.jafr.2026.103209</t>
        </is>
      </c>
      <c r="I436" s="26" t="inlineStr">
        <is>
          <t>TA</t>
        </is>
      </c>
      <c r="J436" s="37" t="inlineStr">
        <is>
          <t>Exclude</t>
        </is>
      </c>
      <c r="K436" s="37" t="inlineStr">
        <is>
          <t>Wrong publication type</t>
        </is>
      </c>
      <c r="L436" s="31" t="inlineStr">
        <is>
          <t>Review paper: decide include as evidence or use for snowballing</t>
        </is>
      </c>
      <c r="M436" s="37" t="inlineStr">
        <is>
          <t>Revision de Industria 4.0 en la cadena del olivo ("A comprehensive review of current research and technological developments is conducted"); gemelos entre las tecnologias. Valor para snowballing: bajo.</t>
        </is>
      </c>
      <c r="N436" s="69" t="inlineStr">
        <is>
          <t>E4</t>
        </is>
      </c>
      <c r="O436" s="69" t="n">
        <v>11</v>
      </c>
      <c r="P436" s="69" t="inlineStr">
        <is>
          <t>Exclude</t>
        </is>
      </c>
      <c r="Q436" s="69" t="inlineStr">
        <is>
          <t>E4</t>
        </is>
      </c>
      <c r="R436" s="69" t="inlineStr">
        <is>
          <t>Revision de Industria 4.0 en la cadena del olivo ("A comprehensive review of current research and technological developments is conducted"); gemelos entre las tecnologias. Valor para snowballing: bajo.</t>
        </is>
      </c>
      <c r="S436" s="69" t="n"/>
    </row>
    <row r="437" ht="23.25" customHeight="1" s="17">
      <c r="A437" s="26" t="inlineStr">
        <is>
          <t>R0436</t>
        </is>
      </c>
      <c r="B437" s="26" t="inlineStr">
        <is>
          <t>Scopus</t>
        </is>
      </c>
      <c r="C437" s="26" t="inlineStr">
        <is>
          <t>Srivastava D.; Arya A.K.</t>
        </is>
      </c>
      <c r="D437" s="26" t="n">
        <v>2026</v>
      </c>
      <c r="E437" s="27" t="inlineStr">
        <is>
          <t>Artificial Intelligence and Machine Learning Applications in Hydrogen-blend Natural Gas Pipeline Transportation</t>
        </is>
      </c>
      <c r="F437" s="26" t="inlineStr">
        <is>
          <t>Recent Innovations in Chemical Engineering</t>
        </is>
      </c>
      <c r="G437" s="26" t="inlineStr">
        <is>
          <t>Review</t>
        </is>
      </c>
      <c r="H437" s="26" t="inlineStr">
        <is>
          <t>10.2174/0124055204491442260603053018</t>
        </is>
      </c>
      <c r="I437" s="26" t="inlineStr">
        <is>
          <t>TA</t>
        </is>
      </c>
      <c r="J437" s="37" t="inlineStr">
        <is>
          <t>Exclude</t>
        </is>
      </c>
      <c r="K437" s="37" t="inlineStr">
        <is>
          <t>Wrong publication type</t>
        </is>
      </c>
      <c r="L437" s="31" t="inlineStr">
        <is>
          <t>Review paper: decide include as evidence or use for snowballing</t>
        </is>
      </c>
      <c r="M437" s="37" t="inlineStr">
        <is>
          <t>Revision de IA y ML en gasoductos con hidrogeno ("This review examines how Artificial Intelligence (AI) and Machine Learning (ML) can address these challenges"); cadena sólo como eficiencia. Valor para snowballing: bajo.</t>
        </is>
      </c>
      <c r="N437" s="69" t="inlineStr">
        <is>
          <t>E4</t>
        </is>
      </c>
      <c r="O437" s="69" t="n">
        <v>11</v>
      </c>
      <c r="P437" s="69" t="inlineStr">
        <is>
          <t>Exclude</t>
        </is>
      </c>
      <c r="Q437" s="69" t="inlineStr">
        <is>
          <t>E4</t>
        </is>
      </c>
      <c r="R437" s="69" t="inlineStr">
        <is>
          <t>Revision de IA y ML en gasoductos con hidrogeno ("This review examines how Artificial Intelligence (AI) and Machine Learning (ML) can address these challenges"); cadena sólo como eficiencia. Valor para snowballing: bajo.</t>
        </is>
      </c>
      <c r="S437" s="69" t="n"/>
    </row>
    <row r="438" ht="23.25" customHeight="1" s="17">
      <c r="A438" s="26" t="inlineStr">
        <is>
          <t>R0437</t>
        </is>
      </c>
      <c r="B438" s="26" t="inlineStr">
        <is>
          <t>Scopus + WoS</t>
        </is>
      </c>
      <c r="C438" s="26" t="inlineStr">
        <is>
          <t>Ismail B.B.; Abba A.H.; Sanka A.I.; Muhammad A.I.; Wang W.; Liu D.</t>
        </is>
      </c>
      <c r="D438" s="26" t="n">
        <v>2026</v>
      </c>
      <c r="E438" s="27" t="inlineStr">
        <is>
          <t>Digital twin-centered food safety management systems: A review of IoT, AI, and blockchain integration for bacterial pathogen control</t>
        </is>
      </c>
      <c r="F438" s="26" t="inlineStr">
        <is>
          <t>Food Research International</t>
        </is>
      </c>
      <c r="G438" s="26" t="inlineStr">
        <is>
          <t>Review</t>
        </is>
      </c>
      <c r="H438" s="26" t="inlineStr">
        <is>
          <t>10.1016/j.foodres.2026.119449</t>
        </is>
      </c>
      <c r="I438" s="26" t="inlineStr">
        <is>
          <t>TA</t>
        </is>
      </c>
      <c r="J438" s="37" t="inlineStr">
        <is>
          <t>Exclude</t>
        </is>
      </c>
      <c r="K438" s="37" t="inlineStr">
        <is>
          <t>Wrong publication type</t>
        </is>
      </c>
      <c r="L438" s="31" t="inlineStr">
        <is>
          <t>Review paper: decide include as evidence or use for snowballing</t>
        </is>
      </c>
      <c r="M438" s="37" t="inlineStr">
        <is>
          <t>Revision PRISMA de sistemas de seguridad alimentaria centrados en gemelo ("this review critically examines the potential of DT-centered integration of IoT, AI, and blockchain"); control de patogenos, no logistica. Valor para snowballing: medio.</t>
        </is>
      </c>
      <c r="N438" s="69" t="inlineStr">
        <is>
          <t>E4</t>
        </is>
      </c>
      <c r="O438" s="69" t="n">
        <v>11</v>
      </c>
      <c r="P438" s="69" t="inlineStr">
        <is>
          <t>Exclude</t>
        </is>
      </c>
      <c r="Q438" s="69" t="inlineStr">
        <is>
          <t>E4</t>
        </is>
      </c>
      <c r="R438" s="69" t="inlineStr">
        <is>
          <t>Revision PRISMA de sistemas de seguridad alimentaria centrados en gemelo ("this review critically examines the potential of DT-centered integration of IoT, AI, and blockchain"); control de patogenos, no logistica. Valor para snowballing: medio.</t>
        </is>
      </c>
      <c r="S438" s="69" t="n"/>
    </row>
    <row r="439" ht="23.25" customHeight="1" s="17">
      <c r="A439" s="26" t="inlineStr">
        <is>
          <t>R0438</t>
        </is>
      </c>
      <c r="B439" s="26" t="inlineStr">
        <is>
          <t>Scopus + WoS</t>
        </is>
      </c>
      <c r="C439" s="26" t="inlineStr">
        <is>
          <t>İnanlar B.; Altay F.</t>
        </is>
      </c>
      <c r="D439" s="26" t="n">
        <v>2026</v>
      </c>
      <c r="E439" s="27" t="inlineStr">
        <is>
          <t>Digital twin technology in AI-operated metaverse for food processing: A pathway to sustainability, efficiency and innovation</t>
        </is>
      </c>
      <c r="F439" s="26" t="inlineStr">
        <is>
          <t>Trends in Food Science and Technology</t>
        </is>
      </c>
      <c r="G439" s="26" t="inlineStr">
        <is>
          <t>Review</t>
        </is>
      </c>
      <c r="H439" s="26" t="inlineStr">
        <is>
          <t>10.1016/j.tifs.2025.105491</t>
        </is>
      </c>
      <c r="I439" s="26" t="inlineStr">
        <is>
          <t>TA</t>
        </is>
      </c>
      <c r="J439" s="37" t="inlineStr">
        <is>
          <t>Exclude</t>
        </is>
      </c>
      <c r="K439" s="37" t="inlineStr">
        <is>
          <t>Wrong publication type</t>
        </is>
      </c>
      <c r="L439" s="31" t="inlineStr">
        <is>
          <t>Review paper: decide include as evidence or use for snowballing</t>
        </is>
      </c>
      <c r="M439" s="37" t="inlineStr">
        <is>
          <t>Revision de gemelos en el metaverso alimentario ("This review presents recent developments in digital twin (DT) technology for food processing"); aplicaciones en "cold chain logistics" y gemelos cognitivos. Valor para snowballing: medio.</t>
        </is>
      </c>
      <c r="N439" s="69" t="inlineStr">
        <is>
          <t>E4</t>
        </is>
      </c>
      <c r="O439" s="69" t="n">
        <v>11</v>
      </c>
      <c r="P439" s="69" t="inlineStr">
        <is>
          <t>Exclude</t>
        </is>
      </c>
      <c r="Q439" s="69" t="inlineStr">
        <is>
          <t>E4</t>
        </is>
      </c>
      <c r="R439" s="69" t="inlineStr">
        <is>
          <t>Revision de gemelos en el metaverso alimentario ("This review presents recent developments in digital twin (DT) technology for food processing"); aplicaciones en "cold chain logistics" y gemelos cognitivos. Valor para snowballing: medio.</t>
        </is>
      </c>
      <c r="S439" s="69" t="n"/>
    </row>
    <row r="440" ht="45.75" customHeight="1" s="17">
      <c r="A440" s="26" t="inlineStr">
        <is>
          <t>R0439</t>
        </is>
      </c>
      <c r="B440" s="26" t="inlineStr">
        <is>
          <t>Scopus + WoS</t>
        </is>
      </c>
      <c r="C440" s="26" t="inlineStr">
        <is>
          <t>Fakhruddin Z.; Ahmed V.; Bahroun Z.</t>
        </is>
      </c>
      <c r="D440" s="26" t="n">
        <v>2026</v>
      </c>
      <c r="E440" s="27" t="inlineStr">
        <is>
          <t>Artificial Intelligence and BIM-Enabled Smart Construction Site Management: A Systematic Review of Site-Level Spatial Decision-Making and Site Layout Optimization-Related Applications for Sustainable Building Delivery</t>
        </is>
      </c>
      <c r="F440" s="26" t="inlineStr">
        <is>
          <t>Smart Cities</t>
        </is>
      </c>
      <c r="G440" s="26" t="inlineStr">
        <is>
          <t>Review</t>
        </is>
      </c>
      <c r="H440" s="26" t="inlineStr">
        <is>
          <t>10.3390/smartcities9070112</t>
        </is>
      </c>
      <c r="I440" s="26" t="inlineStr">
        <is>
          <t>TA</t>
        </is>
      </c>
      <c r="J440" s="37" t="inlineStr">
        <is>
          <t>Exclude</t>
        </is>
      </c>
      <c r="K440" s="37" t="inlineStr">
        <is>
          <t>Wrong publication type</t>
        </is>
      </c>
      <c r="L440" s="31" t="inlineStr">
        <is>
          <t>Review paper: decide include as evidence or use for snowballing</t>
        </is>
      </c>
      <c r="M440" s="37" t="inlineStr">
        <is>
          <t>Revision sistematica PRISMA de IA y BIM en obra ("This study presents a systematic literature review of how AI, BIM, and enabling digital technologies are being applied"); coordinacion logistica de obra como brecha. Valor para snowballing: bajo.</t>
        </is>
      </c>
      <c r="N440" s="69" t="inlineStr">
        <is>
          <t>E4</t>
        </is>
      </c>
      <c r="O440" s="69" t="n">
        <v>11</v>
      </c>
      <c r="P440" s="69" t="inlineStr">
        <is>
          <t>Exclude</t>
        </is>
      </c>
      <c r="Q440" s="69" t="inlineStr">
        <is>
          <t>E4</t>
        </is>
      </c>
      <c r="R440" s="69" t="inlineStr">
        <is>
          <t>Revision sistematica PRISMA de IA y BIM en obra ("This study presents a systematic literature review of how AI, BIM, and enabling digital technologies are being applied"); coordinacion logistica de obra como brecha. Valor para snowballing: bajo.</t>
        </is>
      </c>
      <c r="S440" s="69" t="n"/>
    </row>
    <row r="441" ht="23.25" customHeight="1" s="17">
      <c r="A441" s="26" t="inlineStr">
        <is>
          <t>R0440</t>
        </is>
      </c>
      <c r="B441" s="26" t="inlineStr">
        <is>
          <t>WoS</t>
        </is>
      </c>
      <c r="C441" s="26" t="inlineStr">
        <is>
          <t>Bordbar, A; Tadros, M; Nazemian, A; Aung, MZ; Georgoulas, K; Louvros, P; Boulougouris, E</t>
        </is>
      </c>
      <c r="D441" s="26" t="n">
        <v>2026</v>
      </c>
      <c r="E441" s="27" t="inlineStr">
        <is>
          <t>Digitalisation of Shipyard Production Planning: A Review of Simulation, Optimisation, AI, and Digital Twin Methods (2010-2025)</t>
        </is>
      </c>
      <c r="F441" s="26" t="inlineStr">
        <is>
          <t>JOURNAL OF MARINE SCIENCE AND ENGINEERING</t>
        </is>
      </c>
      <c r="G441" s="26" t="inlineStr">
        <is>
          <t>Review</t>
        </is>
      </c>
      <c r="H441" s="26" t="inlineStr">
        <is>
          <t>10.3390/jmse14040396</t>
        </is>
      </c>
      <c r="I441" s="26" t="inlineStr">
        <is>
          <t>TA</t>
        </is>
      </c>
      <c r="J441" s="37" t="inlineStr">
        <is>
          <t>Exclude</t>
        </is>
      </c>
      <c r="K441" s="37" t="inlineStr">
        <is>
          <t>Wrong publication type</t>
        </is>
      </c>
      <c r="L441" s="31" t="inlineStr">
        <is>
          <t>Review paper: decide include as evidence or use for snowballing</t>
        </is>
      </c>
      <c r="M441" s="37" t="inlineStr">
        <is>
          <t>Revision metodologica de planeacion de produccion en astilleros ("This paper presents a domain-specific methodological review of shipyard production modelling from 2010 to 2025"); DES, optimizacion, ML, RL y gemelos. Valor para snowballing: medio.</t>
        </is>
      </c>
      <c r="N441" s="69" t="inlineStr">
        <is>
          <t>E4</t>
        </is>
      </c>
      <c r="O441" s="69" t="n">
        <v>11</v>
      </c>
      <c r="P441" s="69" t="inlineStr">
        <is>
          <t>Exclude</t>
        </is>
      </c>
      <c r="Q441" s="69" t="inlineStr">
        <is>
          <t>E4</t>
        </is>
      </c>
      <c r="R441" s="69" t="inlineStr">
        <is>
          <t>Revision metodologica de planeacion de produccion en astilleros ("This paper presents a domain-specific methodological review of shipyard production modelling from 2010 to 2025"); DES, optimizacion, ML, RL y gemelos. Valor para snowballing: medio.</t>
        </is>
      </c>
      <c r="S441" s="69" t="n"/>
    </row>
    <row r="442" ht="34.5" customHeight="1" s="17">
      <c r="A442" s="26" t="inlineStr">
        <is>
          <t>R0441</t>
        </is>
      </c>
      <c r="B442" s="26" t="inlineStr">
        <is>
          <t>WoS</t>
        </is>
      </c>
      <c r="C442" s="26" t="inlineStr">
        <is>
          <t>Bhattacharyya, M; Kar, K; Chowdhury, S; Chakraborty, P</t>
        </is>
      </c>
      <c r="D442" s="26" t="n">
        <v>2026</v>
      </c>
      <c r="E442" s="27" t="inlineStr">
        <is>
          <t>Transforming Conventional Pharmaceutical Manufacturing to Green and Sustainable Manufacturing by the Impact of Flow Chemistry and Industry 4.0 Technologies</t>
        </is>
      </c>
      <c r="F442" s="26" t="inlineStr">
        <is>
          <t>CURRENT GREEN CHEMISTRY</t>
        </is>
      </c>
      <c r="G442" s="26" t="inlineStr">
        <is>
          <t>Review; Early Access</t>
        </is>
      </c>
      <c r="H442" s="26" t="inlineStr">
        <is>
          <t>10.2174/0122133461427918251208191454</t>
        </is>
      </c>
      <c r="I442" s="26" t="inlineStr">
        <is>
          <t>TA</t>
        </is>
      </c>
      <c r="J442" s="37" t="inlineStr">
        <is>
          <t>Exclude</t>
        </is>
      </c>
      <c r="K442" s="37" t="inlineStr">
        <is>
          <t>Wrong publication type</t>
        </is>
      </c>
      <c r="L442" s="31" t="inlineStr">
        <is>
          <t>Review paper: decide include as evidence or use for snowballing</t>
        </is>
      </c>
      <c r="M442" s="37" t="inlineStr">
        <is>
          <t>Revision de quimica de flujo e Industria 4.0 en farmacia ("A comprehensive literature survey was conducted"); gemelos e IA como herramientas. Valor para snowballing: bajo.</t>
        </is>
      </c>
      <c r="N442" s="69" t="inlineStr">
        <is>
          <t>E4</t>
        </is>
      </c>
      <c r="O442" s="69" t="n">
        <v>11</v>
      </c>
      <c r="P442" s="69" t="inlineStr">
        <is>
          <t>Exclude</t>
        </is>
      </c>
      <c r="Q442" s="69" t="inlineStr">
        <is>
          <t>E4</t>
        </is>
      </c>
      <c r="R442" s="69" t="inlineStr">
        <is>
          <t>Revision de quimica de flujo e Industria 4.0 en farmacia ("A comprehensive literature survey was conducted"); gemelos e IA como herramientas. Valor para snowballing: bajo.</t>
        </is>
      </c>
      <c r="S442" s="69" t="n"/>
    </row>
    <row r="443" ht="23.25" customHeight="1" s="17">
      <c r="A443" s="26" t="inlineStr">
        <is>
          <t>R0442</t>
        </is>
      </c>
      <c r="B443" s="26" t="inlineStr">
        <is>
          <t>WoS</t>
        </is>
      </c>
      <c r="C443" s="26" t="inlineStr">
        <is>
          <t>Abdulraheem, MI; Fawole, OA</t>
        </is>
      </c>
      <c r="D443" s="26" t="n">
        <v>2026</v>
      </c>
      <c r="E443" s="27" t="inlineStr">
        <is>
          <t>AI-integrated multisensory platforms for real-time monitoring of postharvest physiological changes in horticultural crops</t>
        </is>
      </c>
      <c r="F443" s="26" t="inlineStr">
        <is>
          <t>SUSTAINABLE FOOD TECHNOLOGY</t>
        </is>
      </c>
      <c r="G443" s="26" t="inlineStr">
        <is>
          <t>Review; Early Access</t>
        </is>
      </c>
      <c r="H443" s="26" t="inlineStr">
        <is>
          <t>10.1039/d6fb00177g</t>
        </is>
      </c>
      <c r="I443" s="26" t="inlineStr">
        <is>
          <t>TA</t>
        </is>
      </c>
      <c r="J443" s="37" t="inlineStr">
        <is>
          <t>Exclude</t>
        </is>
      </c>
      <c r="K443" s="37" t="inlineStr">
        <is>
          <t>Wrong publication type</t>
        </is>
      </c>
      <c r="L443" s="31" t="inlineStr">
        <is>
          <t>Review paper: decide include as evidence or use for snowballing</t>
        </is>
      </c>
      <c r="M443" s="37" t="inlineStr">
        <is>
          <t>Revision de plataformas multisensoriales con IA en poscosecha ("This review provides three novel contributions that distinguish it from previous reviews"); gemelos como perspectiva futura. Valor para snowballing: bajo.</t>
        </is>
      </c>
      <c r="N443" s="69" t="inlineStr">
        <is>
          <t>E4</t>
        </is>
      </c>
      <c r="O443" s="69" t="n">
        <v>11</v>
      </c>
      <c r="P443" s="69" t="inlineStr">
        <is>
          <t>Exclude</t>
        </is>
      </c>
      <c r="Q443" s="69" t="inlineStr">
        <is>
          <t>E4</t>
        </is>
      </c>
      <c r="R443" s="69" t="inlineStr">
        <is>
          <t>Revision de plataformas multisensoriales con IA en poscosecha ("This review provides three novel contributions that distinguish it from previous reviews"); gemelos como perspectiva futura. Valor para snowballing: bajo.</t>
        </is>
      </c>
      <c r="S443" s="69" t="n"/>
    </row>
    <row r="444" ht="23.25" customHeight="1" s="17">
      <c r="A444" s="26" t="inlineStr">
        <is>
          <t>R0443</t>
        </is>
      </c>
      <c r="B444" s="26" t="inlineStr">
        <is>
          <t>WoS</t>
        </is>
      </c>
      <c r="C444" s="26" t="inlineStr">
        <is>
          <t>Kohar, UHA; Sikandar, H; Khan, N; Indiran, L</t>
        </is>
      </c>
      <c r="D444" s="26" t="n">
        <v>2026</v>
      </c>
      <c r="E444" s="27" t="inlineStr">
        <is>
          <t>Navigating the digital frontier: challenges and opportunities in sustainable manufacturing through digitalization</t>
        </is>
      </c>
      <c r="F444" s="26" t="inlineStr">
        <is>
          <t>FORESIGHT</t>
        </is>
      </c>
      <c r="G444" s="26" t="inlineStr">
        <is>
          <t>Review</t>
        </is>
      </c>
      <c r="H444" s="26" t="inlineStr">
        <is>
          <t>10.1108/fs-09-2024-0164</t>
        </is>
      </c>
      <c r="I444" s="26" t="inlineStr">
        <is>
          <t>TA</t>
        </is>
      </c>
      <c r="J444" s="37" t="inlineStr">
        <is>
          <t>Exclude</t>
        </is>
      </c>
      <c r="K444" s="37" t="inlineStr">
        <is>
          <t>Wrong publication type</t>
        </is>
      </c>
      <c r="L444" s="31" t="inlineStr">
        <is>
          <t>Review paper: decide include as evidence or use for snowballing</t>
        </is>
      </c>
      <c r="M444" s="37" t="inlineStr">
        <is>
          <t>Revision sistematica con bibliometria de digitalizacion en manufactura sostenible ("The research uses a systematic literature review combined with bibliometric analysis"); gemelos entre las tecnologias. Valor para snowballing: bajo.</t>
        </is>
      </c>
      <c r="N444" s="69" t="inlineStr">
        <is>
          <t>E4</t>
        </is>
      </c>
      <c r="O444" s="69" t="n">
        <v>11</v>
      </c>
      <c r="P444" s="69" t="inlineStr">
        <is>
          <t>Exclude</t>
        </is>
      </c>
      <c r="Q444" s="69" t="inlineStr">
        <is>
          <t>E4</t>
        </is>
      </c>
      <c r="R444" s="69" t="inlineStr">
        <is>
          <t>Revision sistematica con bibliometria de digitalizacion en manufactura sostenible ("The research uses a systematic literature review combined with bibliometric analysis"); gemelos entre las tecnologias. Valor para snowballing: bajo.</t>
        </is>
      </c>
      <c r="S444" s="69" t="n"/>
    </row>
    <row r="445" ht="23.25" customHeight="1" s="17">
      <c r="A445" s="26" t="inlineStr">
        <is>
          <t>R0444</t>
        </is>
      </c>
      <c r="B445" s="26" t="inlineStr">
        <is>
          <t>WoS</t>
        </is>
      </c>
      <c r="C445" s="26" t="inlineStr">
        <is>
          <t>Li, JP; Polovina, N; Konur, S</t>
        </is>
      </c>
      <c r="D445" s="26" t="n">
        <v>2026</v>
      </c>
      <c r="E445" s="27" t="inlineStr">
        <is>
          <t>A Review of AI-Driven Engineering Modelling and Optimization: Methodologies, Applications and Future Directions</t>
        </is>
      </c>
      <c r="F445" s="26" t="inlineStr">
        <is>
          <t>ALGORITHMS</t>
        </is>
      </c>
      <c r="G445" s="26" t="inlineStr">
        <is>
          <t>Review</t>
        </is>
      </c>
      <c r="H445" s="26" t="inlineStr">
        <is>
          <t>10.3390/a19020093</t>
        </is>
      </c>
      <c r="I445" s="26" t="inlineStr">
        <is>
          <t>TA</t>
        </is>
      </c>
      <c r="J445" s="37" t="inlineStr">
        <is>
          <t>Exclude</t>
        </is>
      </c>
      <c r="K445" s="37" t="inlineStr">
        <is>
          <t>Wrong publication type</t>
        </is>
      </c>
      <c r="L445" s="31" t="inlineStr">
        <is>
          <t>Review paper: decide include as evidence or use for snowballing</t>
        </is>
      </c>
      <c r="M445" s="37" t="inlineStr">
        <is>
          <t>Revision de optimizacion de ingenieria con IA ("This review synthesizes the current landscape of AI-driven optimization methodologies"); gemelos como direccion futura. Valor para snowballing: bajo.</t>
        </is>
      </c>
      <c r="N445" s="69" t="inlineStr">
        <is>
          <t>E4</t>
        </is>
      </c>
      <c r="O445" s="69" t="n">
        <v>11</v>
      </c>
      <c r="P445" s="69" t="inlineStr">
        <is>
          <t>Exclude</t>
        </is>
      </c>
      <c r="Q445" s="69" t="inlineStr">
        <is>
          <t>E4</t>
        </is>
      </c>
      <c r="R445" s="69" t="inlineStr">
        <is>
          <t>Revision de optimizacion de ingenieria con IA ("This review synthesizes the current landscape of AI-driven optimization methodologies"); gemelos como direccion futura. Valor para snowballing: bajo.</t>
        </is>
      </c>
      <c r="S445" s="69" t="n"/>
    </row>
    <row r="446" ht="23.25" customHeight="1" s="17">
      <c r="A446" s="26" t="inlineStr">
        <is>
          <t>R0445</t>
        </is>
      </c>
      <c r="B446" s="26" t="inlineStr">
        <is>
          <t>Scopus + WoS</t>
        </is>
      </c>
      <c r="C446" s="26" t="inlineStr">
        <is>
          <t>Anukiruthika T.; Jayas D.S.</t>
        </is>
      </c>
      <c r="D446" s="26" t="n">
        <v>2025</v>
      </c>
      <c r="E446" s="27" t="inlineStr">
        <is>
          <t>AI-driven grain storage solutions: Exploring current technologies, applications, and future trends</t>
        </is>
      </c>
      <c r="F446" s="26" t="inlineStr">
        <is>
          <t>Journal of Stored Products Research</t>
        </is>
      </c>
      <c r="G446" s="26" t="inlineStr">
        <is>
          <t>Review</t>
        </is>
      </c>
      <c r="H446" s="26" t="inlineStr">
        <is>
          <t>10.1016/j.jspr.2025.102588</t>
        </is>
      </c>
      <c r="I446" s="26" t="inlineStr">
        <is>
          <t>TA</t>
        </is>
      </c>
      <c r="J446" s="37" t="inlineStr">
        <is>
          <t>Exclude</t>
        </is>
      </c>
      <c r="K446" s="37" t="inlineStr">
        <is>
          <t>Wrong publication type</t>
        </is>
      </c>
      <c r="L446" s="31" t="inlineStr">
        <is>
          <t>Review paper: decide include as evidence or use for snowballing</t>
        </is>
      </c>
      <c r="M446" s="37" t="inlineStr">
        <is>
          <t>Revision de IA en almacenamiento de granos ("This work provides a comprehensive review on the integration of AI and ML in the food grain industry"); gemelos y cadena como aplicaciones. Valor para snowballing: bajo.</t>
        </is>
      </c>
      <c r="N446" s="69" t="inlineStr">
        <is>
          <t>E4</t>
        </is>
      </c>
      <c r="O446" s="69" t="n">
        <v>11</v>
      </c>
      <c r="P446" s="69" t="inlineStr">
        <is>
          <t>Exclude</t>
        </is>
      </c>
      <c r="Q446" s="69" t="inlineStr">
        <is>
          <t>E4</t>
        </is>
      </c>
      <c r="R446" s="69" t="inlineStr">
        <is>
          <t>Revision de IA en almacenamiento de granos ("This work provides a comprehensive review on the integration of AI and ML in the food grain industry"); gemelos y cadena como aplicaciones. Valor para snowballing: bajo.</t>
        </is>
      </c>
      <c r="S446" s="69" t="n"/>
    </row>
    <row r="447" ht="23.25" customHeight="1" s="17">
      <c r="A447" s="26" t="inlineStr">
        <is>
          <t>R0446</t>
        </is>
      </c>
      <c r="B447" s="26" t="inlineStr">
        <is>
          <t>Scopus + WoS</t>
        </is>
      </c>
      <c r="C447" s="26" t="inlineStr">
        <is>
          <t>Khan M.I.; Yasmeen T.; Khan M.; Hadi N.U.; Asif M.; Farooq M.; Al-Ghamdi S.G.</t>
        </is>
      </c>
      <c r="D447" s="26" t="n">
        <v>2025</v>
      </c>
      <c r="E447" s="27" t="inlineStr">
        <is>
          <t>Integrating industry 4.0 for enhanced sustainability: Pathways and prospects</t>
        </is>
      </c>
      <c r="F447" s="26" t="inlineStr">
        <is>
          <t>Sustainable Production and Consumption</t>
        </is>
      </c>
      <c r="G447" s="26" t="inlineStr">
        <is>
          <t>Review</t>
        </is>
      </c>
      <c r="H447" s="26" t="inlineStr">
        <is>
          <t>10.1016/j.spc.2024.12.012</t>
        </is>
      </c>
      <c r="I447" s="26" t="inlineStr">
        <is>
          <t>TA</t>
        </is>
      </c>
      <c r="J447" s="37" t="inlineStr">
        <is>
          <t>Exclude</t>
        </is>
      </c>
      <c r="K447" s="37" t="inlineStr">
        <is>
          <t>Wrong publication type</t>
        </is>
      </c>
      <c r="L447" s="31" t="inlineStr">
        <is>
          <t>Review paper: decide include as evidence or use for snowballing</t>
        </is>
      </c>
      <c r="M447" s="37" t="inlineStr">
        <is>
          <t>Revision de Industria 4.0 y sostenibilidad ("This paper provides a comprehensive analysis of how Industry 4.0 technologies"); gemelos y cadena entre los temas. Valor para snowballing: bajo.</t>
        </is>
      </c>
      <c r="N447" s="69" t="inlineStr">
        <is>
          <t>E4</t>
        </is>
      </c>
      <c r="O447" s="69" t="n">
        <v>12</v>
      </c>
      <c r="P447" s="69" t="inlineStr">
        <is>
          <t>Exclude</t>
        </is>
      </c>
      <c r="Q447" s="69" t="inlineStr">
        <is>
          <t>E4</t>
        </is>
      </c>
      <c r="R447" s="69" t="inlineStr">
        <is>
          <t>Revision de Industria 4.0 y sostenibilidad ("This paper provides a comprehensive analysis of how Industry 4.0 technologies"); gemelos y cadena entre los temas. Valor para snowballing: bajo.</t>
        </is>
      </c>
      <c r="S447" s="69" t="n"/>
    </row>
    <row r="448" ht="23.25" customHeight="1" s="17">
      <c r="A448" s="26" t="inlineStr">
        <is>
          <t>R0447</t>
        </is>
      </c>
      <c r="B448" s="26" t="inlineStr">
        <is>
          <t>Scopus</t>
        </is>
      </c>
      <c r="C448" s="26" t="inlineStr">
        <is>
          <t>Hu J.-L.; Li Y.; Chew J.-C.</t>
        </is>
      </c>
      <c r="D448" s="26" t="n">
        <v>2025</v>
      </c>
      <c r="E448" s="27" t="inlineStr">
        <is>
          <t>Industry 5.0 and Human-Centered Energy System: A Comprehensive Review with Socio-Economic Viewpoints</t>
        </is>
      </c>
      <c r="F448" s="26" t="inlineStr">
        <is>
          <t>Energies</t>
        </is>
      </c>
      <c r="G448" s="26" t="inlineStr">
        <is>
          <t>Review</t>
        </is>
      </c>
      <c r="H448" s="26" t="inlineStr">
        <is>
          <t>10.3390/en18092345</t>
        </is>
      </c>
      <c r="I448" s="26" t="inlineStr">
        <is>
          <t>TA</t>
        </is>
      </c>
      <c r="J448" s="37" t="inlineStr">
        <is>
          <t>Exclude</t>
        </is>
      </c>
      <c r="K448" s="37" t="inlineStr">
        <is>
          <t>Wrong publication type</t>
        </is>
      </c>
      <c r="L448" s="31" t="inlineStr">
        <is>
          <t>Review paper: decide include as evidence or use for snowballing</t>
        </is>
      </c>
      <c r="M448" s="37" t="inlineStr">
        <is>
          <t>Revision sistematica de Industria 5.0 y sistemas energeticos ("This systematic literature review examines Industry 5.0"); gemelos como simulaciones habilitadoras. Valor para snowballing: bajo.</t>
        </is>
      </c>
      <c r="N448" s="69" t="inlineStr">
        <is>
          <t>E4</t>
        </is>
      </c>
      <c r="O448" s="69" t="n">
        <v>12</v>
      </c>
      <c r="P448" s="69" t="inlineStr">
        <is>
          <t>Exclude</t>
        </is>
      </c>
      <c r="Q448" s="69" t="inlineStr">
        <is>
          <t>E4</t>
        </is>
      </c>
      <c r="R448" s="69" t="inlineStr">
        <is>
          <t>Revision sistematica de Industria 5.0 y sistemas energeticos ("This systematic literature review examines Industry 5.0"); gemelos como simulaciones habilitadoras. Valor para snowballing: bajo.</t>
        </is>
      </c>
      <c r="S448" s="69" t="n"/>
    </row>
    <row r="449" ht="23.25" customHeight="1" s="17">
      <c r="A449" s="26" t="inlineStr">
        <is>
          <t>R0448</t>
        </is>
      </c>
      <c r="B449" s="26" t="inlineStr">
        <is>
          <t>Scopus + WoS</t>
        </is>
      </c>
      <c r="C449" s="26" t="inlineStr">
        <is>
          <t>Yue Y.; Zhang Q.; Ma G.; Wan F.; Huang X.; Peng L.</t>
        </is>
      </c>
      <c r="D449" s="26" t="n">
        <v>2025</v>
      </c>
      <c r="E449" s="27" t="inlineStr">
        <is>
          <t>Modern smart sensing technologies in the fruit supply chain: contributions, challenges, and future prospects</t>
        </is>
      </c>
      <c r="F449" s="26" t="inlineStr">
        <is>
          <t>Trends in Food Science and Technology</t>
        </is>
      </c>
      <c r="G449" s="26" t="inlineStr">
        <is>
          <t>Review</t>
        </is>
      </c>
      <c r="H449" s="26" t="inlineStr">
        <is>
          <t>10.1016/j.tifs.2025.105108</t>
        </is>
      </c>
      <c r="I449" s="26" t="inlineStr">
        <is>
          <t>TA</t>
        </is>
      </c>
      <c r="J449" s="37" t="inlineStr">
        <is>
          <t>Exclude</t>
        </is>
      </c>
      <c r="K449" s="37" t="inlineStr">
        <is>
          <t>Wrong publication type</t>
        </is>
      </c>
      <c r="L449" s="31" t="inlineStr">
        <is>
          <t>Review paper: decide include as evidence or use for snowballing</t>
        </is>
      </c>
      <c r="M449" s="37" t="inlineStr">
        <is>
          <t>Revision de sensores inteligentes en la cadena de la fruta ("This review summarizes the latest research developments in the application of modern smart sensing technologies"); gemelos como integracion futura. Valor para snowballing: bajo.</t>
        </is>
      </c>
      <c r="N449" s="69" t="inlineStr">
        <is>
          <t>E4</t>
        </is>
      </c>
      <c r="O449" s="69" t="n">
        <v>12</v>
      </c>
      <c r="P449" s="69" t="inlineStr">
        <is>
          <t>Exclude</t>
        </is>
      </c>
      <c r="Q449" s="69" t="inlineStr">
        <is>
          <t>E4</t>
        </is>
      </c>
      <c r="R449" s="69" t="inlineStr">
        <is>
          <t>Revision de sensores inteligentes en la cadena de la fruta ("This review summarizes the latest research developments in the application of modern smart sensing technologies"); gemelos como integracion futura. Valor para snowballing: bajo.</t>
        </is>
      </c>
      <c r="S449" s="69" t="n"/>
    </row>
    <row r="450" ht="23.25" customHeight="1" s="17">
      <c r="A450" s="26" t="inlineStr">
        <is>
          <t>R0449</t>
        </is>
      </c>
      <c r="B450" s="26" t="inlineStr">
        <is>
          <t>Scopus + WoS</t>
        </is>
      </c>
      <c r="C450" s="26" t="inlineStr">
        <is>
          <t>Ghanbari H.; Shabani M.; Mohammadi E.; Seiti H.</t>
        </is>
      </c>
      <c r="D450" s="26" t="n">
        <v>2025</v>
      </c>
      <c r="E450" s="27" t="inlineStr">
        <is>
          <t>A comprehensive bibliometric review of digitalization impacts on supply chain risk management</t>
        </is>
      </c>
      <c r="F450" s="26" t="inlineStr">
        <is>
          <t>Supply Chain Analytics</t>
        </is>
      </c>
      <c r="G450" s="26" t="inlineStr">
        <is>
          <t>Review</t>
        </is>
      </c>
      <c r="H450" s="26" t="inlineStr">
        <is>
          <t>10.1016/j.sca.2025.100165</t>
        </is>
      </c>
      <c r="I450" s="26" t="inlineStr">
        <is>
          <t>TA</t>
        </is>
      </c>
      <c r="J450" s="37" t="inlineStr">
        <is>
          <t>Exclude</t>
        </is>
      </c>
      <c r="K450" s="37" t="inlineStr">
        <is>
          <t>Wrong publication type</t>
        </is>
      </c>
      <c r="L450" s="31" t="inlineStr">
        <is>
          <t>Review paper: decide include as evidence or use for snowballing</t>
        </is>
      </c>
      <c r="M450" s="37" t="inlineStr">
        <is>
          <t>Revision bibliometrica de digitalizacion y gestion de riesgo de cadena ("We conducted a bibliometric review to analyze the structure and global trends"); gemelo entre las tecnologias. Valor para snowballing: bajo.</t>
        </is>
      </c>
      <c r="N450" s="69" t="inlineStr">
        <is>
          <t>E4</t>
        </is>
      </c>
      <c r="O450" s="69" t="n">
        <v>12</v>
      </c>
      <c r="P450" s="69" t="inlineStr">
        <is>
          <t>Exclude</t>
        </is>
      </c>
      <c r="Q450" s="69" t="inlineStr">
        <is>
          <t>E4</t>
        </is>
      </c>
      <c r="R450" s="69" t="inlineStr">
        <is>
          <t>Revision bibliometrica de digitalizacion y gestion de riesgo de cadena ("We conducted a bibliometric review to analyze the structure and global trends"); gemelo entre las tecnologias. Valor para snowballing: bajo.</t>
        </is>
      </c>
      <c r="S450" s="69" t="n"/>
    </row>
    <row r="451" ht="23.25" customHeight="1" s="17">
      <c r="A451" s="26" t="inlineStr">
        <is>
          <t>R0450</t>
        </is>
      </c>
      <c r="B451" s="26" t="inlineStr">
        <is>
          <t>Scopus + WoS</t>
        </is>
      </c>
      <c r="C451" s="26" t="inlineStr">
        <is>
          <t>Moufad I.; Frichi Y.; Jawab F.; Mkhalfi J.</t>
        </is>
      </c>
      <c r="D451" s="26" t="n">
        <v>2025</v>
      </c>
      <c r="E451" s="27" t="inlineStr">
        <is>
          <t>Towards Smart and Sustainable Last Mile Delivery Systems: A Scoping Review and Conceptual Framework</t>
        </is>
      </c>
      <c r="F451" s="26" t="inlineStr">
        <is>
          <t>Sustainability (Switzerland)</t>
        </is>
      </c>
      <c r="G451" s="26" t="inlineStr">
        <is>
          <t>Review</t>
        </is>
      </c>
      <c r="H451" s="26" t="inlineStr">
        <is>
          <t>10.3390/su172411270</t>
        </is>
      </c>
      <c r="I451" s="26" t="inlineStr">
        <is>
          <t>TA</t>
        </is>
      </c>
      <c r="J451" s="37" t="inlineStr">
        <is>
          <t>Exclude</t>
        </is>
      </c>
      <c r="K451" s="37" t="inlineStr">
        <is>
          <t>Wrong publication type</t>
        </is>
      </c>
      <c r="L451" s="31" t="inlineStr">
        <is>
          <t>Review paper: decide include as evidence or use for snowballing</t>
        </is>
      </c>
      <c r="M451" s="37" t="inlineStr">
        <is>
          <t>Revision de alcance PRISMA-ScR de ultima milla con marco conceptual ("our paper presents a scoping review to systematically delineate the current state of research on smart and sustainable last-mile delivery systems"); gemelos e IA con gobernanza humano-centrica. Valor para snowballing: medio.</t>
        </is>
      </c>
      <c r="N451" s="69" t="inlineStr">
        <is>
          <t>E4</t>
        </is>
      </c>
      <c r="O451" s="69" t="n">
        <v>12</v>
      </c>
      <c r="P451" s="69" t="inlineStr">
        <is>
          <t>Exclude</t>
        </is>
      </c>
      <c r="Q451" s="69" t="inlineStr">
        <is>
          <t>E4</t>
        </is>
      </c>
      <c r="R451" s="69" t="inlineStr">
        <is>
          <t>Revision de alcance PRISMA-ScR de ultima milla con marco conceptual ("our paper presents a scoping review to systematically delineate the current state of research on smart and sustainable last-mile delivery systems"); gemelos e IA con gobernanza humano-centrica. Valor para snowballing: medio.</t>
        </is>
      </c>
      <c r="S451" s="69" t="n"/>
    </row>
    <row r="452" ht="23.25" customHeight="1" s="17">
      <c r="A452" s="26" t="inlineStr">
        <is>
          <t>R0451</t>
        </is>
      </c>
      <c r="B452" s="26" t="inlineStr">
        <is>
          <t>Scopus + WoS</t>
        </is>
      </c>
      <c r="C452" s="26" t="inlineStr">
        <is>
          <t>Najafzadeh M.; Yeganeh A.</t>
        </is>
      </c>
      <c r="D452" s="26" t="n">
        <v>2025</v>
      </c>
      <c r="E452" s="27" t="inlineStr">
        <is>
          <t>AI-Driven Digital Twins in Industrialized Offsite Construction: A Systematic Review</t>
        </is>
      </c>
      <c r="F452" s="26" t="inlineStr">
        <is>
          <t>Buildings</t>
        </is>
      </c>
      <c r="G452" s="26" t="inlineStr">
        <is>
          <t>Review</t>
        </is>
      </c>
      <c r="H452" s="26" t="inlineStr">
        <is>
          <t>10.3390/buildings15172997</t>
        </is>
      </c>
      <c r="I452" s="26" t="inlineStr">
        <is>
          <t>TA</t>
        </is>
      </c>
      <c r="J452" s="37" t="inlineStr">
        <is>
          <t>Exclude</t>
        </is>
      </c>
      <c r="K452" s="37" t="inlineStr">
        <is>
          <t>Wrong publication type</t>
        </is>
      </c>
      <c r="L452" s="31" t="inlineStr">
        <is>
          <t>Review paper: decide include as evidence or use for snowballing</t>
        </is>
      </c>
      <c r="M452" s="37" t="inlineStr">
        <is>
          <t>Revision sistematica de gemelos con IA en construccion industrializada ("This systematic review investigates the transformative role of artificial intelligence (AI)-enhanced digital twins (DTs)"); "logistics optimization" como grupo tematico. Valor para snowballing: medio.</t>
        </is>
      </c>
      <c r="N452" s="69" t="inlineStr">
        <is>
          <t>E4</t>
        </is>
      </c>
      <c r="O452" s="69" t="n">
        <v>12</v>
      </c>
      <c r="P452" s="69" t="inlineStr">
        <is>
          <t>Exclude</t>
        </is>
      </c>
      <c r="Q452" s="69" t="inlineStr">
        <is>
          <t>E4</t>
        </is>
      </c>
      <c r="R452" s="69" t="inlineStr">
        <is>
          <t>Revision sistematica de gemelos con IA en construccion industrializada ("This systematic review investigates the transformative role of artificial intelligence (AI)-enhanced digital twins (DTs)"); "logistics optimization" como grupo tematico. Valor para snowballing: medio.</t>
        </is>
      </c>
      <c r="S452" s="69" t="n"/>
    </row>
    <row r="453" ht="23.25" customHeight="1" s="17">
      <c r="A453" s="26" t="inlineStr">
        <is>
          <t>R0452</t>
        </is>
      </c>
      <c r="B453" s="26" t="inlineStr">
        <is>
          <t>Scopus + WoS</t>
        </is>
      </c>
      <c r="C453" s="26" t="inlineStr">
        <is>
          <t>Hajjem O.; Zekhnini K.; Hamani N.</t>
        </is>
      </c>
      <c r="D453" s="26" t="n">
        <v>2025</v>
      </c>
      <c r="E453" s="27" t="inlineStr">
        <is>
          <t>Synergies of Industry 5.0 paradigms: Unraveling the dynamics of operational management for supply chains excellence</t>
        </is>
      </c>
      <c r="F453" s="26" t="inlineStr">
        <is>
          <t>Sustainable Futures</t>
        </is>
      </c>
      <c r="G453" s="26" t="inlineStr">
        <is>
          <t>Review</t>
        </is>
      </c>
      <c r="H453" s="26" t="inlineStr">
        <is>
          <t>10.1016/j.sftr.2025.101498</t>
        </is>
      </c>
      <c r="I453" s="26" t="inlineStr">
        <is>
          <t>TA</t>
        </is>
      </c>
      <c r="J453" s="37" t="inlineStr">
        <is>
          <t>Exclude</t>
        </is>
      </c>
      <c r="K453" s="37" t="inlineStr">
        <is>
          <t>Wrong publication type</t>
        </is>
      </c>
      <c r="L453" s="31" t="inlineStr">
        <is>
          <t>Review paper: decide include as evidence or use for snowballing</t>
        </is>
      </c>
      <c r="M453" s="37" t="inlineStr">
        <is>
          <t>Revision sistematica de Industria 5.0 y gestion de operaciones ("a systematic literature review approach was adopted"); gemelos entre las tecnologias para la excelencia de cadena. Valor para snowballing: medio.</t>
        </is>
      </c>
      <c r="N453" s="69" t="inlineStr">
        <is>
          <t>E4</t>
        </is>
      </c>
      <c r="O453" s="69" t="n">
        <v>12</v>
      </c>
      <c r="P453" s="69" t="inlineStr">
        <is>
          <t>Exclude</t>
        </is>
      </c>
      <c r="Q453" s="69" t="inlineStr">
        <is>
          <t>E4</t>
        </is>
      </c>
      <c r="R453" s="69" t="inlineStr">
        <is>
          <t>Revision sistematica de Industria 5.0 y gestion de operaciones ("a systematic literature review approach was adopted"); gemelos entre las tecnologias para la excelencia de cadena. Valor para snowballing: medio.</t>
        </is>
      </c>
      <c r="S453" s="69" t="n"/>
    </row>
    <row r="454" ht="23.25" customHeight="1" s="17">
      <c r="A454" s="26" t="inlineStr">
        <is>
          <t>R0453</t>
        </is>
      </c>
      <c r="B454" s="26" t="inlineStr">
        <is>
          <t>Scopus</t>
        </is>
      </c>
      <c r="C454" s="26" t="inlineStr">
        <is>
          <t>Plakantara S.P.; Karakitsiou A.</t>
        </is>
      </c>
      <c r="D454" s="26" t="n">
        <v>2025</v>
      </c>
      <c r="E454" s="27" t="inlineStr">
        <is>
          <t>Transforming Agrifood Supply Chains with Digital Technologies: a Systematic Review of Safety and Quality Risk Management</t>
        </is>
      </c>
      <c r="F454" s="26" t="inlineStr">
        <is>
          <t>Operations Research Forum</t>
        </is>
      </c>
      <c r="G454" s="26" t="inlineStr">
        <is>
          <t>Review</t>
        </is>
      </c>
      <c r="H454" s="26" t="inlineStr">
        <is>
          <t>10.1007/s43069-025-00511-3</t>
        </is>
      </c>
      <c r="I454" s="26" t="inlineStr">
        <is>
          <t>TA</t>
        </is>
      </c>
      <c r="J454" s="37" t="inlineStr">
        <is>
          <t>Exclude</t>
        </is>
      </c>
      <c r="K454" s="37" t="inlineStr">
        <is>
          <t>Wrong publication type</t>
        </is>
      </c>
      <c r="L454" s="31" t="inlineStr">
        <is>
          <t>Review paper: decide include as evidence or use for snowballing</t>
        </is>
      </c>
      <c r="M454" s="37" t="inlineStr">
        <is>
          <t>Revision sistematica de 164 articulos sobre riesgos de seguridad alimentaria ("This systematic literature review synthesizes findings from 164 peer-reviewed articles"); "digital twins simulate disruptions and optimize safety-critical operations". Valor para snowballing: medio.</t>
        </is>
      </c>
      <c r="N454" s="69" t="inlineStr">
        <is>
          <t>E4</t>
        </is>
      </c>
      <c r="O454" s="69" t="n">
        <v>12</v>
      </c>
      <c r="P454" s="69" t="inlineStr">
        <is>
          <t>Exclude</t>
        </is>
      </c>
      <c r="Q454" s="69" t="inlineStr">
        <is>
          <t>E4</t>
        </is>
      </c>
      <c r="R454" s="69" t="inlineStr">
        <is>
          <t>Revision sistematica de 164 articulos sobre riesgos de seguridad alimentaria ("This systematic literature review synthesizes findings from 164 peer-reviewed articles"); "digital twins simulate disruptions and optimize safety-critical operations". Valor para snowballing: medio.</t>
        </is>
      </c>
      <c r="S454" s="69" t="n"/>
    </row>
    <row r="455" ht="23.25" customHeight="1" s="17">
      <c r="A455" s="26" t="inlineStr">
        <is>
          <t>R0454</t>
        </is>
      </c>
      <c r="B455" s="26" t="inlineStr">
        <is>
          <t>Scopus + WoS</t>
        </is>
      </c>
      <c r="C455" s="26" t="inlineStr">
        <is>
          <t>Gao S.; Huang X.; Li Z.; Zhang X.; Yuan Z.; El-Mesery H.S.; Shi J.; Zou X.</t>
        </is>
      </c>
      <c r="D455" s="26" t="n">
        <v>2025</v>
      </c>
      <c r="E455" s="27" t="inlineStr">
        <is>
          <t>Exploring fruit mechanical injury mechanisms: a review of numerical simulation techniques in the whole supply chain</t>
        </is>
      </c>
      <c r="F455" s="26" t="inlineStr">
        <is>
          <t>Computers and Electronics in Agriculture</t>
        </is>
      </c>
      <c r="G455" s="26" t="inlineStr">
        <is>
          <t>Review</t>
        </is>
      </c>
      <c r="H455" s="26" t="inlineStr">
        <is>
          <t>10.1016/j.compag.2025.110998</t>
        </is>
      </c>
      <c r="I455" s="26" t="inlineStr">
        <is>
          <t>TA</t>
        </is>
      </c>
      <c r="J455" s="37" t="inlineStr">
        <is>
          <t>Exclude</t>
        </is>
      </c>
      <c r="K455" s="37" t="inlineStr">
        <is>
          <t>Wrong publication type</t>
        </is>
      </c>
      <c r="L455" s="31" t="inlineStr">
        <is>
          <t>Review paper: decide include as evidence or use for snowballing</t>
        </is>
      </c>
      <c r="M455" s="37" t="inlineStr">
        <is>
          <t>Revision de simulacion numerica del daño mecanico en frutas ("This review systematically examines the formation mechanisms and physiological consequences of mechanical injuries"); IA sólo como futuro. Valor para snowballing: bajo.</t>
        </is>
      </c>
      <c r="N455" s="69" t="inlineStr">
        <is>
          <t>E4</t>
        </is>
      </c>
      <c r="O455" s="69" t="n">
        <v>12</v>
      </c>
      <c r="P455" s="69" t="inlineStr">
        <is>
          <t>Exclude</t>
        </is>
      </c>
      <c r="Q455" s="69" t="inlineStr">
        <is>
          <t>E4</t>
        </is>
      </c>
      <c r="R455" s="69" t="inlineStr">
        <is>
          <t>Revision de simulacion numerica del daño mecanico en frutas ("This review systematically examines the formation mechanisms and physiological consequences of mechanical injuries"); IA sólo como futuro. Valor para snowballing: bajo.</t>
        </is>
      </c>
      <c r="S455" s="69" t="n"/>
    </row>
    <row r="456" ht="23.25" customHeight="1" s="17">
      <c r="A456" s="26" t="inlineStr">
        <is>
          <t>R0455</t>
        </is>
      </c>
      <c r="B456" s="26" t="inlineStr">
        <is>
          <t>Scopus + WoS</t>
        </is>
      </c>
      <c r="C456" s="26" t="inlineStr">
        <is>
          <t>Buri Z.; T. Kiss J.</t>
        </is>
      </c>
      <c r="D456" s="26" t="n">
        <v>2025</v>
      </c>
      <c r="E456" s="27" t="inlineStr">
        <is>
          <t>Digitalisation in the Context of Industry 4.0 and Industry 5.0: A Bibliometric Literature Review and Visualisation</t>
        </is>
      </c>
      <c r="F456" s="26" t="inlineStr">
        <is>
          <t>Applied System Innovation</t>
        </is>
      </c>
      <c r="G456" s="26" t="inlineStr">
        <is>
          <t>Review</t>
        </is>
      </c>
      <c r="H456" s="26" t="inlineStr">
        <is>
          <t>10.3390/asi8050137</t>
        </is>
      </c>
      <c r="I456" s="26" t="inlineStr">
        <is>
          <t>TA</t>
        </is>
      </c>
      <c r="J456" s="37" t="inlineStr">
        <is>
          <t>Exclude</t>
        </is>
      </c>
      <c r="K456" s="37" t="inlineStr">
        <is>
          <t>Wrong publication type</t>
        </is>
      </c>
      <c r="L456" s="31" t="inlineStr">
        <is>
          <t>Review paper: decide include as evidence or use for snowballing</t>
        </is>
      </c>
      <c r="M456" s="37" t="inlineStr">
        <is>
          <t>Revision bibliometrica de 1441 articulos sobre Industria 4.0 y 5.0 ("The research is based on a database of 1441 Scopus-indexed articles"); gemelos, IA y resiliencia de cadena como foco de la 4.0. Valor para snowballing: medio.</t>
        </is>
      </c>
      <c r="N456" s="69" t="inlineStr">
        <is>
          <t>E4</t>
        </is>
      </c>
      <c r="O456" s="69" t="n">
        <v>12</v>
      </c>
      <c r="P456" s="69" t="inlineStr">
        <is>
          <t>Exclude</t>
        </is>
      </c>
      <c r="Q456" s="69" t="inlineStr">
        <is>
          <t>E4</t>
        </is>
      </c>
      <c r="R456" s="69" t="inlineStr">
        <is>
          <t>Revision bibliometrica de 1441 articulos sobre Industria 4.0 y 5.0 ("The research is based on a database of 1441 Scopus-indexed articles"); gemelos, IA y resiliencia de cadena como foco de la 4.0. Valor para snowballing: medio.</t>
        </is>
      </c>
      <c r="S456" s="69" t="n"/>
    </row>
    <row r="457" ht="23.25" customHeight="1" s="17">
      <c r="A457" s="26" t="inlineStr">
        <is>
          <t>R0456</t>
        </is>
      </c>
      <c r="B457" s="26" t="inlineStr">
        <is>
          <t>Scopus</t>
        </is>
      </c>
      <c r="C457" s="26" t="inlineStr">
        <is>
          <t>Raman R.; Mandal S.; Gunasekaran A.; Papadopoulos T.; Nedungadi P.</t>
        </is>
      </c>
      <c r="D457" s="26" t="n">
        <v>2025</v>
      </c>
      <c r="E457" s="27" t="inlineStr">
        <is>
          <t>Transforming business management practices through metaverse technologies: A Machine Learning approach</t>
        </is>
      </c>
      <c r="F457" s="26" t="inlineStr">
        <is>
          <t>International Journal of Information Management Data Insights</t>
        </is>
      </c>
      <c r="G457" s="26" t="inlineStr">
        <is>
          <t>Review</t>
        </is>
      </c>
      <c r="H457" s="26" t="inlineStr">
        <is>
          <t>10.1016/j.jjimei.2025.100335</t>
        </is>
      </c>
      <c r="I457" s="26" t="inlineStr">
        <is>
          <t>TA</t>
        </is>
      </c>
      <c r="J457" s="37" t="inlineStr">
        <is>
          <t>Exclude</t>
        </is>
      </c>
      <c r="K457" s="37" t="inlineStr">
        <is>
          <t>Wrong publication type</t>
        </is>
      </c>
      <c r="L457" s="31" t="inlineStr">
        <is>
          <t>Review paper: decide include as evidence or use for snowballing</t>
        </is>
      </c>
      <c r="M457" s="37" t="inlineStr">
        <is>
          <t>Revision PRISMA con BERTopic sobre metaverso ("This study critically reviews the literature on metaverse technologies"); tema de gemelos en manufactura y optimizacion de cadena. Valor para snowballing: bajo.</t>
        </is>
      </c>
      <c r="N457" s="69" t="inlineStr">
        <is>
          <t>E4</t>
        </is>
      </c>
      <c r="O457" s="69" t="n">
        <v>12</v>
      </c>
      <c r="P457" s="69" t="inlineStr">
        <is>
          <t>Exclude</t>
        </is>
      </c>
      <c r="Q457" s="69" t="inlineStr">
        <is>
          <t>E4</t>
        </is>
      </c>
      <c r="R457" s="69" t="inlineStr">
        <is>
          <t>Revision PRISMA con BERTopic sobre metaverso ("This study critically reviews the literature on metaverse technologies"); tema de gemelos en manufactura y optimizacion de cadena. Valor para snowballing: bajo.</t>
        </is>
      </c>
      <c r="S457" s="69" t="n"/>
    </row>
    <row r="458" ht="23.25" customHeight="1" s="17">
      <c r="A458" s="26" t="inlineStr">
        <is>
          <t>R0457</t>
        </is>
      </c>
      <c r="B458" s="26" t="inlineStr">
        <is>
          <t>Scopus + WoS</t>
        </is>
      </c>
      <c r="C458" s="26" t="inlineStr">
        <is>
          <t>Smeesters L.; Venturini F.; Paulus S.; Mahlein A.-K.; Perpetuini D.; Cardone D.; Merla A.; Gac B.; Perrin S.; Trégoat D.; Poffo L.; Fournier A.; Bonifazi G.; Serranti S.; Liao W.; Osseiran N.; Vanwolleghem M.; Peretti R.; Bandyopadhyay A.; Bertling K.; Parameswaran K.; Rákic A.D.; Sengupta A.; Svanberg S.; Kujawinska M.; Cozzolino D.; Pérez Marín D.; Entrenas de León J.A.; Torres Rodríguez I.; Fodor M.; Benes E.; Matkovits A.; Jókai Z.; Cristescu S.M.; Khodabakhsh A.; Jahromi K.; Nematollahi M.; Harren F.H.; Rokx E.; Sikorska E.; Sowoidnich K.; Maiwald M.; Sumpf B.; Roussey M.; Peiponen K.-E.; Femenias A.; Fomina P.; Kokoric V.; Stach R.; Mizaikoff B.; Konstantaki M.; Pissadakis S.; Michelucci U.; Paśko S.; Pakuła A.; Crocombe R.A.; Miseo E.V.; Liapis A.C.; Ahmed F.; Sun Z.; Chandrinou C.; Chatzipetrou M.; Zergioti I.; Trog U.; Haase A.; Smolka M.; Oosterveld L.; Van Hoof C.; Müller A.; Hlavatsch M.; Bajrami D.; Olvera-Gonzalez E.; Escalante-Garcia N.; Soro A.B.; Van Hoorde K.; Tiwari B.K.; Westerhoff T.; Kneissl M.; Mignani A.G.</t>
        </is>
      </c>
      <c r="D458" s="26" t="n">
        <v>2025</v>
      </c>
      <c r="E458" s="27" t="inlineStr">
        <is>
          <t>2025 photonics for agrifood roadmap: towards a sustainable and healthier planet</t>
        </is>
      </c>
      <c r="F458" s="26" t="inlineStr">
        <is>
          <t>JPhys Photonics</t>
        </is>
      </c>
      <c r="G458" s="26" t="inlineStr">
        <is>
          <t>Review</t>
        </is>
      </c>
      <c r="H458" s="26" t="inlineStr">
        <is>
          <t>10.1088/2515-7647/adbea9</t>
        </is>
      </c>
      <c r="I458" s="26" t="inlineStr">
        <is>
          <t>TA</t>
        </is>
      </c>
      <c r="J458" s="37" t="inlineStr">
        <is>
          <t>Exclude</t>
        </is>
      </c>
      <c r="K458" s="37" t="inlineStr">
        <is>
          <t>Wrong publication type</t>
        </is>
      </c>
      <c r="L458" s="31" t="inlineStr">
        <is>
          <t>Review paper: decide include as evidence or use for snowballing</t>
        </is>
      </c>
      <c r="M458" s="37" t="inlineStr">
        <is>
          <t>Hoja de ruta de fotonica para agroalimentacion ("This roadmap aims to provide an overview of the state-of-the-art photonics technologies"); gemelos como tendencia. Valor para snowballing: bajo.</t>
        </is>
      </c>
      <c r="N458" s="69" t="inlineStr">
        <is>
          <t>E4</t>
        </is>
      </c>
      <c r="O458" s="69" t="n">
        <v>12</v>
      </c>
      <c r="P458" s="69" t="inlineStr">
        <is>
          <t>Exclude</t>
        </is>
      </c>
      <c r="Q458" s="69" t="inlineStr">
        <is>
          <t>E4</t>
        </is>
      </c>
      <c r="R458" s="69" t="inlineStr">
        <is>
          <t>Hoja de ruta de fotonica para agroalimentacion ("This roadmap aims to provide an overview of the state-of-the-art photonics technologies"); gemelos como tendencia. Valor para snowballing: bajo.</t>
        </is>
      </c>
      <c r="S458" s="69" t="n"/>
    </row>
    <row r="459" ht="23.25" customHeight="1" s="17">
      <c r="A459" s="26" t="inlineStr">
        <is>
          <t>R0458</t>
        </is>
      </c>
      <c r="B459" s="26" t="inlineStr">
        <is>
          <t>Scopus + WoS</t>
        </is>
      </c>
      <c r="C459" s="26" t="inlineStr">
        <is>
          <t>Yeassin R.; Rashid Adnan M.M.; Ahmed Chowdhury M.M.; Mia A.; Jawad Chowdhury Enan M.A.; Fuad M.H.</t>
        </is>
      </c>
      <c r="D459" s="26" t="n">
        <v>2025</v>
      </c>
      <c r="E459" s="27" t="inlineStr">
        <is>
          <t>A comprehensive review of biomass and biofuels and their progress using digital technologies</t>
        </is>
      </c>
      <c r="F459" s="26" t="inlineStr">
        <is>
          <t>Energy Conversion and Management: X</t>
        </is>
      </c>
      <c r="G459" s="26" t="inlineStr">
        <is>
          <t>Review</t>
        </is>
      </c>
      <c r="H459" s="26" t="inlineStr">
        <is>
          <t>10.1016/j.ecmx.2025.101254</t>
        </is>
      </c>
      <c r="I459" s="26" t="inlineStr">
        <is>
          <t>TA</t>
        </is>
      </c>
      <c r="J459" s="37" t="inlineStr">
        <is>
          <t>Exclude</t>
        </is>
      </c>
      <c r="K459" s="37" t="inlineStr">
        <is>
          <t>Wrong publication type</t>
        </is>
      </c>
      <c r="L459" s="31" t="inlineStr">
        <is>
          <t>Review paper: decide include as evidence or use for snowballing</t>
        </is>
      </c>
      <c r="M459" s="37" t="inlineStr">
        <is>
          <t>Revision de biomasa y biocombustibles con tecnologias digitales ("This review provides a critical, end-to-end synthesis"); gemelos a escala de planta y optimizacion de cadena. Valor para snowballing: bajo.</t>
        </is>
      </c>
      <c r="N459" s="69" t="inlineStr">
        <is>
          <t>E4</t>
        </is>
      </c>
      <c r="O459" s="69" t="n">
        <v>12</v>
      </c>
      <c r="P459" s="69" t="inlineStr">
        <is>
          <t>Exclude</t>
        </is>
      </c>
      <c r="Q459" s="69" t="inlineStr">
        <is>
          <t>E4</t>
        </is>
      </c>
      <c r="R459" s="69" t="inlineStr">
        <is>
          <t>Revision de biomasa y biocombustibles con tecnologias digitales ("This review provides a critical, end-to-end synthesis"); gemelos a escala de planta y optimizacion de cadena. Valor para snowballing: bajo.</t>
        </is>
      </c>
      <c r="S459" s="69" t="n"/>
    </row>
    <row r="460" ht="23.25" customHeight="1" s="17">
      <c r="A460" s="26" t="inlineStr">
        <is>
          <t>R0459</t>
        </is>
      </c>
      <c r="B460" s="26" t="inlineStr">
        <is>
          <t>Scopus + WoS</t>
        </is>
      </c>
      <c r="C460" s="26" t="inlineStr">
        <is>
          <t>Ebrahimi S.; Chen J.; Bridgelall R.; Szmerekovsky J.; Motwani J.</t>
        </is>
      </c>
      <c r="D460" s="26" t="n">
        <v>2025</v>
      </c>
      <c r="E460" s="27" t="inlineStr">
        <is>
          <t>Unlocking the Commercialization of SAF Through Integration of Industry 4.0: A Technological Perspective</t>
        </is>
      </c>
      <c r="F460" s="26" t="inlineStr">
        <is>
          <t>Sustainability (Switzerland)</t>
        </is>
      </c>
      <c r="G460" s="26" t="inlineStr">
        <is>
          <t>Review</t>
        </is>
      </c>
      <c r="H460" s="26" t="inlineStr">
        <is>
          <t>10.3390/su17167325</t>
        </is>
      </c>
      <c r="I460" s="26" t="inlineStr">
        <is>
          <t>TA</t>
        </is>
      </c>
      <c r="J460" s="37" t="inlineStr">
        <is>
          <t>Exclude</t>
        </is>
      </c>
      <c r="K460" s="37" t="inlineStr">
        <is>
          <t>Wrong publication type</t>
        </is>
      </c>
      <c r="L460" s="31" t="inlineStr">
        <is>
          <t>Review paper: decide include as evidence or use for snowballing</t>
        </is>
      </c>
      <c r="M460" s="37" t="inlineStr">
        <is>
          <t>Revision integradora de Industria 4.0 en combustible sostenible de aviacion ("This study conducts an integrative literature review"); gemelos entre las tecnologias de cadena. Valor para snowballing: bajo.</t>
        </is>
      </c>
      <c r="N460" s="69" t="inlineStr">
        <is>
          <t>E4</t>
        </is>
      </c>
      <c r="O460" s="69" t="n">
        <v>12</v>
      </c>
      <c r="P460" s="69" t="inlineStr">
        <is>
          <t>Exclude</t>
        </is>
      </c>
      <c r="Q460" s="69" t="inlineStr">
        <is>
          <t>E4</t>
        </is>
      </c>
      <c r="R460" s="69" t="inlineStr">
        <is>
          <t>Revision integradora de Industria 4.0 en combustible sostenible de aviacion ("This study conducts an integrative literature review"); gemelos entre las tecnologias de cadena. Valor para snowballing: bajo.</t>
        </is>
      </c>
      <c r="S460" s="69" t="n"/>
    </row>
    <row r="461" ht="34.5" customHeight="1" s="17">
      <c r="A461" s="26" t="inlineStr">
        <is>
          <t>R0460</t>
        </is>
      </c>
      <c r="B461" s="26" t="inlineStr">
        <is>
          <t>Scopus + WoS</t>
        </is>
      </c>
      <c r="C461" s="26" t="inlineStr">
        <is>
          <t>Singh M.; Wang K.; Chen C.; Corradini M.G.</t>
        </is>
      </c>
      <c r="D461" s="26" t="n">
        <v>2025</v>
      </c>
      <c r="E461" s="27" t="inlineStr">
        <is>
          <t>Luminescence-based techniques to monitor pre-, post-harvest and processing changes in fresh produce and derivatives: Principles, applications and trends</t>
        </is>
      </c>
      <c r="F461" s="26" t="inlineStr">
        <is>
          <t>Trends in Food Science and Technology</t>
        </is>
      </c>
      <c r="G461" s="26" t="inlineStr">
        <is>
          <t>Review</t>
        </is>
      </c>
      <c r="H461" s="26" t="inlineStr">
        <is>
          <t>10.1016/j.tifs.2025.105077</t>
        </is>
      </c>
      <c r="I461" s="26" t="inlineStr">
        <is>
          <t>TA</t>
        </is>
      </c>
      <c r="J461" s="37" t="inlineStr">
        <is>
          <t>Exclude</t>
        </is>
      </c>
      <c r="K461" s="37" t="inlineStr">
        <is>
          <t>Wrong publication type</t>
        </is>
      </c>
      <c r="L461" s="31" t="inlineStr">
        <is>
          <t>Review paper: decide include as evidence or use for snowballing</t>
        </is>
      </c>
      <c r="M461" s="37" t="inlineStr">
        <is>
          <t>Revision de tecnicas de luminiscencia en productos frescos ("This review covers luminescence-based methods"); gemelos como receptores de datos. Valor para snowballing: bajo.</t>
        </is>
      </c>
      <c r="N461" s="69" t="inlineStr">
        <is>
          <t>E4</t>
        </is>
      </c>
      <c r="O461" s="69" t="n">
        <v>12</v>
      </c>
      <c r="P461" s="69" t="inlineStr">
        <is>
          <t>Exclude</t>
        </is>
      </c>
      <c r="Q461" s="69" t="inlineStr">
        <is>
          <t>E4</t>
        </is>
      </c>
      <c r="R461" s="69" t="inlineStr">
        <is>
          <t>Revision de tecnicas de luminiscencia en productos frescos ("This review covers luminescence-based methods"); gemelos como receptores de datos. Valor para snowballing: bajo.</t>
        </is>
      </c>
      <c r="S461" s="69" t="n"/>
    </row>
    <row r="462" ht="23.25" customHeight="1" s="17">
      <c r="A462" s="26" t="inlineStr">
        <is>
          <t>R0461</t>
        </is>
      </c>
      <c r="B462" s="26" t="inlineStr">
        <is>
          <t>Scopus</t>
        </is>
      </c>
      <c r="C462" s="26" t="inlineStr">
        <is>
          <t>Liberty J.T.; Bromage S.; Peter E.; Ihedioha O.C.; Alsalman F.B.; Odogwu T.S.</t>
        </is>
      </c>
      <c r="D462" s="26" t="n">
        <v>2025</v>
      </c>
      <c r="E462" s="27" t="inlineStr">
        <is>
          <t>Smart technology for public health: reshaping the future of food safety</t>
        </is>
      </c>
      <c r="F462" s="26" t="inlineStr">
        <is>
          <t>Food Control</t>
        </is>
      </c>
      <c r="G462" s="26" t="inlineStr">
        <is>
          <t>Review</t>
        </is>
      </c>
      <c r="H462" s="26" t="inlineStr">
        <is>
          <t>10.1016/j.foodcont.2025.111378</t>
        </is>
      </c>
      <c r="I462" s="26" t="inlineStr">
        <is>
          <t>TA</t>
        </is>
      </c>
      <c r="J462" s="37" t="inlineStr">
        <is>
          <t>Exclude</t>
        </is>
      </c>
      <c r="K462" s="37" t="inlineStr">
        <is>
          <t>Wrong publication type</t>
        </is>
      </c>
      <c r="L462" s="31" t="inlineStr">
        <is>
          <t>Review paper: decide include as evidence or use for snowballing</t>
        </is>
      </c>
      <c r="M462" s="37" t="inlineStr">
        <is>
          <t>Revision de tecnologias inteligentes para seguridad alimentaria ("A systematic literature search using databases such as Scopus and Web of Science were conducted"); gemelos para simulaciones predictivas. Valor para snowballing: medio (ajustado en la auditoría final 2026-09-06, antes bajo: cadena alimentaria nombrada y gemelos como objeto de simulación predictiva).</t>
        </is>
      </c>
      <c r="N462" s="69" t="inlineStr">
        <is>
          <t>E4</t>
        </is>
      </c>
      <c r="O462" s="69" t="n">
        <v>12</v>
      </c>
      <c r="P462" s="69" t="inlineStr">
        <is>
          <t>Exclude</t>
        </is>
      </c>
      <c r="Q462" s="69" t="inlineStr">
        <is>
          <t>E4</t>
        </is>
      </c>
      <c r="R462" s="69" t="inlineStr">
        <is>
          <t>Revision de tecnologias inteligentes para seguridad alimentaria ("A systematic literature search using databases such as Scopus and Web of Science were conducted"); gemelos para simulaciones predictivas. Valor para snowballing: bajo.</t>
        </is>
      </c>
      <c r="S462" s="69" t="n"/>
    </row>
    <row r="463" ht="23.25" customHeight="1" s="17">
      <c r="A463" s="26" t="inlineStr">
        <is>
          <t>R0462</t>
        </is>
      </c>
      <c r="B463" s="26" t="inlineStr">
        <is>
          <t>Scopus</t>
        </is>
      </c>
      <c r="C463" s="26" t="inlineStr">
        <is>
          <t>Selepe R.L.; Makinde O.; Munyai T.</t>
        </is>
      </c>
      <c r="D463" s="26" t="n">
        <v>2025</v>
      </c>
      <c r="E463" s="27" t="inlineStr">
        <is>
          <t>A Systematic Literature Review on the Application of Industry 4.0 Technologies in Manufacturing Supply Chain Planning Phase</t>
        </is>
      </c>
      <c r="F463" s="26" t="inlineStr">
        <is>
          <t>International Journal of Supply and Operations Management</t>
        </is>
      </c>
      <c r="G463" s="26" t="inlineStr">
        <is>
          <t>Review</t>
        </is>
      </c>
      <c r="H463" s="26" t="inlineStr">
        <is>
          <t>10.22034/ijsom.2025.110610.3259</t>
        </is>
      </c>
      <c r="I463" s="26" t="inlineStr">
        <is>
          <t>TA</t>
        </is>
      </c>
      <c r="J463" s="37" t="inlineStr">
        <is>
          <t>Exclude</t>
        </is>
      </c>
      <c r="K463" s="37" t="inlineStr">
        <is>
          <t>Wrong publication type</t>
        </is>
      </c>
      <c r="L463" s="31" t="inlineStr">
        <is>
          <t>Review paper: decide include as evidence or use for snowballing</t>
        </is>
      </c>
      <c r="M463" s="37" t="inlineStr">
        <is>
          <t>Revision sistematica de Industria 4.0 en la fase de planeacion de cadena manufacturera ("A five-step systematic literature review was adopted"); "Simulation, Machine Learning, Digital Twin, and Internet-of-things" como tecnologias desplegadas. Valor para snowballing: medio.</t>
        </is>
      </c>
      <c r="N463" s="69" t="inlineStr">
        <is>
          <t>E4</t>
        </is>
      </c>
      <c r="O463" s="69" t="n">
        <v>12</v>
      </c>
      <c r="P463" s="69" t="inlineStr">
        <is>
          <t>Exclude</t>
        </is>
      </c>
      <c r="Q463" s="69" t="inlineStr">
        <is>
          <t>E4</t>
        </is>
      </c>
      <c r="R463" s="69" t="inlineStr">
        <is>
          <t>Revision sistematica de Industria 4.0 en la fase de planeacion de cadena manufacturera ("A five-step systematic literature review was adopted"); "Simulation, Machine Learning, Digital Twin, and Internet-of-things" como tecnologias desplegadas. Valor para snowballing: medio.</t>
        </is>
      </c>
      <c r="S463" s="69" t="n"/>
    </row>
    <row r="464" ht="23.25" customHeight="1" s="17">
      <c r="A464" s="26" t="inlineStr">
        <is>
          <t>R0463</t>
        </is>
      </c>
      <c r="B464" s="26" t="inlineStr">
        <is>
          <t>Scopus + WoS</t>
        </is>
      </c>
      <c r="C464" s="26" t="inlineStr">
        <is>
          <t>Zou Y.; Xiao G.; Li Q.; Biancardo S.A.</t>
        </is>
      </c>
      <c r="D464" s="26" t="n">
        <v>2025</v>
      </c>
      <c r="E464" s="27" t="inlineStr">
        <is>
          <t>Intelligent Maritime Shipping: A Bibliometric Analysis of Internet Technologies and Automated Port Infrastructure Applications</t>
        </is>
      </c>
      <c r="F464" s="26" t="inlineStr">
        <is>
          <t>Journal of Marine Science and Engineering</t>
        </is>
      </c>
      <c r="G464" s="26" t="inlineStr">
        <is>
          <t>Review</t>
        </is>
      </c>
      <c r="H464" s="26" t="inlineStr">
        <is>
          <t>10.3390/jmse13050979</t>
        </is>
      </c>
      <c r="I464" s="26" t="inlineStr">
        <is>
          <t>TA</t>
        </is>
      </c>
      <c r="J464" s="37" t="inlineStr">
        <is>
          <t>Exclude</t>
        </is>
      </c>
      <c r="K464" s="37" t="inlineStr">
        <is>
          <t>Wrong publication type</t>
        </is>
      </c>
      <c r="L464" s="31" t="inlineStr">
        <is>
          <t>Review paper: decide include as evidence or use for snowballing</t>
        </is>
      </c>
      <c r="M464" s="37" t="inlineStr">
        <is>
          <t>Analisis bibliometrico de 488 publicaciones sobre transporte maritimo inteligente ("this study systematically examines 488 publications"); via de "digital twin ports" con modelos de lenguaje. Valor para snowballing: medio.</t>
        </is>
      </c>
      <c r="N464" s="69" t="inlineStr">
        <is>
          <t>E4</t>
        </is>
      </c>
      <c r="O464" s="69" t="n">
        <v>12</v>
      </c>
      <c r="P464" s="69" t="inlineStr">
        <is>
          <t>Exclude</t>
        </is>
      </c>
      <c r="Q464" s="69" t="inlineStr">
        <is>
          <t>E4</t>
        </is>
      </c>
      <c r="R464" s="69" t="inlineStr">
        <is>
          <t>Analisis bibliometrico de 488 publicaciones sobre transporte maritimo inteligente ("this study systematically examines 488 publications"); via de "digital twin ports" con modelos de lenguaje. Valor para snowballing: medio.</t>
        </is>
      </c>
      <c r="S464" s="69" t="n"/>
    </row>
    <row r="465" ht="34.5" customHeight="1" s="17">
      <c r="A465" s="26" t="inlineStr">
        <is>
          <t>R0464</t>
        </is>
      </c>
      <c r="B465" s="26" t="inlineStr">
        <is>
          <t>Scopus + WoS</t>
        </is>
      </c>
      <c r="C465" s="26" t="inlineStr">
        <is>
          <t>Hoffmann T.G.; de Souza C.K.; Sonawane A.D.; Praeger U.; Büchele F.; Neuwald D.A.; Jedermann R.; Linke M.; Sturm B.; Mahajan P.V.</t>
        </is>
      </c>
      <c r="D465" s="26" t="n">
        <v>2025</v>
      </c>
      <c r="E465" s="27" t="inlineStr">
        <is>
          <t>Challenges and future perspectives in postharvest cold storage: technological review on sustainable and efficient cold storage of fresh produce</t>
        </is>
      </c>
      <c r="F465" s="26" t="inlineStr">
        <is>
          <t>Food Research International</t>
        </is>
      </c>
      <c r="G465" s="26" t="inlineStr">
        <is>
          <t>Review</t>
        </is>
      </c>
      <c r="H465" s="26" t="inlineStr">
        <is>
          <t>10.1016/j.foodres.2025.117406</t>
        </is>
      </c>
      <c r="I465" s="26" t="inlineStr">
        <is>
          <t>TA</t>
        </is>
      </c>
      <c r="J465" s="37" t="inlineStr">
        <is>
          <t>Exclude</t>
        </is>
      </c>
      <c r="K465" s="37" t="inlineStr">
        <is>
          <t>Wrong publication type</t>
        </is>
      </c>
      <c r="L465" s="31" t="inlineStr">
        <is>
          <t>Review paper: decide include as evidence or use for snowballing</t>
        </is>
      </c>
      <c r="M465" s="37" t="inlineStr">
        <is>
          <t>Revision de almacenamiento en frio poscosecha ("This review explores key postharvest cold storage technologies"); gemelo como solucion potencial. Valor para snowballing: bajo.</t>
        </is>
      </c>
      <c r="N465" s="69" t="inlineStr">
        <is>
          <t>E4</t>
        </is>
      </c>
      <c r="O465" s="69" t="n">
        <v>12</v>
      </c>
      <c r="P465" s="69" t="inlineStr">
        <is>
          <t>Exclude</t>
        </is>
      </c>
      <c r="Q465" s="69" t="inlineStr">
        <is>
          <t>E4</t>
        </is>
      </c>
      <c r="R465" s="69" t="inlineStr">
        <is>
          <t>Revision de almacenamiento en frio poscosecha ("This review explores key postharvest cold storage technologies"); gemelo como solucion potencial. Valor para snowballing: bajo.</t>
        </is>
      </c>
      <c r="S465" s="69" t="n"/>
    </row>
    <row r="466" ht="23.25" customHeight="1" s="17">
      <c r="A466" s="26" t="inlineStr">
        <is>
          <t>R0465</t>
        </is>
      </c>
      <c r="B466" s="26" t="inlineStr">
        <is>
          <t>Scopus</t>
        </is>
      </c>
      <c r="C466" s="26" t="inlineStr">
        <is>
          <t>Li H.; Luo J.; Xu J.; Zhang X.</t>
        </is>
      </c>
      <c r="D466" s="26" t="n">
        <v>2025</v>
      </c>
      <c r="E466" s="27" t="inlineStr">
        <is>
          <t>Preface — Special Issue: Simulation in the AI Era — Advancing Complex Problem Solving</t>
        </is>
      </c>
      <c r="F466" s="26" t="inlineStr">
        <is>
          <t>Asia-Pacific Journal of Operational Research</t>
        </is>
      </c>
      <c r="G466" s="26" t="inlineStr">
        <is>
          <t>Review</t>
        </is>
      </c>
      <c r="H466" s="26" t="inlineStr">
        <is>
          <t>10.1142/s0217595925020026</t>
        </is>
      </c>
      <c r="I466" s="26" t="inlineStr">
        <is>
          <t>TA</t>
        </is>
      </c>
      <c r="J466" s="37" t="inlineStr">
        <is>
          <t>Exclude</t>
        </is>
      </c>
      <c r="K466" s="37" t="inlineStr">
        <is>
          <t>Wrong publication type</t>
        </is>
      </c>
      <c r="L466" s="31" t="inlineStr">
        <is>
          <t>Review paper: decide include as evidence or use for snowballing</t>
        </is>
      </c>
      <c r="M466" s="37" t="inlineStr">
        <is>
          <t>Prefacio de numero especial (Doc type Review): "This special issue presents 10 studies"; gemelos en tiempo real como direccion emergente; no es un estudio. Valor para snowballing: bajo.</t>
        </is>
      </c>
      <c r="N466" s="69" t="inlineStr">
        <is>
          <t>E4</t>
        </is>
      </c>
      <c r="O466" s="69" t="n">
        <v>12</v>
      </c>
      <c r="P466" s="69" t="inlineStr">
        <is>
          <t>Exclude</t>
        </is>
      </c>
      <c r="Q466" s="69" t="inlineStr">
        <is>
          <t>E4</t>
        </is>
      </c>
      <c r="R466" s="69" t="inlineStr">
        <is>
          <t>Prefacio de numero especial (Doc type Review): "This special issue presents 10 studies"; gemelos en tiempo real como direccion emergente; no es un estudio. Valor para snowballing: bajo.</t>
        </is>
      </c>
      <c r="S466" s="69" t="n"/>
    </row>
    <row r="467" ht="23.25" customHeight="1" s="17">
      <c r="A467" s="26" t="inlineStr">
        <is>
          <t>R0466</t>
        </is>
      </c>
      <c r="B467" s="26" t="inlineStr">
        <is>
          <t>Scopus + WoS</t>
        </is>
      </c>
      <c r="C467" s="26" t="inlineStr">
        <is>
          <t>Silva A.F.S.D.; Moris V.A.D.S.; Silva J.E.A.R.D.; Voltarelli M.A.; Sigahi T.F.A.C.</t>
        </is>
      </c>
      <c r="D467" s="26" t="n">
        <v>2025</v>
      </c>
      <c r="E467" s="27" t="inlineStr">
        <is>
          <t>Machine Learning in Reverse Logistics: A Systematic Literature Review</t>
        </is>
      </c>
      <c r="F467" s="26" t="inlineStr">
        <is>
          <t>Algorithms</t>
        </is>
      </c>
      <c r="G467" s="26" t="inlineStr">
        <is>
          <t>Review</t>
        </is>
      </c>
      <c r="H467" s="26" t="inlineStr">
        <is>
          <t>10.3390/a18100650</t>
        </is>
      </c>
      <c r="I467" s="26" t="inlineStr">
        <is>
          <t>TA</t>
        </is>
      </c>
      <c r="J467" s="37" t="inlineStr">
        <is>
          <t>Exclude</t>
        </is>
      </c>
      <c r="K467" s="37" t="inlineStr">
        <is>
          <t>Wrong publication type</t>
        </is>
      </c>
      <c r="L467" s="31" t="inlineStr">
        <is>
          <t>Review paper: decide include as evidence or use for snowballing</t>
        </is>
      </c>
      <c r="M467" s="37" t="inlineStr">
        <is>
          <t>Revision sistematica PRISMA de ML en logistica inversa ("This article presents a systematic review of ML applications in reverse logistics"); integracion con gemelos como brecha. Valor para snowballing: medio.</t>
        </is>
      </c>
      <c r="N467" s="69" t="inlineStr">
        <is>
          <t>E4</t>
        </is>
      </c>
      <c r="O467" s="69" t="n">
        <v>12</v>
      </c>
      <c r="P467" s="69" t="inlineStr">
        <is>
          <t>Exclude</t>
        </is>
      </c>
      <c r="Q467" s="69" t="inlineStr">
        <is>
          <t>E4</t>
        </is>
      </c>
      <c r="R467" s="69" t="inlineStr">
        <is>
          <t>Revision sistematica PRISMA de ML en logistica inversa ("This article presents a systematic review of ML applications in reverse logistics"); integracion con gemelos como brecha. Valor para snowballing: medio.</t>
        </is>
      </c>
      <c r="S467" s="69" t="n"/>
    </row>
    <row r="468" ht="23.25" customHeight="1" s="17">
      <c r="A468" s="26" t="inlineStr">
        <is>
          <t>R0467</t>
        </is>
      </c>
      <c r="B468" s="26" t="inlineStr">
        <is>
          <t>Scopus + WoS</t>
        </is>
      </c>
      <c r="C468" s="26" t="inlineStr">
        <is>
          <t>Challouf K.; Alhloul A.; Nemeth N.</t>
        </is>
      </c>
      <c r="D468" s="26" t="n">
        <v>2025</v>
      </c>
      <c r="E468" s="27" t="inlineStr">
        <is>
          <t>Mapping the role of industry 4.0 technologies in green supply chain management: a bibliometric and structured text analysis</t>
        </is>
      </c>
      <c r="F468" s="26" t="inlineStr">
        <is>
          <t>Discover Sustainability</t>
        </is>
      </c>
      <c r="G468" s="26" t="inlineStr">
        <is>
          <t>Review</t>
        </is>
      </c>
      <c r="H468" s="26" t="inlineStr">
        <is>
          <t>10.1007/s43621-025-01827-0</t>
        </is>
      </c>
      <c r="I468" s="26" t="inlineStr">
        <is>
          <t>TA</t>
        </is>
      </c>
      <c r="J468" s="37" t="inlineStr">
        <is>
          <t>Exclude</t>
        </is>
      </c>
      <c r="K468" s="37" t="inlineStr">
        <is>
          <t>Wrong publication type</t>
        </is>
      </c>
      <c r="L468" s="31" t="inlineStr">
        <is>
          <t>Review paper: decide include as evidence or use for snowballing</t>
        </is>
      </c>
      <c r="M468" s="37" t="inlineStr">
        <is>
          <t>Bibliometria y analisis de texto de Industria 4.0 en cadena verde ("integrating bibliometric analysis and structured text analysis"); gemelos entre los habilitadores. Valor para snowballing: bajo.</t>
        </is>
      </c>
      <c r="N468" s="69" t="inlineStr">
        <is>
          <t>E4</t>
        </is>
      </c>
      <c r="O468" s="69" t="n">
        <v>12</v>
      </c>
      <c r="P468" s="69" t="inlineStr">
        <is>
          <t>Exclude</t>
        </is>
      </c>
      <c r="Q468" s="69" t="inlineStr">
        <is>
          <t>E4</t>
        </is>
      </c>
      <c r="R468" s="69" t="inlineStr">
        <is>
          <t>Bibliometria y analisis de texto de Industria 4.0 en cadena verde ("integrating bibliometric analysis and structured text analysis"); gemelos entre los habilitadores. Valor para snowballing: bajo.</t>
        </is>
      </c>
      <c r="S468" s="69" t="n"/>
    </row>
    <row r="469" ht="34.5" customHeight="1" s="17">
      <c r="A469" s="26" t="inlineStr">
        <is>
          <t>R0468</t>
        </is>
      </c>
      <c r="B469" s="26" t="inlineStr">
        <is>
          <t>Scopus</t>
        </is>
      </c>
      <c r="C469" s="26" t="inlineStr">
        <is>
          <t>Hosseini Shekarabi S.A.; Kiani Mavi R.; Romero Macau F.</t>
        </is>
      </c>
      <c r="D469" s="26" t="n">
        <v>2025</v>
      </c>
      <c r="E469" s="27" t="inlineStr">
        <is>
          <t>Supply Chain Resilience: A Critical Review of Risk Mitigation, Robust Optimisation, and Technological Solutions and Future Research Directions</t>
        </is>
      </c>
      <c r="F469" s="26" t="inlineStr">
        <is>
          <t>Global Journal of Flexible Systems Management</t>
        </is>
      </c>
      <c r="G469" s="26" t="inlineStr">
        <is>
          <t>Review</t>
        </is>
      </c>
      <c r="H469" s="26" t="inlineStr">
        <is>
          <t>10.1007/s40171-025-00458-8</t>
        </is>
      </c>
      <c r="I469" s="26" t="inlineStr">
        <is>
          <t>TA</t>
        </is>
      </c>
      <c r="J469" s="37" t="inlineStr">
        <is>
          <t>Exclude</t>
        </is>
      </c>
      <c r="K469" s="37" t="inlineStr">
        <is>
          <t>Wrong publication type</t>
        </is>
      </c>
      <c r="L469" s="31" t="inlineStr">
        <is>
          <t>Review paper: decide include as evidence or use for snowballing</t>
        </is>
      </c>
      <c r="M469" s="37" t="inlineStr">
        <is>
          <t>Revision critica de resiliencia de cadena con redes bibliometricas ("This study systematically evaluates the literature of supply chain resilience by integrating bibliometric and network analysis techniques"); hoja de ruta con "digital twin and machine learning". Valor para snowballing: medio.</t>
        </is>
      </c>
      <c r="N469" s="69" t="inlineStr">
        <is>
          <t>E4</t>
        </is>
      </c>
      <c r="O469" s="69" t="n">
        <v>12</v>
      </c>
      <c r="P469" s="69" t="inlineStr">
        <is>
          <t>Exclude</t>
        </is>
      </c>
      <c r="Q469" s="69" t="inlineStr">
        <is>
          <t>E4</t>
        </is>
      </c>
      <c r="R469" s="69" t="inlineStr">
        <is>
          <t>Revision critica de resiliencia de cadena con redes bibliometricas ("This study systematically evaluates the literature of supply chain resilience by integrating bibliometric and network analysis techniques"); hoja de ruta con "digital twin and machine learning". Valor para snowballing: medio.</t>
        </is>
      </c>
      <c r="S469" s="69" t="n"/>
    </row>
    <row r="470" ht="23.25" customHeight="1" s="17">
      <c r="A470" s="26" t="inlineStr">
        <is>
          <t>R0469</t>
        </is>
      </c>
      <c r="B470" s="26" t="inlineStr">
        <is>
          <t>Scopus + WoS</t>
        </is>
      </c>
      <c r="C470" s="26" t="inlineStr">
        <is>
          <t>Naldi L.D.; Galizia F.G.; Bortolini M.; Gabellini M.; Ferrari E.</t>
        </is>
      </c>
      <c r="D470" s="26" t="n">
        <v>2025</v>
      </c>
      <c r="E470" s="27" t="inlineStr">
        <is>
          <t>Unlocking the Potential of Mass Customization Through Industry 4.0: Mapping Research Streams and Future Directions</t>
        </is>
      </c>
      <c r="F470" s="26" t="inlineStr">
        <is>
          <t>Applied Sciences (Switzerland)</t>
        </is>
      </c>
      <c r="G470" s="26" t="inlineStr">
        <is>
          <t>Review</t>
        </is>
      </c>
      <c r="H470" s="26" t="inlineStr">
        <is>
          <t>10.3390/app15137160</t>
        </is>
      </c>
      <c r="I470" s="26" t="inlineStr">
        <is>
          <t>TA</t>
        </is>
      </c>
      <c r="J470" s="37" t="inlineStr">
        <is>
          <t>Exclude</t>
        </is>
      </c>
      <c r="K470" s="37" t="inlineStr">
        <is>
          <t>Wrong publication type</t>
        </is>
      </c>
      <c r="L470" s="31" t="inlineStr">
        <is>
          <t>Review paper: decide include as evidence or use for snowballing</t>
        </is>
      </c>
      <c r="M470" s="37" t="inlineStr">
        <is>
          <t>Revision sistematica de personalizacion masiva ("This paper presents a systematic literature review covering the period from 2011 to 2024"); gemelos como oportunidad futura. Valor para snowballing: bajo.</t>
        </is>
      </c>
      <c r="N470" s="69" t="inlineStr">
        <is>
          <t>E4</t>
        </is>
      </c>
      <c r="O470" s="69" t="n">
        <v>12</v>
      </c>
      <c r="P470" s="69" t="inlineStr">
        <is>
          <t>Exclude</t>
        </is>
      </c>
      <c r="Q470" s="69" t="inlineStr">
        <is>
          <t>E4</t>
        </is>
      </c>
      <c r="R470" s="69" t="inlineStr">
        <is>
          <t>Revision sistematica de personalizacion masiva ("This paper presents a systematic literature review covering the period from 2011 to 2024"); gemelos como oportunidad futura. Valor para snowballing: bajo.</t>
        </is>
      </c>
      <c r="S470" s="69" t="n"/>
    </row>
    <row r="471" ht="23.25" customHeight="1" s="17">
      <c r="A471" s="26" t="inlineStr">
        <is>
          <t>R0470</t>
        </is>
      </c>
      <c r="B471" s="26" t="inlineStr">
        <is>
          <t>Scopus + WoS</t>
        </is>
      </c>
      <c r="C471" s="26" t="inlineStr">
        <is>
          <t>Dawi N.B.M.; Akhtar M.; Namazi H.</t>
        </is>
      </c>
      <c r="D471" s="26" t="n">
        <v>2025</v>
      </c>
      <c r="E471" s="27" t="inlineStr">
        <is>
          <t>APPLICATION OF MATHEMATICAL MODELING IN SUPPLY CHAIN MANAGEMENT: A REVIEW</t>
        </is>
      </c>
      <c r="F471" s="26" t="inlineStr">
        <is>
          <t>Fractals</t>
        </is>
      </c>
      <c r="G471" s="26" t="inlineStr">
        <is>
          <t>Review</t>
        </is>
      </c>
      <c r="H471" s="26" t="inlineStr">
        <is>
          <t>10.1142/s0218348x25300077</t>
        </is>
      </c>
      <c r="I471" s="26" t="inlineStr">
        <is>
          <t>TA</t>
        </is>
      </c>
      <c r="J471" s="37" t="inlineStr">
        <is>
          <t>Exclude</t>
        </is>
      </c>
      <c r="K471" s="37" t="inlineStr">
        <is>
          <t>Wrong publication type</t>
        </is>
      </c>
      <c r="L471" s="31" t="inlineStr">
        <is>
          <t>Review paper: decide include as evidence or use for snowballing</t>
        </is>
      </c>
      <c r="M471" s="37" t="inlineStr">
        <is>
          <t>Revision de modelado matematico en gestion de cadena ("This review synthesizes recent advancements in mathematical modeling"); gemelos e IA como roles emergentes. Valor para snowballing: medio (ajustado en la auditoría final 2026-09-06, antes bajo: gestión de cadena como alcance y gemelos e IA como roles emergentes analizados).</t>
        </is>
      </c>
      <c r="N471" s="69" t="inlineStr">
        <is>
          <t>E4</t>
        </is>
      </c>
      <c r="O471" s="69" t="n">
        <v>12</v>
      </c>
      <c r="P471" s="69" t="inlineStr">
        <is>
          <t>Exclude</t>
        </is>
      </c>
      <c r="Q471" s="69" t="inlineStr">
        <is>
          <t>E4</t>
        </is>
      </c>
      <c r="R471" s="69" t="inlineStr">
        <is>
          <t>Revision de modelado matematico en gestion de cadena ("This review synthesizes recent advancements in mathematical modeling"); gemelos e IA como roles emergentes. Valor para snowballing: bajo.</t>
        </is>
      </c>
      <c r="S471" s="69" t="n"/>
    </row>
    <row r="472" ht="23.25" customHeight="1" s="17">
      <c r="A472" s="26" t="inlineStr">
        <is>
          <t>R0471</t>
        </is>
      </c>
      <c r="B472" s="26" t="inlineStr">
        <is>
          <t>Scopus</t>
        </is>
      </c>
      <c r="C472" s="26" t="inlineStr">
        <is>
          <t>Claran Santhiyagu A.; Vengadesh S.; Rajan Chinna P.</t>
        </is>
      </c>
      <c r="D472" s="26" t="n">
        <v>2025</v>
      </c>
      <c r="E472" s="27" t="inlineStr">
        <is>
          <t>The Implications of Digitalization in Logistics after COVID-19</t>
        </is>
      </c>
      <c r="F472" s="26" t="inlineStr">
        <is>
          <t>International Research Journal of Multidisciplinary Scope</t>
        </is>
      </c>
      <c r="G472" s="26" t="inlineStr">
        <is>
          <t>Review</t>
        </is>
      </c>
      <c r="H472" s="26" t="inlineStr">
        <is>
          <t>10.47857/irjms.2025.v06i01.02336</t>
        </is>
      </c>
      <c r="I472" s="26" t="inlineStr">
        <is>
          <t>TA</t>
        </is>
      </c>
      <c r="J472" s="37" t="inlineStr">
        <is>
          <t>Exclude</t>
        </is>
      </c>
      <c r="K472" s="37" t="inlineStr">
        <is>
          <t>Wrong publication type</t>
        </is>
      </c>
      <c r="L472" s="31" t="inlineStr">
        <is>
          <t>Review paper: decide include as evidence or use for snowballing</t>
        </is>
      </c>
      <c r="M472" s="37" t="inlineStr">
        <is>
          <t>Revision sistematica PRISMA de digitalizacion logistica tras la COVID-19 ("This study conducted a systematic literature review following PRISMA guidelines"); gemelo entre las tecnologias. Valor para snowballing: bajo.</t>
        </is>
      </c>
      <c r="N472" s="69" t="inlineStr">
        <is>
          <t>E4</t>
        </is>
      </c>
      <c r="O472" s="69" t="n">
        <v>12</v>
      </c>
      <c r="P472" s="69" t="inlineStr">
        <is>
          <t>Exclude</t>
        </is>
      </c>
      <c r="Q472" s="69" t="inlineStr">
        <is>
          <t>E4</t>
        </is>
      </c>
      <c r="R472" s="69" t="inlineStr">
        <is>
          <t>Revision sistematica PRISMA de digitalizacion logistica tras la COVID-19 ("This study conducted a systematic literature review following PRISMA guidelines"); gemelo entre las tecnologias. Valor para snowballing: bajo.</t>
        </is>
      </c>
      <c r="S472" s="69" t="n"/>
    </row>
    <row r="473" ht="23.25" customHeight="1" s="17">
      <c r="A473" s="26" t="inlineStr">
        <is>
          <t>R0472</t>
        </is>
      </c>
      <c r="B473" s="26" t="inlineStr">
        <is>
          <t>Scopus + WoS</t>
        </is>
      </c>
      <c r="C473" s="26" t="inlineStr">
        <is>
          <t>Rzeszowska A.; Błażej R.; Jurdziak L.</t>
        </is>
      </c>
      <c r="D473" s="26" t="n">
        <v>2025</v>
      </c>
      <c r="E473" s="27" t="inlineStr">
        <is>
          <t>Non-Destructive Testing for Conveyor Belt Monitoring and Diagnostics: A Review</t>
        </is>
      </c>
      <c r="F473" s="26" t="inlineStr">
        <is>
          <t>Applied Sciences (Switzerland)</t>
        </is>
      </c>
      <c r="G473" s="26" t="inlineStr">
        <is>
          <t>Review</t>
        </is>
      </c>
      <c r="H473" s="26" t="inlineStr">
        <is>
          <t>10.3390/app152413272</t>
        </is>
      </c>
      <c r="I473" s="26" t="inlineStr">
        <is>
          <t>TA</t>
        </is>
      </c>
      <c r="J473" s="37" t="inlineStr">
        <is>
          <t>Exclude</t>
        </is>
      </c>
      <c r="K473" s="37" t="inlineStr">
        <is>
          <t>Wrong publication type</t>
        </is>
      </c>
      <c r="L473" s="31" t="inlineStr">
        <is>
          <t>Review paper: decide include as evidence or use for snowballing</t>
        </is>
      </c>
      <c r="M473" s="37" t="inlineStr">
        <is>
          <t>Revision de ensayos no destructivos en bandas transportadoras ("This paper provides a comprehensive review of current diagnostic solutions"); gemelos como perspectiva. Valor para snowballing: bajo.</t>
        </is>
      </c>
      <c r="N473" s="69" t="inlineStr">
        <is>
          <t>E4</t>
        </is>
      </c>
      <c r="O473" s="69" t="n">
        <v>12</v>
      </c>
      <c r="P473" s="69" t="inlineStr">
        <is>
          <t>Exclude</t>
        </is>
      </c>
      <c r="Q473" s="69" t="inlineStr">
        <is>
          <t>E4</t>
        </is>
      </c>
      <c r="R473" s="69" t="inlineStr">
        <is>
          <t>Revision de ensayos no destructivos en bandas transportadoras ("This paper provides a comprehensive review of current diagnostic solutions"); gemelos como perspectiva. Valor para snowballing: bajo.</t>
        </is>
      </c>
      <c r="S473" s="69" t="n"/>
    </row>
    <row r="474" ht="23.25" customHeight="1" s="17">
      <c r="A474" s="26" t="inlineStr">
        <is>
          <t>R0473</t>
        </is>
      </c>
      <c r="B474" s="26" t="inlineStr">
        <is>
          <t>Scopus + WoS</t>
        </is>
      </c>
      <c r="C474" s="26" t="inlineStr">
        <is>
          <t>Delgado F.; Garrido S.; Bezerra B.S.</t>
        </is>
      </c>
      <c r="D474" s="26" t="n">
        <v>2025</v>
      </c>
      <c r="E474" s="27" t="inlineStr">
        <is>
          <t>Barriers to Visibility in Supply Chains: Challenges and Opportunities of Artificial Intelligence Driven by Industry 4.0 Technologies</t>
        </is>
      </c>
      <c r="F474" s="26" t="inlineStr">
        <is>
          <t>Sustainability (Switzerland)</t>
        </is>
      </c>
      <c r="G474" s="26" t="inlineStr">
        <is>
          <t>Review</t>
        </is>
      </c>
      <c r="H474" s="26" t="inlineStr">
        <is>
          <t>10.3390/su17072998</t>
        </is>
      </c>
      <c r="I474" s="26" t="inlineStr">
        <is>
          <t>TA</t>
        </is>
      </c>
      <c r="J474" s="37" t="inlineStr">
        <is>
          <t>Exclude</t>
        </is>
      </c>
      <c r="K474" s="37" t="inlineStr">
        <is>
          <t>Wrong publication type</t>
        </is>
      </c>
      <c r="L474" s="31" t="inlineStr">
        <is>
          <t>Review paper: decide include as evidence or use for snowballing</t>
        </is>
      </c>
      <c r="M474" s="37" t="inlineStr">
        <is>
          <t>Revision PRISMA de barreras a la visibilidad de cadena ("Using the PRISMA methodology, the study analyzed 20 articles"); gemelos entre las tecnologias de IA. Valor para snowballing: bajo.</t>
        </is>
      </c>
      <c r="N474" s="69" t="inlineStr">
        <is>
          <t>E4</t>
        </is>
      </c>
      <c r="O474" s="69" t="n">
        <v>12</v>
      </c>
      <c r="P474" s="69" t="inlineStr">
        <is>
          <t>Exclude</t>
        </is>
      </c>
      <c r="Q474" s="69" t="inlineStr">
        <is>
          <t>E4</t>
        </is>
      </c>
      <c r="R474" s="69" t="inlineStr">
        <is>
          <t>Revision PRISMA de barreras a la visibilidad de cadena ("Using the PRISMA methodology, the study analyzed 20 articles"); gemelos entre las tecnologias de IA. Valor para snowballing: bajo.</t>
        </is>
      </c>
      <c r="S474" s="69" t="n"/>
    </row>
    <row r="475" ht="23.25" customHeight="1" s="17">
      <c r="A475" s="26" t="inlineStr">
        <is>
          <t>R0474</t>
        </is>
      </c>
      <c r="B475" s="26" t="inlineStr">
        <is>
          <t>Scopus + WoS</t>
        </is>
      </c>
      <c r="C475" s="26" t="inlineStr">
        <is>
          <t>Gund R.; Badgujar C.M.; Samiappan S.; Jagadamma S.</t>
        </is>
      </c>
      <c r="D475" s="26" t="n">
        <v>2025</v>
      </c>
      <c r="E475" s="27" t="inlineStr">
        <is>
          <t>Application of Digital Twin Technology in Smart Agriculture: A Bibliometric Review</t>
        </is>
      </c>
      <c r="F475" s="26" t="inlineStr">
        <is>
          <t>Agriculture (Switzerland)</t>
        </is>
      </c>
      <c r="G475" s="26" t="inlineStr">
        <is>
          <t>Review</t>
        </is>
      </c>
      <c r="H475" s="26" t="inlineStr">
        <is>
          <t>10.3390/agriculture15171799</t>
        </is>
      </c>
      <c r="I475" s="26" t="inlineStr">
        <is>
          <t>TA</t>
        </is>
      </c>
      <c r="J475" s="37" t="inlineStr">
        <is>
          <t>Exclude</t>
        </is>
      </c>
      <c r="K475" s="37" t="inlineStr">
        <is>
          <t>Wrong publication type</t>
        </is>
      </c>
      <c r="L475" s="31" t="inlineStr">
        <is>
          <t>Review paper: decide include as evidence or use for snowballing</t>
        </is>
      </c>
      <c r="M475" s="37" t="inlineStr">
        <is>
          <t>Revision bibliometrica de gemelos en agricultura ("we conducted a bibliometric review"); optimizacion de cadena como interes emergente. Valor para snowballing: bajo.</t>
        </is>
      </c>
      <c r="N475" s="69" t="inlineStr">
        <is>
          <t>E4</t>
        </is>
      </c>
      <c r="O475" s="69" t="n">
        <v>12</v>
      </c>
      <c r="P475" s="69" t="inlineStr">
        <is>
          <t>Exclude</t>
        </is>
      </c>
      <c r="Q475" s="69" t="inlineStr">
        <is>
          <t>E4</t>
        </is>
      </c>
      <c r="R475" s="69" t="inlineStr">
        <is>
          <t>Revision bibliometrica de gemelos en agricultura ("we conducted a bibliometric review"); optimizacion de cadena como interes emergente. Valor para snowballing: bajo.</t>
        </is>
      </c>
      <c r="S475" s="69" t="n"/>
    </row>
    <row r="476" ht="23.25" customHeight="1" s="17">
      <c r="A476" s="26" t="inlineStr">
        <is>
          <t>R0475</t>
        </is>
      </c>
      <c r="B476" s="26" t="inlineStr">
        <is>
          <t>Scopus + WoS</t>
        </is>
      </c>
      <c r="C476" s="26" t="inlineStr">
        <is>
          <t>Hu C.; Zhou T.; Zhou D.; Chen J.</t>
        </is>
      </c>
      <c r="D476" s="26" t="n">
        <v>2025</v>
      </c>
      <c r="E476" s="27" t="inlineStr">
        <is>
          <t>Industry 4.0-driven digital transformation for resilient aerospace supply chains: a comprehensive review</t>
        </is>
      </c>
      <c r="F476" s="26" t="inlineStr">
        <is>
          <t>Aircraft Engineering and Aerospace Technology</t>
        </is>
      </c>
      <c r="G476" s="26" t="inlineStr">
        <is>
          <t>Review</t>
        </is>
      </c>
      <c r="H476" s="26" t="inlineStr">
        <is>
          <t>10.1108/aeat-08-2025-0291</t>
        </is>
      </c>
      <c r="I476" s="26" t="inlineStr">
        <is>
          <t>TA</t>
        </is>
      </c>
      <c r="J476" s="37" t="inlineStr">
        <is>
          <t>Exclude</t>
        </is>
      </c>
      <c r="K476" s="37" t="inlineStr">
        <is>
          <t>Wrong publication type</t>
        </is>
      </c>
      <c r="L476" s="31" t="inlineStr">
        <is>
          <t>Review paper: decide include as evidence or use for snowballing</t>
        </is>
      </c>
      <c r="M476" s="37" t="inlineStr">
        <is>
          <t>Revision sistematica de transformacion digital para resiliencia de cadenas aeroespaciales ("The authors conduct a systematic review with a structured critical appraisal"); gemelos entre las tecnologias mapeadas. Valor para snowballing: medio.</t>
        </is>
      </c>
      <c r="N476" s="69" t="inlineStr">
        <is>
          <t>E4</t>
        </is>
      </c>
      <c r="O476" s="69" t="n">
        <v>12</v>
      </c>
      <c r="P476" s="69" t="inlineStr">
        <is>
          <t>Exclude</t>
        </is>
      </c>
      <c r="Q476" s="69" t="inlineStr">
        <is>
          <t>E4</t>
        </is>
      </c>
      <c r="R476" s="69" t="inlineStr">
        <is>
          <t>Revision sistematica de transformacion digital para resiliencia de cadenas aeroespaciales ("The authors conduct a systematic review with a structured critical appraisal"); gemelos entre las tecnologias mapeadas. Valor para snowballing: medio.</t>
        </is>
      </c>
      <c r="S476" s="69" t="n"/>
    </row>
    <row r="477" ht="23.25" customHeight="1" s="17">
      <c r="A477" s="26" t="inlineStr">
        <is>
          <t>R0476</t>
        </is>
      </c>
      <c r="B477" s="26" t="inlineStr">
        <is>
          <t>WoS</t>
        </is>
      </c>
      <c r="C477" s="26" t="inlineStr">
        <is>
          <t>Aberkane, MS; Otman, A</t>
        </is>
      </c>
      <c r="D477" s="26" t="n">
        <v>2025</v>
      </c>
      <c r="E477" s="27" t="inlineStr">
        <is>
          <t>Product lifecycle management: what sectors and what technologies used? A systematic literature review</t>
        </is>
      </c>
      <c r="F477" s="26" t="inlineStr">
        <is>
          <t>DISCOVER SUSTAINABILITY</t>
        </is>
      </c>
      <c r="G477" s="26" t="inlineStr">
        <is>
          <t>Review</t>
        </is>
      </c>
      <c r="H477" s="26" t="inlineStr">
        <is>
          <t>10.1007/s43621-025-01267-w</t>
        </is>
      </c>
      <c r="I477" s="26" t="inlineStr">
        <is>
          <t>TA</t>
        </is>
      </c>
      <c r="J477" s="37" t="inlineStr">
        <is>
          <t>Exclude</t>
        </is>
      </c>
      <c r="K477" s="37" t="inlineStr">
        <is>
          <t>Wrong publication type</t>
        </is>
      </c>
      <c r="L477" s="31" t="inlineStr">
        <is>
          <t>Review paper: decide include as evidence or use for snowballing</t>
        </is>
      </c>
      <c r="M477" s="37" t="inlineStr">
        <is>
          <t>Revision sistematica de gestion del ciclo de vida del producto ("findings from a systematic literature review (SLR)"); gemelos e IA como via futura. Valor para snowballing: bajo.</t>
        </is>
      </c>
      <c r="N477" s="69" t="inlineStr">
        <is>
          <t>E4</t>
        </is>
      </c>
      <c r="O477" s="69" t="n">
        <v>12</v>
      </c>
      <c r="P477" s="69" t="inlineStr">
        <is>
          <t>Exclude</t>
        </is>
      </c>
      <c r="Q477" s="69" t="inlineStr">
        <is>
          <t>E4</t>
        </is>
      </c>
      <c r="R477" s="69" t="inlineStr">
        <is>
          <t>Revision sistematica de gestion del ciclo de vida del producto ("findings from a systematic literature review (SLR)"); gemelos e IA como via futura. Valor para snowballing: bajo.</t>
        </is>
      </c>
      <c r="S477" s="69" t="n"/>
    </row>
    <row r="478" ht="34.5" customHeight="1" s="17">
      <c r="A478" s="26" t="inlineStr">
        <is>
          <t>R0477</t>
        </is>
      </c>
      <c r="B478" s="26" t="inlineStr">
        <is>
          <t>WoS</t>
        </is>
      </c>
      <c r="C478" s="26" t="inlineStr">
        <is>
          <t>Shadkam, E; Irannezhad, E</t>
        </is>
      </c>
      <c r="D478" s="26" t="n">
        <v>2025</v>
      </c>
      <c r="E478" s="27" t="inlineStr">
        <is>
          <t>A comprehensive review of simulation optimization methods in agricultural supply chains and transition towards an agent-based intelligent digital framework for agriculture 4.0</t>
        </is>
      </c>
      <c r="F478" s="26" t="inlineStr">
        <is>
          <t>ENGINEERING APPLICATIONS OF ARTIFICIAL INTELLIGENCE</t>
        </is>
      </c>
      <c r="G478" s="26" t="inlineStr">
        <is>
          <t>Review</t>
        </is>
      </c>
      <c r="H478" s="26" t="inlineStr">
        <is>
          <t>10.1016/j.engappai.2024.109930</t>
        </is>
      </c>
      <c r="I478" s="26" t="inlineStr">
        <is>
          <t>TA</t>
        </is>
      </c>
      <c r="J478" s="37" t="inlineStr">
        <is>
          <t>Exclude</t>
        </is>
      </c>
      <c r="K478" s="37" t="inlineStr">
        <is>
          <t>Wrong publication type</t>
        </is>
      </c>
      <c r="L478" s="31" t="inlineStr">
        <is>
          <t>Review paper: decide include as evidence or use for snowballing</t>
        </is>
      </c>
      <c r="M478" s="37" t="inlineStr">
        <is>
          <t>Revision de optimizacion basada en simulacion en cadenas agricolas con marco conceptual de gemelo con agentes y aprendizaje por refuerzo ("a conceptual framework for a digital and intelligent agricultural supply chain, seamlessly integrating agent-based simulation and reinforcement learning strategies"). Valor para snowballing: alto.</t>
        </is>
      </c>
      <c r="N478" s="69" t="inlineStr">
        <is>
          <t>E4</t>
        </is>
      </c>
      <c r="O478" s="69" t="n">
        <v>12</v>
      </c>
      <c r="P478" s="69" t="inlineStr">
        <is>
          <t>Exclude</t>
        </is>
      </c>
      <c r="Q478" s="69" t="inlineStr">
        <is>
          <t>E4</t>
        </is>
      </c>
      <c r="R478" s="69" t="inlineStr">
        <is>
          <t>Revision de optimizacion basada en simulacion en cadenas agricolas con marco conceptual de gemelo con agentes y aprendizaje por refuerzo ("a conceptual framework for a digital and intelligent agricultural supply chain, seamlessly integrating agent-based simulation and reinforcement learning strategies"). Valor para snowballing: alto.</t>
        </is>
      </c>
      <c r="S478" s="69" t="n"/>
    </row>
    <row r="479" ht="23.25" customHeight="1" s="17">
      <c r="A479" s="26" t="inlineStr">
        <is>
          <t>R0478</t>
        </is>
      </c>
      <c r="B479" s="26" t="inlineStr">
        <is>
          <t>WoS</t>
        </is>
      </c>
      <c r="C479" s="26" t="inlineStr">
        <is>
          <t>Almazrouei, W; Demir, E</t>
        </is>
      </c>
      <c r="D479" s="26" t="n">
        <v>2025</v>
      </c>
      <c r="E479" s="27" t="inlineStr">
        <is>
          <t>Value creation in parcel delivery: A systematic literature review and research agenda</t>
        </is>
      </c>
      <c r="F479" s="26" t="inlineStr">
        <is>
          <t>SUSTAINABLE FUTURES</t>
        </is>
      </c>
      <c r="G479" s="26" t="inlineStr">
        <is>
          <t>Review</t>
        </is>
      </c>
      <c r="H479" s="26" t="inlineStr">
        <is>
          <t>10.1016/j.sftr.2025.101557</t>
        </is>
      </c>
      <c r="I479" s="26" t="inlineStr">
        <is>
          <t>TA</t>
        </is>
      </c>
      <c r="J479" s="37" t="inlineStr">
        <is>
          <t>Exclude</t>
        </is>
      </c>
      <c r="K479" s="37" t="inlineStr">
        <is>
          <t>Wrong publication type</t>
        </is>
      </c>
      <c r="L479" s="31" t="inlineStr">
        <is>
          <t>Review paper: decide include as evidence or use for snowballing</t>
        </is>
      </c>
      <c r="M479" s="37" t="inlineStr">
        <is>
          <t>Revision sistematica PRISMA de creacion de valor en paqueteria ("systematically reviewing 138 peer reviewed articles"); gemelo entre las tecnologias emergentes. Valor para snowballing: bajo.</t>
        </is>
      </c>
      <c r="N479" s="69" t="inlineStr">
        <is>
          <t>E4</t>
        </is>
      </c>
      <c r="O479" s="69" t="n">
        <v>12</v>
      </c>
      <c r="P479" s="69" t="inlineStr">
        <is>
          <t>Exclude</t>
        </is>
      </c>
      <c r="Q479" s="69" t="inlineStr">
        <is>
          <t>E4</t>
        </is>
      </c>
      <c r="R479" s="69" t="inlineStr">
        <is>
          <t>Revision sistematica PRISMA de creacion de valor en paqueteria ("systematically reviewing 138 peer reviewed articles"); gemelo entre las tecnologias emergentes. Valor para snowballing: bajo.</t>
        </is>
      </c>
      <c r="S479" s="69" t="n"/>
    </row>
    <row r="480" ht="23.25" customHeight="1" s="17">
      <c r="A480" s="26" t="inlineStr">
        <is>
          <t>R0479</t>
        </is>
      </c>
      <c r="B480" s="26" t="inlineStr">
        <is>
          <t>WoS</t>
        </is>
      </c>
      <c r="C480" s="26" t="inlineStr">
        <is>
          <t>Hasani, N; Hosseini, A; Ashjazadeh, Y; Diederichs, V; Ghotb, S; Riggio, M; Hansen, E; Nasir, V</t>
        </is>
      </c>
      <c r="D480" s="26" t="n">
        <v>2025</v>
      </c>
      <c r="E480" s="27" t="inlineStr">
        <is>
          <t>Outlook on human-centred design in industry 5.0: towards mass customisation, personalisation, co-creation, and co-production</t>
        </is>
      </c>
      <c r="F480" s="26" t="inlineStr">
        <is>
          <t>INTERNATIONAL JOURNAL OF SUSTAINABLE ENGINEERING</t>
        </is>
      </c>
      <c r="G480" s="26" t="inlineStr">
        <is>
          <t>Review</t>
        </is>
      </c>
      <c r="H480" s="26" t="inlineStr">
        <is>
          <t>10.1080/19397038.2025.2486343</t>
        </is>
      </c>
      <c r="I480" s="26" t="inlineStr">
        <is>
          <t>TA</t>
        </is>
      </c>
      <c r="J480" s="37" t="inlineStr">
        <is>
          <t>Exclude</t>
        </is>
      </c>
      <c r="K480" s="37" t="inlineStr">
        <is>
          <t>Wrong publication type</t>
        </is>
      </c>
      <c r="L480" s="31" t="inlineStr">
        <is>
          <t>Review paper: decide include as evidence or use for snowballing</t>
        </is>
      </c>
      <c r="M480" s="37" t="inlineStr">
        <is>
          <t>Revision de diseño centrado en el humano en Industria 5.0 ("This study reviews and expands upon the traditional human-centred design"); gemelos como habilitador. Valor para snowballing: bajo.</t>
        </is>
      </c>
      <c r="N480" s="69" t="inlineStr">
        <is>
          <t>E4</t>
        </is>
      </c>
      <c r="O480" s="69" t="n">
        <v>12</v>
      </c>
      <c r="P480" s="69" t="inlineStr">
        <is>
          <t>Exclude</t>
        </is>
      </c>
      <c r="Q480" s="69" t="inlineStr">
        <is>
          <t>E4</t>
        </is>
      </c>
      <c r="R480" s="69" t="inlineStr">
        <is>
          <t>Revision de diseño centrado en el humano en Industria 5.0 ("This study reviews and expands upon the traditional human-centred design"); gemelos como habilitador. Valor para snowballing: bajo.</t>
        </is>
      </c>
      <c r="S480" s="69" t="n"/>
    </row>
    <row r="481" ht="23.25" customHeight="1" s="17">
      <c r="A481" s="26" t="inlineStr">
        <is>
          <t>R0480</t>
        </is>
      </c>
      <c r="B481" s="26" t="inlineStr">
        <is>
          <t>Scopus</t>
        </is>
      </c>
      <c r="C481" s="26" t="inlineStr">
        <is>
          <t>Alsakhen I.F.; Buics L.; Süle E.</t>
        </is>
      </c>
      <c r="D481" s="26" t="n">
        <v>2024</v>
      </c>
      <c r="E481" s="27" t="inlineStr">
        <is>
          <t>Emerging Technologies in Pharmaceutical Supply Chains: a Comprehensive Analysis of Findings and Implications</t>
        </is>
      </c>
      <c r="F481" s="26" t="inlineStr">
        <is>
          <t>Chemical Engineering Transactions</t>
        </is>
      </c>
      <c r="G481" s="26" t="inlineStr">
        <is>
          <t>Review</t>
        </is>
      </c>
      <c r="H481" s="26" t="inlineStr">
        <is>
          <t>10.3303/cet24114136</t>
        </is>
      </c>
      <c r="I481" s="26" t="inlineStr">
        <is>
          <t>TA</t>
        </is>
      </c>
      <c r="J481" s="37" t="inlineStr">
        <is>
          <t>Exclude</t>
        </is>
      </c>
      <c r="K481" s="37" t="inlineStr">
        <is>
          <t>Wrong publication type</t>
        </is>
      </c>
      <c r="L481" s="31" t="inlineStr">
        <is>
          <t>Review paper: decide include as evidence or use for snowballing</t>
        </is>
      </c>
      <c r="M481" s="37" t="inlineStr">
        <is>
          <t>Revision sistematica de tecnologias emergentes en cadenas farmaceuticas ("This study undertakes a systematic literature review"); "Intelligent Digital Twins (iDTs) for stress testing and real-time response". Valor para snowballing: medio.</t>
        </is>
      </c>
      <c r="N481" s="69" t="inlineStr">
        <is>
          <t>E4</t>
        </is>
      </c>
      <c r="O481" s="69" t="n">
        <v>12</v>
      </c>
      <c r="P481" s="69" t="inlineStr">
        <is>
          <t>Exclude</t>
        </is>
      </c>
      <c r="Q481" s="69" t="inlineStr">
        <is>
          <t>E4</t>
        </is>
      </c>
      <c r="R481" s="69" t="inlineStr">
        <is>
          <t>Revision sistematica de tecnologias emergentes en cadenas farmaceuticas ("This study undertakes a systematic literature review"); "Intelligent Digital Twins (iDTs) for stress testing and real-time response". Valor para snowballing: medio.</t>
        </is>
      </c>
      <c r="S481" s="69" t="n"/>
    </row>
    <row r="482" ht="23.25" customHeight="1" s="17">
      <c r="A482" s="26" t="inlineStr">
        <is>
          <t>R0481</t>
        </is>
      </c>
      <c r="B482" s="26" t="inlineStr">
        <is>
          <t>Scopus + WoS</t>
        </is>
      </c>
      <c r="C482" s="26" t="inlineStr">
        <is>
          <t>Qiao J.; Zhang M.; Qiu L.; Mujumdar A.S.; Ma Y.</t>
        </is>
      </c>
      <c r="D482" s="26" t="n">
        <v>2024</v>
      </c>
      <c r="E482" s="27" t="inlineStr">
        <is>
          <t>Visual early warning and prediction of fresh food quality deterioration: Research progress and application in supply chain</t>
        </is>
      </c>
      <c r="F482" s="26" t="inlineStr">
        <is>
          <t>Food Bioscience</t>
        </is>
      </c>
      <c r="G482" s="26" t="inlineStr">
        <is>
          <t>Review</t>
        </is>
      </c>
      <c r="H482" s="26" t="inlineStr">
        <is>
          <t>10.1016/j.fbio.2024.103671</t>
        </is>
      </c>
      <c r="I482" s="26" t="inlineStr">
        <is>
          <t>TA</t>
        </is>
      </c>
      <c r="J482" s="37" t="inlineStr">
        <is>
          <t>Exclude</t>
        </is>
      </c>
      <c r="K482" s="37" t="inlineStr">
        <is>
          <t>Wrong publication type</t>
        </is>
      </c>
      <c r="L482" s="31" t="inlineStr">
        <is>
          <t>Review paper: decide include as evidence or use for snowballing</t>
        </is>
      </c>
      <c r="M482" s="37" t="inlineStr">
        <is>
          <t>Revision de alerta visual temprana en alimentos frescos ("this review comprehensively discusses recent research and progress in application of intelligent packaging"); gemelo con IA para prediccion de calidad en cadena. Valor para snowballing: medio.</t>
        </is>
      </c>
      <c r="N482" s="69" t="inlineStr">
        <is>
          <t>E4</t>
        </is>
      </c>
      <c r="O482" s="69" t="n">
        <v>12</v>
      </c>
      <c r="P482" s="69" t="inlineStr">
        <is>
          <t>Exclude</t>
        </is>
      </c>
      <c r="Q482" s="69" t="inlineStr">
        <is>
          <t>E4</t>
        </is>
      </c>
      <c r="R482" s="69" t="inlineStr">
        <is>
          <t>Revision de alerta visual temprana en alimentos frescos ("this review comprehensively discusses recent research and progress in application of intelligent packaging"); gemelo con IA para prediccion de calidad en cadena. Valor para snowballing: medio.</t>
        </is>
      </c>
      <c r="S482" s="69" t="n"/>
    </row>
    <row r="483" ht="34.5" customHeight="1" s="17">
      <c r="A483" s="26" t="inlineStr">
        <is>
          <t>R0482</t>
        </is>
      </c>
      <c r="B483" s="26" t="inlineStr">
        <is>
          <t>Scopus + WoS</t>
        </is>
      </c>
      <c r="C483" s="26" t="inlineStr">
        <is>
          <t>Zhang L.; Zhang M.; Mujumdar A.S.; Chen Y.</t>
        </is>
      </c>
      <c r="D483" s="26" t="n">
        <v>2024</v>
      </c>
      <c r="E483" s="27" t="inlineStr">
        <is>
          <t>From farm to market: Research progress and application prospects of artificial intelligence in the frozen fruits and vegetables supply chain</t>
        </is>
      </c>
      <c r="F483" s="26" t="inlineStr">
        <is>
          <t>Trends in Food Science and Technology</t>
        </is>
      </c>
      <c r="G483" s="26" t="inlineStr">
        <is>
          <t>Review</t>
        </is>
      </c>
      <c r="H483" s="26" t="inlineStr">
        <is>
          <t>10.1016/j.tifs.2024.104730</t>
        </is>
      </c>
      <c r="I483" s="26" t="inlineStr">
        <is>
          <t>TA</t>
        </is>
      </c>
      <c r="J483" s="37" t="inlineStr">
        <is>
          <t>Exclude</t>
        </is>
      </c>
      <c r="K483" s="37" t="inlineStr">
        <is>
          <t>Wrong publication type</t>
        </is>
      </c>
      <c r="L483" s="31" t="inlineStr">
        <is>
          <t>Review paper: decide include as evidence or use for snowballing</t>
        </is>
      </c>
      <c r="M483" s="37" t="inlineStr">
        <is>
          <t>Revision de IA en la cadena de frutas y verduras congeladas ("This review explores the application of AI in enhancing the frozen F&amp;V supply chain"); gemelos como integracion potencial. Valor para snowballing: bajo.</t>
        </is>
      </c>
      <c r="N483" s="69" t="inlineStr">
        <is>
          <t>E4</t>
        </is>
      </c>
      <c r="O483" s="69" t="n">
        <v>12</v>
      </c>
      <c r="P483" s="69" t="inlineStr">
        <is>
          <t>Exclude</t>
        </is>
      </c>
      <c r="Q483" s="69" t="inlineStr">
        <is>
          <t>E4</t>
        </is>
      </c>
      <c r="R483" s="69" t="inlineStr">
        <is>
          <t>Revision de IA en la cadena de frutas y verduras congeladas ("This review explores the application of AI in enhancing the frozen F&amp;V supply chain"); gemelos como integracion potencial. Valor para snowballing: bajo.</t>
        </is>
      </c>
      <c r="S483" s="69" t="n"/>
    </row>
    <row r="484" ht="34.5" customHeight="1" s="17">
      <c r="A484" s="26" t="inlineStr">
        <is>
          <t>R0483</t>
        </is>
      </c>
      <c r="B484" s="26" t="inlineStr">
        <is>
          <t>Scopus</t>
        </is>
      </c>
      <c r="C484" s="26" t="inlineStr">
        <is>
          <t>Aït-Kaddour A.; Hassoun A.; Tarchi I.; Loudiyi M.; Boukria O.; Cahyana Y.; Ozogul F.; Khwaldia K.</t>
        </is>
      </c>
      <c r="D484" s="26" t="n">
        <v>2024</v>
      </c>
      <c r="E484" s="27" t="inlineStr">
        <is>
          <t>Transforming plant-based waste and by-products into valuable products using various “Food Industry 4.0” enabling technologies: A literature review</t>
        </is>
      </c>
      <c r="F484" s="26" t="inlineStr">
        <is>
          <t>Science of the Total Environment</t>
        </is>
      </c>
      <c r="G484" s="26" t="inlineStr">
        <is>
          <t>Review</t>
        </is>
      </c>
      <c r="H484" s="26" t="inlineStr">
        <is>
          <t>10.1016/j.scitotenv.2024.176872</t>
        </is>
      </c>
      <c r="I484" s="26" t="inlineStr">
        <is>
          <t>TA</t>
        </is>
      </c>
      <c r="J484" s="37" t="inlineStr">
        <is>
          <t>Exclude</t>
        </is>
      </c>
      <c r="K484" s="37" t="inlineStr">
        <is>
          <t>Wrong publication type</t>
        </is>
      </c>
      <c r="L484" s="31" t="inlineStr">
        <is>
          <t>Review paper: decide include as evidence or use for snowballing</t>
        </is>
      </c>
      <c r="M484" s="37" t="inlineStr">
        <is>
          <t>Revision de valorizacion de residuos vegetales con Industria 4.0 ("This review provides up-to-date information on the potential of Industry 4.0"); gemelos entre las tecnologias. Valor para snowballing: bajo.</t>
        </is>
      </c>
      <c r="N484" s="69" t="inlineStr">
        <is>
          <t>E4</t>
        </is>
      </c>
      <c r="O484" s="69" t="n">
        <v>12</v>
      </c>
      <c r="P484" s="69" t="inlineStr">
        <is>
          <t>Exclude</t>
        </is>
      </c>
      <c r="Q484" s="69" t="inlineStr">
        <is>
          <t>E4</t>
        </is>
      </c>
      <c r="R484" s="69" t="inlineStr">
        <is>
          <t>Revision de valorizacion de residuos vegetales con Industria 4.0 ("This review provides up-to-date information on the potential of Industry 4.0"); gemelos entre las tecnologias. Valor para snowballing: bajo.</t>
        </is>
      </c>
      <c r="S484" s="69" t="n"/>
    </row>
    <row r="485" ht="23.25" customHeight="1" s="17">
      <c r="A485" s="26" t="inlineStr">
        <is>
          <t>R0484</t>
        </is>
      </c>
      <c r="B485" s="26" t="inlineStr">
        <is>
          <t>Scopus + WoS</t>
        </is>
      </c>
      <c r="C485" s="26" t="inlineStr">
        <is>
          <t>Bains A.; Sridhar K.; Dhull S.B.; Chawla P.; Sharma M.; Sarangi P.K.; Gupta V.K.</t>
        </is>
      </c>
      <c r="D485" s="26" t="n">
        <v>2024</v>
      </c>
      <c r="E485" s="27" t="inlineStr">
        <is>
          <t>Circular bioeconomy in carbon footprint components of nonthermal processing technologies towards sustainable food system: A review</t>
        </is>
      </c>
      <c r="F485" s="26" t="inlineStr">
        <is>
          <t>Trends in Food Science and Technology</t>
        </is>
      </c>
      <c r="G485" s="26" t="inlineStr">
        <is>
          <t>Review</t>
        </is>
      </c>
      <c r="H485" s="26" t="inlineStr">
        <is>
          <t>10.1016/j.tifs.2024.104520</t>
        </is>
      </c>
      <c r="I485" s="26" t="inlineStr">
        <is>
          <t>TA</t>
        </is>
      </c>
      <c r="J485" s="37" t="inlineStr">
        <is>
          <t>Exclude</t>
        </is>
      </c>
      <c r="K485" s="37" t="inlineStr">
        <is>
          <t>Wrong publication type</t>
        </is>
      </c>
      <c r="L485" s="31" t="inlineStr">
        <is>
          <t>Review paper: decide include as evidence or use for snowballing</t>
        </is>
      </c>
      <c r="M485" s="37" t="inlineStr">
        <is>
          <t>Revision de huella de carbono en procesamiento no termico ("The present review highlights the evaluation of carbon footprint"); gemelo como herramienta de IA. Valor para snowballing: bajo.</t>
        </is>
      </c>
      <c r="N485" s="69" t="inlineStr">
        <is>
          <t>E4</t>
        </is>
      </c>
      <c r="O485" s="69" t="n">
        <v>12</v>
      </c>
      <c r="P485" s="69" t="inlineStr">
        <is>
          <t>Exclude</t>
        </is>
      </c>
      <c r="Q485" s="69" t="inlineStr">
        <is>
          <t>E4</t>
        </is>
      </c>
      <c r="R485" s="69" t="inlineStr">
        <is>
          <t>Revision de huella de carbono en procesamiento no termico ("The present review highlights the evaluation of carbon footprint"); gemelo como herramienta de IA. Valor para snowballing: bajo.</t>
        </is>
      </c>
      <c r="S485" s="69" t="n"/>
    </row>
    <row r="486" ht="23.25" customHeight="1" s="17">
      <c r="A486" s="26" t="inlineStr">
        <is>
          <t>R0485</t>
        </is>
      </c>
      <c r="B486" s="26" t="inlineStr">
        <is>
          <t>Scopus + WoS</t>
        </is>
      </c>
      <c r="C486" s="26" t="inlineStr">
        <is>
          <t>Korder B.; Maheut J.; Konle M.</t>
        </is>
      </c>
      <c r="D486" s="26" t="n">
        <v>2024</v>
      </c>
      <c r="E486" s="27" t="inlineStr">
        <is>
          <t>Simulation Methods and Digital Strategies for Supply Chains Facing Disruptions: Insights from a Systematic Literature Review</t>
        </is>
      </c>
      <c r="F486" s="26" t="inlineStr">
        <is>
          <t>Sustainability (Switzerland)</t>
        </is>
      </c>
      <c r="G486" s="26" t="inlineStr">
        <is>
          <t>Review</t>
        </is>
      </c>
      <c r="H486" s="26" t="inlineStr">
        <is>
          <t>10.3390/su16145957</t>
        </is>
      </c>
      <c r="I486" s="26" t="inlineStr">
        <is>
          <t>TA</t>
        </is>
      </c>
      <c r="J486" s="37" t="inlineStr">
        <is>
          <t>Exclude</t>
        </is>
      </c>
      <c r="K486" s="37" t="inlineStr">
        <is>
          <t>Wrong publication type</t>
        </is>
      </c>
      <c r="L486" s="31" t="inlineStr">
        <is>
          <t>Review paper: decide include as evidence or use for snowballing</t>
        </is>
      </c>
      <c r="M486" s="37" t="inlineStr">
        <is>
          <t>Revision sistematica PRISMA de simulacion ante disrupciones de cadena ("A systematic literature review was conducted using the PRISMA method"); gemelos e IA como necesidad futura. Valor para snowballing: medio.</t>
        </is>
      </c>
      <c r="N486" s="69" t="inlineStr">
        <is>
          <t>E4</t>
        </is>
      </c>
      <c r="O486" s="69" t="n">
        <v>12</v>
      </c>
      <c r="P486" s="69" t="inlineStr">
        <is>
          <t>Exclude</t>
        </is>
      </c>
      <c r="Q486" s="69" t="inlineStr">
        <is>
          <t>E4</t>
        </is>
      </c>
      <c r="R486" s="69" t="inlineStr">
        <is>
          <t>Revision sistematica PRISMA de simulacion ante disrupciones de cadena ("A systematic literature review was conducted using the PRISMA method"); gemelos e IA como necesidad futura. Valor para snowballing: medio.</t>
        </is>
      </c>
      <c r="S486" s="69" t="n"/>
    </row>
    <row r="487" ht="23.25" customHeight="1" s="17">
      <c r="A487" s="26" t="inlineStr">
        <is>
          <t>R0486</t>
        </is>
      </c>
      <c r="B487" s="26" t="inlineStr">
        <is>
          <t>Scopus + WoS</t>
        </is>
      </c>
      <c r="C487" s="26" t="inlineStr">
        <is>
          <t>Arulmozhi E.; Deb N.C.; Tamrakar N.; Kang D.Y.; Kang M.Y.; Kook J.; Basak J.K.; Kim H.T.</t>
        </is>
      </c>
      <c r="D487" s="26" t="n">
        <v>2024</v>
      </c>
      <c r="E487" s="27" t="inlineStr">
        <is>
          <t>From Reality to Virtuality: Revolutionizing Livestock Farming Through Digital Twins</t>
        </is>
      </c>
      <c r="F487" s="26" t="inlineStr">
        <is>
          <t>Agriculture (Switzerland)</t>
        </is>
      </c>
      <c r="G487" s="26" t="inlineStr">
        <is>
          <t>Review</t>
        </is>
      </c>
      <c r="H487" s="26" t="inlineStr">
        <is>
          <t>10.3390/agriculture14122231</t>
        </is>
      </c>
      <c r="I487" s="26" t="inlineStr">
        <is>
          <t>TA</t>
        </is>
      </c>
      <c r="J487" s="37" t="inlineStr">
        <is>
          <t>Exclude</t>
        </is>
      </c>
      <c r="K487" s="37" t="inlineStr">
        <is>
          <t>Wrong publication type</t>
        </is>
      </c>
      <c r="L487" s="31" t="inlineStr">
        <is>
          <t>Review paper: decide include as evidence or use for snowballing</t>
        </is>
      </c>
      <c r="M487" s="37" t="inlineStr">
        <is>
          <t>Panorama de gemelos en ganaderia ("This research provides an overview of the current landscape of digital transformation in the livestock sector"); cadena como aplicacion. Valor para snowballing: bajo.</t>
        </is>
      </c>
      <c r="N487" s="69" t="inlineStr">
        <is>
          <t>E4</t>
        </is>
      </c>
      <c r="O487" s="69" t="n">
        <v>12</v>
      </c>
      <c r="P487" s="69" t="inlineStr">
        <is>
          <t>Exclude</t>
        </is>
      </c>
      <c r="Q487" s="69" t="inlineStr">
        <is>
          <t>E4</t>
        </is>
      </c>
      <c r="R487" s="69" t="inlineStr">
        <is>
          <t>Panorama de gemelos en ganaderia ("This research provides an overview of the current landscape of digital transformation in the livestock sector"); cadena como aplicacion. Valor para snowballing: bajo.</t>
        </is>
      </c>
      <c r="S487" s="69" t="n"/>
    </row>
    <row r="488" ht="23.25" customHeight="1" s="17">
      <c r="A488" s="26" t="inlineStr">
        <is>
          <t>R0487</t>
        </is>
      </c>
      <c r="B488" s="26" t="inlineStr">
        <is>
          <t>Scopus</t>
        </is>
      </c>
      <c r="C488" s="26" t="inlineStr">
        <is>
          <t>Mahmood M.S.; Shareef I.R.</t>
        </is>
      </c>
      <c r="D488" s="26" t="n">
        <v>2024</v>
      </c>
      <c r="E488" s="27" t="inlineStr">
        <is>
          <t>Applications of Artificial Intelligence for Smart Conveyor Belt Monitoring Systems: A Comprehensive Review</t>
        </is>
      </c>
      <c r="F488" s="26" t="inlineStr">
        <is>
          <t>Journal Europeen des Systemes Automatises</t>
        </is>
      </c>
      <c r="G488" s="26" t="inlineStr">
        <is>
          <t>Review</t>
        </is>
      </c>
      <c r="H488" s="26" t="inlineStr">
        <is>
          <t>10.18280/jesa.570426</t>
        </is>
      </c>
      <c r="I488" s="26" t="inlineStr">
        <is>
          <t>TA</t>
        </is>
      </c>
      <c r="J488" s="37" t="inlineStr">
        <is>
          <t>Exclude</t>
        </is>
      </c>
      <c r="K488" s="37" t="inlineStr">
        <is>
          <t>Wrong publication type</t>
        </is>
      </c>
      <c r="L488" s="31" t="inlineStr">
        <is>
          <t>Review paper: decide include as evidence or use for snowballing</t>
        </is>
      </c>
      <c r="M488" s="37" t="inlineStr">
        <is>
          <t>Encuesta de literatura sobre IA en bandas transportadoras ("The review is based on over 79 articles of peer-reviewed journals"); gemelo como tecnologia emergente. Valor para snowballing: bajo.</t>
        </is>
      </c>
      <c r="N488" s="69" t="inlineStr">
        <is>
          <t>E4</t>
        </is>
      </c>
      <c r="O488" s="69" t="n">
        <v>12</v>
      </c>
      <c r="P488" s="69" t="inlineStr">
        <is>
          <t>Exclude</t>
        </is>
      </c>
      <c r="Q488" s="69" t="inlineStr">
        <is>
          <t>E4</t>
        </is>
      </c>
      <c r="R488" s="69" t="inlineStr">
        <is>
          <t>Encuesta de literatura sobre IA en bandas transportadoras ("The review is based on over 79 articles of peer-reviewed journals"); gemelo como tecnologia emergente. Valor para snowballing: bajo.</t>
        </is>
      </c>
      <c r="S488" s="69" t="n"/>
    </row>
    <row r="489" ht="23.25" customHeight="1" s="17">
      <c r="A489" s="26" t="inlineStr">
        <is>
          <t>R0488</t>
        </is>
      </c>
      <c r="B489" s="26" t="inlineStr">
        <is>
          <t>WoS</t>
        </is>
      </c>
      <c r="C489" s="26" t="inlineStr">
        <is>
          <t>Krupitzer, C</t>
        </is>
      </c>
      <c r="D489" s="26" t="n">
        <v>2024</v>
      </c>
      <c r="E489" s="27" t="inlineStr">
        <is>
          <t>Generative artificial intelligence in the agri-food value chain - overview, potential, and research challenges</t>
        </is>
      </c>
      <c r="F489" s="26" t="inlineStr">
        <is>
          <t>FRONTIERS IN FOOD SCIENCE AND TECHNOLOGY</t>
        </is>
      </c>
      <c r="G489" s="26" t="inlineStr">
        <is>
          <t>Review</t>
        </is>
      </c>
      <c r="H489" s="26" t="inlineStr">
        <is>
          <t>10.3389/frfst.2024.1473357</t>
        </is>
      </c>
      <c r="I489" s="26" t="inlineStr">
        <is>
          <t>TA</t>
        </is>
      </c>
      <c r="J489" s="37" t="inlineStr">
        <is>
          <t>Exclude</t>
        </is>
      </c>
      <c r="K489" s="37" t="inlineStr">
        <is>
          <t>Wrong publication type</t>
        </is>
      </c>
      <c r="L489" s="31" t="inlineStr">
        <is>
          <t>Review paper: decide include as evidence or use for snowballing</t>
        </is>
      </c>
      <c r="M489" s="37" t="inlineStr">
        <is>
          <t>Minirrevision de IA generativa en la cadena agroalimentaria ("This mini review provides an overview about applications of Generative AI in the agri-food supply chain and discusses open research challenges, also in combination with digital twins"). Valor para snowballing: bajo.</t>
        </is>
      </c>
      <c r="N489" s="69" t="inlineStr">
        <is>
          <t>E4</t>
        </is>
      </c>
      <c r="O489" s="69" t="n">
        <v>12</v>
      </c>
      <c r="P489" s="69" t="inlineStr">
        <is>
          <t>Exclude</t>
        </is>
      </c>
      <c r="Q489" s="69" t="inlineStr">
        <is>
          <t>E4</t>
        </is>
      </c>
      <c r="R489" s="69" t="inlineStr">
        <is>
          <t>Minirrevision de IA generativa en la cadena agroalimentaria ("This mini review provides an overview about applications of Generative AI in the agri-food supply chain and discusses open research challenges, also in combination with digital twins"). Valor para snowballing: bajo.</t>
        </is>
      </c>
      <c r="S489" s="69" t="n"/>
    </row>
    <row r="490" ht="23.25" customHeight="1" s="17">
      <c r="A490" s="26" t="inlineStr">
        <is>
          <t>R0489</t>
        </is>
      </c>
      <c r="B490" s="26" t="inlineStr">
        <is>
          <t>Scopus + WoS</t>
        </is>
      </c>
      <c r="C490" s="26" t="inlineStr">
        <is>
          <t>Vilas-Boas J.L.; Rodrigues J.J.P.C.; Alberti A.M.</t>
        </is>
      </c>
      <c r="D490" s="26" t="n">
        <v>2023</v>
      </c>
      <c r="E490" s="27" t="inlineStr">
        <is>
          <t>Convergence of Distributed Ledger Technologies with Digital Twins, IoT, and AI for fresh food logistics: Challenges and opportunities</t>
        </is>
      </c>
      <c r="F490" s="26" t="inlineStr">
        <is>
          <t>Journal of Industrial Information Integration</t>
        </is>
      </c>
      <c r="G490" s="26" t="inlineStr">
        <is>
          <t>Review</t>
        </is>
      </c>
      <c r="H490" s="26" t="inlineStr">
        <is>
          <t>10.1016/j.jii.2022.100393</t>
        </is>
      </c>
      <c r="I490" s="26" t="inlineStr">
        <is>
          <t>TA</t>
        </is>
      </c>
      <c r="J490" s="37" t="inlineStr">
        <is>
          <t>Exclude</t>
        </is>
      </c>
      <c r="K490" s="37" t="inlineStr">
        <is>
          <t>Wrong publication type</t>
        </is>
      </c>
      <c r="L490" s="31" t="inlineStr">
        <is>
          <t>Review paper: decide include as evidence or use for snowballing</t>
        </is>
      </c>
      <c r="M490" s="37" t="inlineStr">
        <is>
          <t>Revision de la convergencia de libros mayores distribuidos, gemelos, IoT e IA en logistica alimentaria ("this work presents a review of the application of these technologies for food logistics"). Valor para snowballing: alto.</t>
        </is>
      </c>
      <c r="N490" s="69" t="inlineStr">
        <is>
          <t>E4</t>
        </is>
      </c>
      <c r="O490" s="69" t="n">
        <v>12</v>
      </c>
      <c r="P490" s="69" t="inlineStr">
        <is>
          <t>Exclude</t>
        </is>
      </c>
      <c r="Q490" s="69" t="inlineStr">
        <is>
          <t>E4</t>
        </is>
      </c>
      <c r="R490" s="69" t="inlineStr">
        <is>
          <t>Revision de la convergencia de libros mayores distribuidos, gemelos, IoT e IA en logistica alimentaria ("this work presents a review of the application of these technologies for food logistics"). Valor para snowballing: alto.</t>
        </is>
      </c>
      <c r="S490" s="69" t="n"/>
    </row>
    <row r="491" ht="23.25" customHeight="1" s="17">
      <c r="A491" s="26" t="inlineStr">
        <is>
          <t>R0490</t>
        </is>
      </c>
      <c r="B491" s="26" t="inlineStr">
        <is>
          <t>Scopus + WoS</t>
        </is>
      </c>
      <c r="C491" s="26" t="inlineStr">
        <is>
          <t>Drissi Elbouzidi A.; Ait El Cadi A.; Pellerin R.; Lamouri S.; Tobon Valencia E.; Bélanger M.-J.</t>
        </is>
      </c>
      <c r="D491" s="26" t="n">
        <v>2023</v>
      </c>
      <c r="E491" s="27" t="inlineStr">
        <is>
          <t>The Role of AI in Warehouse Digital Twins: Literature Review †</t>
        </is>
      </c>
      <c r="F491" s="26" t="inlineStr">
        <is>
          <t>Applied Sciences (Switzerland)</t>
        </is>
      </c>
      <c r="G491" s="26" t="inlineStr">
        <is>
          <t>Review</t>
        </is>
      </c>
      <c r="H491" s="26" t="inlineStr">
        <is>
          <t>10.3390/app13116746</t>
        </is>
      </c>
      <c r="I491" s="26" t="inlineStr">
        <is>
          <t>TA</t>
        </is>
      </c>
      <c r="J491" s="37" t="inlineStr">
        <is>
          <t>Exclude</t>
        </is>
      </c>
      <c r="K491" s="37" t="inlineStr">
        <is>
          <t>Wrong publication type</t>
        </is>
      </c>
      <c r="L491" s="31" t="inlineStr">
        <is>
          <t>Review paper: decide include as evidence or use for snowballing</t>
        </is>
      </c>
      <c r="M491" s="37" t="inlineStr">
        <is>
          <t>Revision de la IA en gemelos de almacen ("This paper aims to evaluate the synergies between AI and digital twins"; "assess the maturity of AI applications within WDT"). Valor para snowballing: alto. Posible version extendida del examen de casos de uso ya cribado en el lote 7.</t>
        </is>
      </c>
      <c r="N491" s="69" t="inlineStr">
        <is>
          <t>E4</t>
        </is>
      </c>
      <c r="O491" s="69" t="n">
        <v>12</v>
      </c>
      <c r="P491" s="69" t="inlineStr">
        <is>
          <t>Exclude</t>
        </is>
      </c>
      <c r="Q491" s="69" t="inlineStr">
        <is>
          <t>E4</t>
        </is>
      </c>
      <c r="R491" s="69" t="inlineStr">
        <is>
          <t>Revision de la IA en gemelos de almacen ("This paper aims to evaluate the synergies between AI and digital twins"; "assess the maturity of AI applications within WDT"). Valor para snowballing: alto. Posible version extendida del examen de casos de uso ya cribado en el lote 7.</t>
        </is>
      </c>
      <c r="S491" s="69" t="n"/>
    </row>
    <row r="492" ht="23.25" customHeight="1" s="17">
      <c r="A492" s="26" t="inlineStr">
        <is>
          <t>R0491</t>
        </is>
      </c>
      <c r="B492" s="26" t="inlineStr">
        <is>
          <t>Scopus</t>
        </is>
      </c>
      <c r="C492" s="26" t="inlineStr">
        <is>
          <t>Hassoun A.; Marvin H.J.P.; Bouzembrak Y.; Barba F.J.; Castagnini J.M.; Pallarés N.; Rabail R.; Aadil R.M.; Bangar S.P.; Bhat R.; Cropotova J.; Maqsood S.; Regenstein J.M.</t>
        </is>
      </c>
      <c r="D492" s="26" t="n">
        <v>2023</v>
      </c>
      <c r="E492" s="27" t="inlineStr">
        <is>
          <t>Digital transformation in the agri-food industry: recent applications and the role of the COVID-19 pandemic</t>
        </is>
      </c>
      <c r="F492" s="26" t="inlineStr">
        <is>
          <t>Frontiers in Sustainable Food Systems</t>
        </is>
      </c>
      <c r="G492" s="26" t="inlineStr">
        <is>
          <t>Review</t>
        </is>
      </c>
      <c r="H492" s="26" t="inlineStr">
        <is>
          <t>10.3389/fsufs.2023.1217813</t>
        </is>
      </c>
      <c r="I492" s="26" t="inlineStr">
        <is>
          <t>TA</t>
        </is>
      </c>
      <c r="J492" s="37" t="inlineStr">
        <is>
          <t>Exclude</t>
        </is>
      </c>
      <c r="K492" s="37" t="inlineStr">
        <is>
          <t>Wrong publication type</t>
        </is>
      </c>
      <c r="L492" s="31" t="inlineStr">
        <is>
          <t>Review paper: decide include as evidence or use for snowballing</t>
        </is>
      </c>
      <c r="M492" s="37" t="inlineStr">
        <is>
          <t>Revision de transformacion digital agroalimentaria y COVID-19 ("This literature review discusses the potential of implementing digital technologies in the agri-food industry"); gemelos entre los habilitadores. Valor para snowballing: bajo.</t>
        </is>
      </c>
      <c r="N492" s="69" t="inlineStr">
        <is>
          <t>E4</t>
        </is>
      </c>
      <c r="O492" s="69" t="n">
        <v>12</v>
      </c>
      <c r="P492" s="69" t="inlineStr">
        <is>
          <t>Exclude</t>
        </is>
      </c>
      <c r="Q492" s="69" t="inlineStr">
        <is>
          <t>E4</t>
        </is>
      </c>
      <c r="R492" s="69" t="inlineStr">
        <is>
          <t>Revision de transformacion digital agroalimentaria y COVID-19 ("This literature review discusses the potential of implementing digital technologies in the agri-food industry"); gemelos entre los habilitadores. Valor para snowballing: bajo.</t>
        </is>
      </c>
      <c r="S492" s="69" t="n"/>
    </row>
    <row r="493" ht="23.25" customHeight="1" s="17">
      <c r="A493" s="26" t="inlineStr">
        <is>
          <t>R0492</t>
        </is>
      </c>
      <c r="B493" s="26" t="inlineStr">
        <is>
          <t>Scopus + WoS</t>
        </is>
      </c>
      <c r="C493" s="26" t="inlineStr">
        <is>
          <t>Yevu S.K.; Owusu E.K.; Chan A.P.C.; Sepasgozar S.M.E.; Kamat V.R.</t>
        </is>
      </c>
      <c r="D493" s="26" t="n">
        <v>2023</v>
      </c>
      <c r="E493" s="27" t="inlineStr">
        <is>
          <t>Digital twin-enabled prefabrication supply chain for smart construction and carbon emissions evaluation in building projects</t>
        </is>
      </c>
      <c r="F493" s="26" t="inlineStr">
        <is>
          <t>Journal of Building Engineering</t>
        </is>
      </c>
      <c r="G493" s="26" t="inlineStr">
        <is>
          <t>Review</t>
        </is>
      </c>
      <c r="H493" s="26" t="inlineStr">
        <is>
          <t>10.1016/j.jobe.2023.107598</t>
        </is>
      </c>
      <c r="I493" s="26" t="inlineStr">
        <is>
          <t>TA</t>
        </is>
      </c>
      <c r="J493" s="37" t="inlineStr">
        <is>
          <t>Exclude</t>
        </is>
      </c>
      <c r="K493" s="37" t="inlineStr">
        <is>
          <t>Wrong publication type</t>
        </is>
      </c>
      <c r="L493" s="31" t="inlineStr">
        <is>
          <t>Review paper: decide include as evidence or use for snowballing</t>
        </is>
      </c>
      <c r="M493" s="37" t="inlineStr">
        <is>
          <t>Revision mixta de gemelos en la cadena de prefabricacion ("A mixed-method review was adopted in two-steps involving scientometric and qualitative analysis"); tema de "artificial intelligence-based decision-making" en el gemelo. Valor para snowballing: medio.</t>
        </is>
      </c>
      <c r="N493" s="69" t="inlineStr">
        <is>
          <t>E4</t>
        </is>
      </c>
      <c r="O493" s="69" t="n">
        <v>12</v>
      </c>
      <c r="P493" s="69" t="inlineStr">
        <is>
          <t>Exclude</t>
        </is>
      </c>
      <c r="Q493" s="69" t="inlineStr">
        <is>
          <t>E4</t>
        </is>
      </c>
      <c r="R493" s="69" t="inlineStr">
        <is>
          <t>Revision mixta de gemelos en la cadena de prefabricacion ("A mixed-method review was adopted in two-steps involving scientometric and qualitative analysis"); tema de "artificial intelligence-based decision-making" en el gemelo. Valor para snowballing: medio.</t>
        </is>
      </c>
      <c r="S493" s="69" t="n"/>
    </row>
    <row r="494" ht="23.25" customHeight="1" s="17">
      <c r="A494" s="26" t="inlineStr">
        <is>
          <t>R0493</t>
        </is>
      </c>
      <c r="B494" s="26" t="inlineStr">
        <is>
          <t>Scopus + WoS</t>
        </is>
      </c>
      <c r="C494" s="26" t="inlineStr">
        <is>
          <t>Marinagi C.; Reklitis P.; Trivellas P.; Sakas D.</t>
        </is>
      </c>
      <c r="D494" s="26" t="n">
        <v>2023</v>
      </c>
      <c r="E494" s="27" t="inlineStr">
        <is>
          <t>The Impact of Industry 4.0 Technologies on Key Performance Indicators for a Resilient Supply Chain 4.0</t>
        </is>
      </c>
      <c r="F494" s="26" t="inlineStr">
        <is>
          <t>Sustainability (Switzerland)</t>
        </is>
      </c>
      <c r="G494" s="26" t="inlineStr">
        <is>
          <t>Review</t>
        </is>
      </c>
      <c r="H494" s="26" t="inlineStr">
        <is>
          <t>10.3390/su15065185</t>
        </is>
      </c>
      <c r="I494" s="26" t="inlineStr">
        <is>
          <t>TA</t>
        </is>
      </c>
      <c r="J494" s="37" t="inlineStr">
        <is>
          <t>Exclude</t>
        </is>
      </c>
      <c r="K494" s="37" t="inlineStr">
        <is>
          <t>Wrong publication type</t>
        </is>
      </c>
      <c r="L494" s="31" t="inlineStr">
        <is>
          <t>Review paper: decide include as evidence or use for snowballing</t>
        </is>
      </c>
      <c r="M494" s="37" t="inlineStr">
        <is>
          <t>Revision de Industria 4.0 e indicadores de resiliencia de cadena ("A systematic literature review has been conducted to identify which of the Industry 4.0 technologies have an impact on the KPIs"); gemelos entre las tecnologias. Valor para snowballing: bajo.</t>
        </is>
      </c>
      <c r="N494" s="69" t="inlineStr">
        <is>
          <t>E4</t>
        </is>
      </c>
      <c r="O494" s="69" t="n">
        <v>12</v>
      </c>
      <c r="P494" s="69" t="inlineStr">
        <is>
          <t>Exclude</t>
        </is>
      </c>
      <c r="Q494" s="69" t="inlineStr">
        <is>
          <t>E4</t>
        </is>
      </c>
      <c r="R494" s="69" t="inlineStr">
        <is>
          <t>Revision de Industria 4.0 e indicadores de resiliencia de cadena ("A systematic literature review has been conducted to identify which of the Industry 4.0 technologies have an impact on the KPIs"); gemelos entre las tecnologias. Valor para snowballing: bajo.</t>
        </is>
      </c>
      <c r="S494" s="69" t="n"/>
    </row>
    <row r="495" ht="23.25" customHeight="1" s="17">
      <c r="A495" s="26" t="inlineStr">
        <is>
          <t>R0494</t>
        </is>
      </c>
      <c r="B495" s="26" t="inlineStr">
        <is>
          <t>WoS</t>
        </is>
      </c>
      <c r="C495" s="26" t="inlineStr">
        <is>
          <t>Ding, HH; Tian, JW; Yu, W; Wilson, DI; Young, BR; Cui, XH; Xin, X; Wang, ZY; Li, W</t>
        </is>
      </c>
      <c r="D495" s="26" t="n">
        <v>2023</v>
      </c>
      <c r="E495" s="27" t="inlineStr">
        <is>
          <t>The Application of Artificial Intelligence and Big Data in the Food Industry</t>
        </is>
      </c>
      <c r="F495" s="26" t="inlineStr">
        <is>
          <t>FOODS</t>
        </is>
      </c>
      <c r="G495" s="26" t="inlineStr">
        <is>
          <t>Review</t>
        </is>
      </c>
      <c r="H495" s="26" t="inlineStr">
        <is>
          <t>10.3390/foods12244511</t>
        </is>
      </c>
      <c r="I495" s="26" t="inlineStr">
        <is>
          <t>TA</t>
        </is>
      </c>
      <c r="J495" s="37" t="inlineStr">
        <is>
          <t>Exclude</t>
        </is>
      </c>
      <c r="K495" s="37" t="inlineStr">
        <is>
          <t>Wrong publication type</t>
        </is>
      </c>
      <c r="L495" s="31" t="inlineStr">
        <is>
          <t>Review paper: decide include as evidence or use for snowballing</t>
        </is>
      </c>
      <c r="M495" s="37" t="inlineStr">
        <is>
          <t>Revision de IA y big data en la industria alimentaria ("This review delves into the applications of AI and big data in the food sector"); gemelos como tecnologia de Industria 4.0. Valor para snowballing: bajo.</t>
        </is>
      </c>
      <c r="N495" s="69" t="inlineStr">
        <is>
          <t>E4</t>
        </is>
      </c>
      <c r="O495" s="69" t="n">
        <v>12</v>
      </c>
      <c r="P495" s="69" t="inlineStr">
        <is>
          <t>Exclude</t>
        </is>
      </c>
      <c r="Q495" s="69" t="inlineStr">
        <is>
          <t>E4</t>
        </is>
      </c>
      <c r="R495" s="69" t="inlineStr">
        <is>
          <t>Revision de IA y big data en la industria alimentaria ("This review delves into the applications of AI and big data in the food sector"); gemelos como tecnologia de Industria 4.0. Valor para snowballing: bajo.</t>
        </is>
      </c>
      <c r="S495" s="69" t="n"/>
    </row>
    <row r="496" ht="23.25" customHeight="1" s="17">
      <c r="A496" s="26" t="inlineStr">
        <is>
          <t>R0495</t>
        </is>
      </c>
      <c r="B496" s="26" t="inlineStr">
        <is>
          <t>Scopus + WoS</t>
        </is>
      </c>
      <c r="C496" s="26" t="inlineStr">
        <is>
          <t>Gebhardt M.; Kopyto M.; Birkel H.; Hartmann E.</t>
        </is>
      </c>
      <c r="D496" s="26" t="n">
        <v>2022</v>
      </c>
      <c r="E496" s="27" t="inlineStr">
        <is>
          <t>Industry 4.0 technologies as enablers of collaboration in circular supply chains: a systematic literature review</t>
        </is>
      </c>
      <c r="F496" s="26" t="inlineStr">
        <is>
          <t>International Journal of Production Research</t>
        </is>
      </c>
      <c r="G496" s="26" t="inlineStr">
        <is>
          <t>Review</t>
        </is>
      </c>
      <c r="H496" s="26" t="inlineStr">
        <is>
          <t>10.1080/00207543.2021.1999521</t>
        </is>
      </c>
      <c r="I496" s="26" t="inlineStr">
        <is>
          <t>TA</t>
        </is>
      </c>
      <c r="J496" s="37" t="inlineStr">
        <is>
          <t>Exclude</t>
        </is>
      </c>
      <c r="K496" s="37" t="inlineStr">
        <is>
          <t>Wrong publication type</t>
        </is>
      </c>
      <c r="L496" s="31" t="inlineStr">
        <is>
          <t>Review paper: decide include as evidence or use for snowballing</t>
        </is>
      </c>
      <c r="M496" s="37" t="inlineStr">
        <is>
          <t>Revision sistematica de Industria 4.0 y colaboracion en cadenas circulares ("we conduct a systematic literature review that explores how Industry 4.0 technologies can enable collaboration mechanisms"); gemelos e IA como dimension futura. Valor para snowballing: bajo.</t>
        </is>
      </c>
      <c r="N496" s="69" t="inlineStr">
        <is>
          <t>E4</t>
        </is>
      </c>
      <c r="O496" s="69" t="n">
        <v>12</v>
      </c>
      <c r="P496" s="69" t="inlineStr">
        <is>
          <t>Exclude</t>
        </is>
      </c>
      <c r="Q496" s="69" t="inlineStr">
        <is>
          <t>E4</t>
        </is>
      </c>
      <c r="R496" s="69" t="inlineStr">
        <is>
          <t>Revision sistematica de Industria 4.0 y colaboracion en cadenas circulares ("we conduct a systematic literature review that explores how Industry 4.0 technologies can enable collaboration mechanisms"); gemelos e IA como dimension futura. Valor para snowballing: bajo.</t>
        </is>
      </c>
      <c r="S496" s="69" t="n"/>
    </row>
    <row r="497" ht="23.25" customHeight="1" s="17">
      <c r="A497" s="26" t="inlineStr">
        <is>
          <t>R0496</t>
        </is>
      </c>
      <c r="B497" s="26" t="inlineStr">
        <is>
          <t>Scopus + WoS</t>
        </is>
      </c>
      <c r="C497" s="26" t="inlineStr">
        <is>
          <t>Guruswamy S.; Pojić M.; Subramanian J.; Mastilović J.; Sarang S.; Subbanagounder A.; Stojanović G.; Jeoti V.</t>
        </is>
      </c>
      <c r="D497" s="26" t="n">
        <v>2022</v>
      </c>
      <c r="E497" s="27" t="inlineStr">
        <is>
          <t>Toward Better Food Security Using Concepts from Industry 5.0</t>
        </is>
      </c>
      <c r="F497" s="26" t="inlineStr">
        <is>
          <t>Sensors</t>
        </is>
      </c>
      <c r="G497" s="26" t="inlineStr">
        <is>
          <t>Review</t>
        </is>
      </c>
      <c r="H497" s="26" t="inlineStr">
        <is>
          <t>10.3390/s22218377</t>
        </is>
      </c>
      <c r="I497" s="26" t="inlineStr">
        <is>
          <t>TA</t>
        </is>
      </c>
      <c r="J497" s="37" t="inlineStr">
        <is>
          <t>Exclude</t>
        </is>
      </c>
      <c r="K497" s="37" t="inlineStr">
        <is>
          <t>Wrong publication type</t>
        </is>
      </c>
      <c r="L497" s="31" t="inlineStr">
        <is>
          <t>Review paper: decide include as evidence or use for snowballing</t>
        </is>
      </c>
      <c r="M497" s="37" t="inlineStr">
        <is>
          <t>Revision de TIC e Industria 5.0 para seguridad alimentaria ("this paper provided a thorough review of the food system"); gemelo entre las tecnologias. Valor para snowballing: bajo.</t>
        </is>
      </c>
      <c r="N497" s="69" t="inlineStr">
        <is>
          <t>E4</t>
        </is>
      </c>
      <c r="O497" s="69" t="n">
        <v>12</v>
      </c>
      <c r="P497" s="69" t="inlineStr">
        <is>
          <t>Exclude</t>
        </is>
      </c>
      <c r="Q497" s="69" t="inlineStr">
        <is>
          <t>E4</t>
        </is>
      </c>
      <c r="R497" s="69" t="inlineStr">
        <is>
          <t>Revision de TIC e Industria 5.0 para seguridad alimentaria ("this paper provided a thorough review of the food system"); gemelo entre las tecnologias. Valor para snowballing: bajo.</t>
        </is>
      </c>
      <c r="S497" s="69" t="n"/>
    </row>
    <row r="498" ht="23.25" customHeight="1" s="17">
      <c r="A498" s="26" t="inlineStr">
        <is>
          <t>R0497</t>
        </is>
      </c>
      <c r="B498" s="26" t="inlineStr">
        <is>
          <t>Scopus + WoS</t>
        </is>
      </c>
      <c r="C498" s="26" t="inlineStr">
        <is>
          <t>Abideen A.Z.; Sundram V.P.K.; Pyeman J.; Othman A.K.; Sorooshian S.</t>
        </is>
      </c>
      <c r="D498" s="26" t="n">
        <v>2021</v>
      </c>
      <c r="E498" s="27" t="inlineStr">
        <is>
          <t>Digital Twin Integrated Reinforced Learning in Supply Chain and Logistics</t>
        </is>
      </c>
      <c r="F498" s="26" t="inlineStr">
        <is>
          <t>Logistics</t>
        </is>
      </c>
      <c r="G498" s="26" t="inlineStr">
        <is>
          <t>Review</t>
        </is>
      </c>
      <c r="H498" s="26" t="inlineStr">
        <is>
          <t>10.3390/logistics5040084</t>
        </is>
      </c>
      <c r="I498" s="26" t="inlineStr">
        <is>
          <t>TA</t>
        </is>
      </c>
      <c r="J498" s="37" t="inlineStr">
        <is>
          <t>Exclude</t>
        </is>
      </c>
      <c r="K498" s="37" t="inlineStr">
        <is>
          <t>Wrong publication type</t>
        </is>
      </c>
      <c r="L498" s="31" t="inlineStr">
        <is>
          <t>Review paper: decide include as evidence or use for snowballing</t>
        </is>
      </c>
      <c r="M498" s="37" t="inlineStr">
        <is>
          <t>Revision sistematica de gemelos con aprendizaje por refuerzo en cadena y logistica ("Digital Twin Integrated Reinforced Learning in Supply Chain and Logistics") con marco propuesto ("A framework for data-driven digital twin generation and reinforced learning has been proposed"). Valor para snowballing: alto.</t>
        </is>
      </c>
      <c r="N498" s="69" t="inlineStr">
        <is>
          <t>E4</t>
        </is>
      </c>
      <c r="O498" s="69" t="n">
        <v>12</v>
      </c>
      <c r="P498" s="69" t="inlineStr">
        <is>
          <t>Exclude</t>
        </is>
      </c>
      <c r="Q498" s="69" t="inlineStr">
        <is>
          <t>E4</t>
        </is>
      </c>
      <c r="R498" s="69" t="inlineStr">
        <is>
          <t>Revision sistematica de gemelos con aprendizaje por refuerzo en cadena y logistica ("Digital Twin Integrated Reinforced Learning in Supply Chain and Logistics") con marco propuesto ("A framework for data-driven digital twin generation and reinforced learning has been proposed"). Valor para snowballing: alto.</t>
        </is>
      </c>
      <c r="S498" s="69" t="n"/>
    </row>
    <row r="499" ht="23.25" customHeight="1" s="17">
      <c r="A499" s="26" t="inlineStr">
        <is>
          <t>R0498</t>
        </is>
      </c>
      <c r="B499" s="26" t="inlineStr">
        <is>
          <t>WoS</t>
        </is>
      </c>
      <c r="C499" s="26" t="inlineStr">
        <is>
          <t>Jamwal, A; Agrawal, R; Sharma, M; Giallanza, A</t>
        </is>
      </c>
      <c r="D499" s="26" t="n">
        <v>2021</v>
      </c>
      <c r="E499" s="27" t="inlineStr">
        <is>
          <t>Industry 4.0 Technologies for Manufacturing Sustainability: A Systematic Review and Future Research Directions</t>
        </is>
      </c>
      <c r="F499" s="26" t="inlineStr">
        <is>
          <t>APPLIED SCIENCES-BASEL</t>
        </is>
      </c>
      <c r="G499" s="26" t="inlineStr">
        <is>
          <t>Review</t>
        </is>
      </c>
      <c r="H499" s="26" t="inlineStr">
        <is>
          <t>10.3390/app11125725</t>
        </is>
      </c>
      <c r="I499" s="26" t="inlineStr">
        <is>
          <t>TA</t>
        </is>
      </c>
      <c r="J499" s="37" t="inlineStr">
        <is>
          <t>Exclude</t>
        </is>
      </c>
      <c r="K499" s="37" t="inlineStr">
        <is>
          <t>Wrong publication type</t>
        </is>
      </c>
      <c r="L499" s="31" t="inlineStr">
        <is>
          <t>Review paper: decide include as evidence or use for snowballing</t>
        </is>
      </c>
      <c r="M499" s="37" t="inlineStr">
        <is>
          <t>Revision sistematica de Industria 4.0 y sostenibilidad manufacturera ("This study uses a systematic literature review approach"); gemelos entre las tecnologias. Valor para snowballing: bajo.</t>
        </is>
      </c>
      <c r="N499" s="69" t="inlineStr">
        <is>
          <t>E4</t>
        </is>
      </c>
      <c r="O499" s="69" t="n">
        <v>12</v>
      </c>
      <c r="P499" s="69" t="inlineStr">
        <is>
          <t>Exclude</t>
        </is>
      </c>
      <c r="Q499" s="69" t="inlineStr">
        <is>
          <t>E4</t>
        </is>
      </c>
      <c r="R499" s="69" t="inlineStr">
        <is>
          <t>Revision sistematica de Industria 4.0 y sostenibilidad manufacturera ("This study uses a systematic literature review approach"); gemelos entre las tecnologias. Valor para snowballing: bajo.</t>
        </is>
      </c>
      <c r="S499" s="69" t="n"/>
    </row>
    <row r="500" ht="23.25" customHeight="1" s="17">
      <c r="A500" s="26" t="inlineStr">
        <is>
          <t>R0499</t>
        </is>
      </c>
      <c r="B500" s="26" t="inlineStr">
        <is>
          <t>Scopus + WoS</t>
        </is>
      </c>
      <c r="C500" s="26" t="inlineStr">
        <is>
          <t>Smith M.J.</t>
        </is>
      </c>
      <c r="D500" s="26" t="n">
        <v>2019</v>
      </c>
      <c r="E500" s="27" t="inlineStr">
        <is>
          <t>Getting value from artificial intelligence in agriculture</t>
        </is>
      </c>
      <c r="F500" s="26" t="inlineStr">
        <is>
          <t>Animal Production Science</t>
        </is>
      </c>
      <c r="G500" s="26" t="inlineStr">
        <is>
          <t>Review</t>
        </is>
      </c>
      <c r="H500" s="26" t="inlineStr">
        <is>
          <t>10.1071/an18522</t>
        </is>
      </c>
      <c r="I500" s="26" t="inlineStr">
        <is>
          <t>TA</t>
        </is>
      </c>
      <c r="J500" s="37" t="inlineStr">
        <is>
          <t>Exclude</t>
        </is>
      </c>
      <c r="K500" s="37" t="inlineStr">
        <is>
          <t>Wrong publication type</t>
        </is>
      </c>
      <c r="L500" s="31" t="inlineStr">
        <is>
          <t>Review paper: decide include as evidence or use for snowballing</t>
        </is>
      </c>
      <c r="M500" s="37" t="inlineStr">
        <is>
          <t>Ensayo de perspectiva sobre el valor de la IA en agricultura ("In the present paper, I discuss the value to agriculture from AI over the next decade"); gemelos y cadena como paradigmas emergentes. Valor para snowballing: bajo.</t>
        </is>
      </c>
      <c r="N500" s="69" t="inlineStr">
        <is>
          <t>E4</t>
        </is>
      </c>
      <c r="O500" s="69" t="n">
        <v>12</v>
      </c>
      <c r="P500" s="69" t="inlineStr">
        <is>
          <t>Exclude</t>
        </is>
      </c>
      <c r="Q500" s="69" t="inlineStr">
        <is>
          <t>E4</t>
        </is>
      </c>
      <c r="R500" s="69" t="inlineStr">
        <is>
          <t>Ensayo de perspectiva sobre el valor de la IA en agricultura ("In the present paper, I discuss the value to agriculture from AI over the next decade"); gemelos y cadena como paradigmas emergentes. Valor para snowballing: bajo.</t>
        </is>
      </c>
      <c r="S500" s="69" t="n"/>
    </row>
    <row r="501" ht="34.5" customHeight="1" s="17">
      <c r="A501" s="26" t="inlineStr">
        <is>
          <t>R0500</t>
        </is>
      </c>
      <c r="B501" s="26" t="inlineStr">
        <is>
          <t>Scopus</t>
        </is>
      </c>
      <c r="C501" s="26" t="inlineStr">
        <is>
          <t>Jeong Y.; Kober C.; Fette M.</t>
        </is>
      </c>
      <c r="D501" s="26" t="n">
        <v>2026</v>
      </c>
      <c r="E501" s="27" t="inlineStr">
        <is>
          <t>Integrating Large Language Models and Digital Twins in Manufacturing: Opportunities and Challenges for Production Logistics and Assembly Environments</t>
        </is>
      </c>
      <c r="F501" s="26" t="inlineStr">
        <is>
          <t>IFIP Advances in Information and Communication Technology</t>
        </is>
      </c>
      <c r="G501" s="26" t="inlineStr">
        <is>
          <t>Conference paper</t>
        </is>
      </c>
      <c r="H501" s="26" t="inlineStr">
        <is>
          <t>10.1007/978-3-032-03515-8_36</t>
        </is>
      </c>
      <c r="I501" s="26" t="inlineStr">
        <is>
          <t>TA</t>
        </is>
      </c>
      <c r="J501" s="37" t="inlineStr">
        <is>
          <t>Include</t>
        </is>
      </c>
      <c r="K501" s="37" t="n"/>
      <c r="L501" s="32" t="inlineStr">
        <is>
          <t>Check: AI terms only in keywords, verify substantive AI component</t>
        </is>
      </c>
      <c r="M501" s="37" t="inlineStr">
        <is>
          <t>[Make] Integracion LLM-gemelo para "production logistics and assembly operations in manufacturing", con "adaptive scheduling and intra logistics coordination" como area micro y enfasis en "hybrid, explainable, and human-centered AI systems"; conceptual (metodologia cualitativa por escenarios), como R0133. Make: logistica intra-planta.</t>
        </is>
      </c>
      <c r="N501" s="69" t="inlineStr">
        <is>
          <t>I</t>
        </is>
      </c>
      <c r="O501" s="69" t="n">
        <v>8</v>
      </c>
      <c r="P501" s="69" t="inlineStr">
        <is>
          <t>Include</t>
        </is>
      </c>
      <c r="Q501" s="69" t="inlineStr">
        <is>
          <t>I</t>
        </is>
      </c>
      <c r="R501" s="69" t="inlineStr">
        <is>
          <t>Integracion LLM-gemelo para "production logistics and assembly operations in manufacturing", con "adaptive scheduling and intra logistics coordination" como area micro y enfasis en "hybrid, explainable, and human-centered AI systems"; conceptual (metodologia cualitativa por escenarios), como R0133. Make: logistica intra-planta.</t>
        </is>
      </c>
      <c r="S501" s="69" t="inlineStr">
        <is>
          <t>Make</t>
        </is>
      </c>
    </row>
    <row r="502" ht="23.25" customHeight="1" s="17">
      <c r="A502" s="26" t="inlineStr">
        <is>
          <t>R0501</t>
        </is>
      </c>
      <c r="B502" s="26" t="inlineStr">
        <is>
          <t>Scopus + WoS</t>
        </is>
      </c>
      <c r="C502" s="26" t="inlineStr">
        <is>
          <t>Ivanov D.</t>
        </is>
      </c>
      <c r="D502" s="26" t="n">
        <v>2026</v>
      </c>
      <c r="E502" s="27" t="inlineStr">
        <is>
          <t>A generalized concept of a decision-support system for responses to tariff-induced uncertainty and disruptions</t>
        </is>
      </c>
      <c r="F502" s="26" t="inlineStr">
        <is>
          <t>Annals of Operations Research</t>
        </is>
      </c>
      <c r="G502" s="26" t="inlineStr">
        <is>
          <t>Article</t>
        </is>
      </c>
      <c r="H502" s="26" t="inlineStr">
        <is>
          <t>10.1007/s10479-026-07303-w</t>
        </is>
      </c>
      <c r="I502" s="26" t="inlineStr">
        <is>
          <t>TA</t>
        </is>
      </c>
      <c r="J502" s="37" t="inlineStr">
        <is>
          <t>Exclude</t>
        </is>
      </c>
      <c r="K502" s="37" t="inlineStr">
        <is>
          <t>No digital twin/model</t>
        </is>
      </c>
      <c r="L502" s="32" t="inlineStr">
        <is>
          <t>Check: AI terms only in keywords, verify substantive AI component</t>
        </is>
      </c>
      <c r="M502" s="37" t="inlineStr">
        <is>
          <t>Sistema de soporte a la decision para aranceles con simulacion, optimizacion y "an LLM module for real-time disruption detection"; el gemelo sólo como extension futura ("can be extended toward a digital twin"), C1.</t>
        </is>
      </c>
      <c r="N502" s="69" t="inlineStr">
        <is>
          <t>E1</t>
        </is>
      </c>
      <c r="O502" s="69" t="n">
        <v>8</v>
      </c>
      <c r="P502" s="69" t="inlineStr">
        <is>
          <t>Exclude</t>
        </is>
      </c>
      <c r="Q502" s="69" t="inlineStr">
        <is>
          <t>E1</t>
        </is>
      </c>
      <c r="R502" s="69" t="inlineStr">
        <is>
          <t>Sistema de soporte a la decision para aranceles con simulacion, optimizacion y "an LLM module for real-time disruption detection"; el gemelo sólo como extension futura ("can be extended toward a digital twin"), C1.</t>
        </is>
      </c>
      <c r="S502" s="69" t="n"/>
    </row>
    <row r="503" ht="34.5" customHeight="1" s="17">
      <c r="A503" s="26" t="inlineStr">
        <is>
          <t>R0502</t>
        </is>
      </c>
      <c r="B503" s="26" t="inlineStr">
        <is>
          <t>Scopus</t>
        </is>
      </c>
      <c r="C503" s="26" t="inlineStr">
        <is>
          <t>Vulapula S.R.; PramodKumar P.; Thatikonda R.; Saturi R.</t>
        </is>
      </c>
      <c r="D503" s="26" t="n">
        <v>2026</v>
      </c>
      <c r="E503" s="27" t="inlineStr">
        <is>
          <t>Cloud-Enabled Data-Driven Performance and Digital Transformation Strategies for Sustainable Business and Workforce Management</t>
        </is>
      </c>
      <c r="F503" s="26" t="inlineStr">
        <is>
          <t>Proceedings of the 3rd International Conference on Innovations in Cybersecurity and Data Science, ICICDS 2026</t>
        </is>
      </c>
      <c r="G503" s="26" t="inlineStr">
        <is>
          <t>Conference paper</t>
        </is>
      </c>
      <c r="H503" s="26" t="inlineStr">
        <is>
          <t>10.1109/icicds70526.2026.11604944</t>
        </is>
      </c>
      <c r="I503" s="26" t="inlineStr">
        <is>
          <t>TA</t>
        </is>
      </c>
      <c r="J503" s="37" t="inlineStr">
        <is>
          <t>Exclude</t>
        </is>
      </c>
      <c r="K503" s="37" t="inlineStr">
        <is>
          <t>No digital twin/model</t>
        </is>
      </c>
      <c r="L503" s="32" t="inlineStr">
        <is>
          <t>Check: healthcare context, supply chain scope unclear</t>
        </is>
      </c>
      <c r="M503" s="37" t="inlineStr">
        <is>
          <t>Propone un indice de sostenibilidad de plantilla (CIWSI); el gemelo sólo en listas de tecnologias ("cloud computing, IoT, artificial intelligence, and digital twins has accelerated digital transformation"), C1; también E2.</t>
        </is>
      </c>
      <c r="N503" s="69" t="inlineStr">
        <is>
          <t>E1</t>
        </is>
      </c>
      <c r="O503" s="69" t="n">
        <v>8</v>
      </c>
      <c r="P503" s="69" t="inlineStr">
        <is>
          <t>Exclude</t>
        </is>
      </c>
      <c r="Q503" s="69" t="inlineStr">
        <is>
          <t>E1</t>
        </is>
      </c>
      <c r="R503" s="69" t="inlineStr">
        <is>
          <t>Propone un indice de sostenibilidad de plantilla (CIWSI); el gemelo sólo en listas de tecnologias ("cloud computing, IoT, artificial intelligence, and digital twins has accelerated digital transformation"), C1; también E2.</t>
        </is>
      </c>
      <c r="S503" s="69" t="n"/>
    </row>
    <row r="504" ht="23.25" customHeight="1" s="17">
      <c r="A504" s="26" t="inlineStr">
        <is>
          <t>R0503</t>
        </is>
      </c>
      <c r="B504" s="26" t="inlineStr">
        <is>
          <t>Scopus</t>
        </is>
      </c>
      <c r="C504" s="26" t="inlineStr">
        <is>
          <t>Cho S.; Kim H.; Joh J.</t>
        </is>
      </c>
      <c r="D504" s="26" t="n">
        <v>2026</v>
      </c>
      <c r="E504" s="27" t="inlineStr">
        <is>
          <t>Digital Twin and Artificial Intelligence Technologies to Assess the Type IA Endoleak</t>
        </is>
      </c>
      <c r="F504" s="26" t="inlineStr">
        <is>
          <t>Bioengineering</t>
        </is>
      </c>
      <c r="G504" s="26" t="inlineStr">
        <is>
          <t>Article</t>
        </is>
      </c>
      <c r="H504" s="26" t="inlineStr">
        <is>
          <t>10.3390/bioengineering13010001</t>
        </is>
      </c>
      <c r="I504" s="26" t="inlineStr">
        <is>
          <t>TA</t>
        </is>
      </c>
      <c r="J504" s="37" t="inlineStr">
        <is>
          <t>Exclude</t>
        </is>
      </c>
      <c r="K504" s="37" t="inlineStr">
        <is>
          <t>No supply chain scope</t>
        </is>
      </c>
      <c r="L504" s="32" t="inlineStr">
        <is>
          <t>Check: healthcare context, supply chain scope unclear</t>
        </is>
      </c>
      <c r="M504" s="37" t="inlineStr">
        <is>
          <t>Gemelo biomecanico paciente-especifico con regresion logistica para predecir endofuga tipo IA ("A patient-specific digital twin was created for each case to simulate stent-graft deployment"); ambito clinico, fuera del alcance de operaciones y logistica (precedente R0216).</t>
        </is>
      </c>
      <c r="N504" s="69" t="inlineStr">
        <is>
          <t>E2</t>
        </is>
      </c>
      <c r="O504" s="69" t="n">
        <v>8</v>
      </c>
      <c r="P504" s="69" t="inlineStr">
        <is>
          <t>Exclude</t>
        </is>
      </c>
      <c r="Q504" s="69" t="inlineStr">
        <is>
          <t>E2</t>
        </is>
      </c>
      <c r="R504" s="69" t="inlineStr">
        <is>
          <t>Gemelo biomecanico paciente-especifico con regresion logistica para predecir endofuga tipo IA ("A patient-specific digital twin was created for each case to simulate stent-graft deployment"); ambito clinico, fuera del alcance de operaciones y logistica (precedente R0216).</t>
        </is>
      </c>
      <c r="S504" s="69" t="n"/>
    </row>
    <row r="505" ht="23.25" customHeight="1" s="17">
      <c r="A505" s="26" t="inlineStr">
        <is>
          <t>R0504</t>
        </is>
      </c>
      <c r="B505" s="26" t="inlineStr">
        <is>
          <t>Scopus</t>
        </is>
      </c>
      <c r="C505" s="26" t="inlineStr">
        <is>
          <t>Goyal I.; Sai S.; Pabbati M.; Chamola V.; Ranjan V.</t>
        </is>
      </c>
      <c r="D505" s="26" t="n">
        <v>2026</v>
      </c>
      <c r="E505" s="27" t="inlineStr">
        <is>
          <t>Empowering Digital Twins With Agentic AI: Applications, Case Studies, and Limitations</t>
        </is>
      </c>
      <c r="F505" s="26" t="inlineStr">
        <is>
          <t>IEEE Communications Standards Magazine</t>
        </is>
      </c>
      <c r="G505" s="26" t="inlineStr">
        <is>
          <t>Article</t>
        </is>
      </c>
      <c r="H505" s="26" t="inlineStr">
        <is>
          <t>10.1109/mcomstd.2026.3669229</t>
        </is>
      </c>
      <c r="I505" s="26" t="inlineStr">
        <is>
          <t>TA</t>
        </is>
      </c>
      <c r="J505" s="37" t="inlineStr">
        <is>
          <t>Exclude</t>
        </is>
      </c>
      <c r="K505" s="37" t="inlineStr">
        <is>
          <t>No supply chain scope</t>
        </is>
      </c>
      <c r="L505" s="32" t="inlineStr">
        <is>
          <t>Check: AI terms only in keywords, verify substantive AI component</t>
        </is>
      </c>
      <c r="M505" s="37" t="inlineStr">
        <is>
          <t>Panorama de gemelos con IA agentica; la cadena sólo como uno de los sectores listados ("in various sectors such as healthcare, manufacturing, finance, smart cities, and supply chains"), sin encuadre del estudio (como R0143 y R0106).</t>
        </is>
      </c>
      <c r="N505" s="69" t="inlineStr">
        <is>
          <t>E2</t>
        </is>
      </c>
      <c r="O505" s="69" t="n">
        <v>8</v>
      </c>
      <c r="P505" s="69" t="inlineStr">
        <is>
          <t>Exclude</t>
        </is>
      </c>
      <c r="Q505" s="69" t="inlineStr">
        <is>
          <t>E2</t>
        </is>
      </c>
      <c r="R505" s="69" t="inlineStr">
        <is>
          <t>Panorama de gemelos con IA agentica; la cadena sólo como uno de los sectores listados ("in various sectors such as healthcare, manufacturing, finance, smart cities, and supply chains"), sin encuadre del estudio (como R0143 y R0106).</t>
        </is>
      </c>
      <c r="S505" s="69" t="n"/>
    </row>
    <row r="506" ht="23.25" customHeight="1" s="17">
      <c r="A506" s="26" t="inlineStr">
        <is>
          <t>R0505</t>
        </is>
      </c>
      <c r="B506" s="26" t="inlineStr">
        <is>
          <t>Scopus</t>
        </is>
      </c>
      <c r="C506" s="26" t="inlineStr">
        <is>
          <t>Kazemi M.H.; Hu Y.; Wu Y.; Messner J.I.; Miller S.R.</t>
        </is>
      </c>
      <c r="D506" s="26" t="n">
        <v>2026</v>
      </c>
      <c r="E506" s="27" t="inlineStr">
        <is>
          <t>Generalizable deep sequence models for 4D trajectory prediction of tower crane loads</t>
        </is>
      </c>
      <c r="F506" s="26" t="inlineStr">
        <is>
          <t>Automation in Construction</t>
        </is>
      </c>
      <c r="G506" s="26" t="inlineStr">
        <is>
          <t>Article</t>
        </is>
      </c>
      <c r="H506" s="26" t="inlineStr">
        <is>
          <t>10.1016/j.autcon.2025.106696</t>
        </is>
      </c>
      <c r="I506" s="26" t="inlineStr">
        <is>
          <t>TA</t>
        </is>
      </c>
      <c r="J506" s="37" t="inlineStr">
        <is>
          <t>Exclude</t>
        </is>
      </c>
      <c r="K506" s="37" t="inlineStr">
        <is>
          <t>No supply chain scope</t>
        </is>
      </c>
      <c r="L506" s="32" t="inlineStr">
        <is>
          <t>Check: AI terms only in keywords, verify substantive AI component</t>
        </is>
      </c>
      <c r="M506" s="37" t="inlineStr">
        <is>
          <t>Prediccion 4D de trayectorias de carga de gruas con modelos profundos, integrada en un gemelo real ("integrated into a real-time digital twin to provide feedback for operator training"); ambito de construccion y formacion de operadores, sin encuadre de cadena.</t>
        </is>
      </c>
      <c r="N506" s="69" t="inlineStr">
        <is>
          <t>E2</t>
        </is>
      </c>
      <c r="O506" s="69" t="n">
        <v>8</v>
      </c>
      <c r="P506" s="69" t="inlineStr">
        <is>
          <t>Exclude</t>
        </is>
      </c>
      <c r="Q506" s="69" t="inlineStr">
        <is>
          <t>E2</t>
        </is>
      </c>
      <c r="R506" s="69" t="inlineStr">
        <is>
          <t>Prediccion 4D de trayectorias de carga de gruas con modelos profundos, integrada en un gemelo real ("integrated into a real-time digital twin to provide feedback for operator training"); ambito de construccion y formacion de operadores, sin encuadre de cadena.</t>
        </is>
      </c>
      <c r="S506" s="69" t="n"/>
    </row>
    <row r="507" ht="23.25" customHeight="1" s="17">
      <c r="A507" s="26" t="inlineStr">
        <is>
          <t>R0506</t>
        </is>
      </c>
      <c r="B507" s="26" t="inlineStr">
        <is>
          <t>Scopus</t>
        </is>
      </c>
      <c r="C507" s="26" t="inlineStr">
        <is>
          <t>Miozza M.; Lombardo S.M.; Galvagno M.; Magni L.</t>
        </is>
      </c>
      <c r="D507" s="26" t="n">
        <v>2026</v>
      </c>
      <c r="E507" s="27" t="inlineStr">
        <is>
          <t>Bridging the digital divide in the pharmaceutical industry: A future research agenda</t>
        </is>
      </c>
      <c r="F507" s="26" t="inlineStr">
        <is>
          <t>Social Science and Medicine</t>
        </is>
      </c>
      <c r="G507" s="26" t="inlineStr">
        <is>
          <t>Article</t>
        </is>
      </c>
      <c r="H507" s="26" t="inlineStr">
        <is>
          <t>10.1016/j.socscimed.2025.118832</t>
        </is>
      </c>
      <c r="I507" s="26" t="inlineStr">
        <is>
          <t>TA</t>
        </is>
      </c>
      <c r="J507" s="37" t="inlineStr">
        <is>
          <t>Exclude</t>
        </is>
      </c>
      <c r="K507" s="37" t="inlineStr">
        <is>
          <t>Wrong publication type</t>
        </is>
      </c>
      <c r="L507" s="32" t="inlineStr">
        <is>
          <t>Check: healthcare context, supply chain scope unclear</t>
        </is>
      </c>
      <c r="M507" s="37" t="inlineStr">
        <is>
          <t>Revision sistematica con modelado de temas ("We combined a systematic literature review of 70 peer-reviewed studies with topic modeling"); gemelo sólo entre las tecnologias. Valor para snowballing: bajo.</t>
        </is>
      </c>
      <c r="N507" s="69" t="inlineStr">
        <is>
          <t>E4</t>
        </is>
      </c>
      <c r="O507" s="69" t="n">
        <v>8</v>
      </c>
      <c r="P507" s="69" t="inlineStr">
        <is>
          <t>Exclude</t>
        </is>
      </c>
      <c r="Q507" s="69" t="inlineStr">
        <is>
          <t>E4</t>
        </is>
      </c>
      <c r="R507" s="69" t="inlineStr">
        <is>
          <t>Revision sistematica con modelado de temas ("We combined a systematic literature review of 70 peer-reviewed studies with topic modeling"); gemelo sólo entre las tecnologias. Valor para snowballing: bajo.</t>
        </is>
      </c>
      <c r="S507" s="69" t="n"/>
    </row>
    <row r="508" ht="23.25" customHeight="1" s="17">
      <c r="A508" s="26" t="inlineStr">
        <is>
          <t>R0507</t>
        </is>
      </c>
      <c r="B508" s="26" t="inlineStr">
        <is>
          <t>Scopus</t>
        </is>
      </c>
      <c r="C508" s="26" t="inlineStr">
        <is>
          <t>Leiva V.; Martin-Barreiro C.; Giampaoli V.</t>
        </is>
      </c>
      <c r="D508" s="26" t="n">
        <v>2026</v>
      </c>
      <c r="E508" s="27" t="inlineStr">
        <is>
          <t>Computational Modeling for Mortality Prediction in Medical Sciences Based on a Proto-Digital Twin Framework</t>
        </is>
      </c>
      <c r="F508" s="26" t="inlineStr">
        <is>
          <t>CMES - Computer Modeling in Engineering and Sciences</t>
        </is>
      </c>
      <c r="G508" s="26" t="inlineStr">
        <is>
          <t>Article</t>
        </is>
      </c>
      <c r="H508" s="26" t="inlineStr">
        <is>
          <t>10.32604/cmes.2026.074800</t>
        </is>
      </c>
      <c r="I508" s="26" t="inlineStr">
        <is>
          <t>TA</t>
        </is>
      </c>
      <c r="J508" s="37" t="inlineStr">
        <is>
          <t>Exclude</t>
        </is>
      </c>
      <c r="K508" s="37" t="inlineStr">
        <is>
          <t>No supply chain scope</t>
        </is>
      </c>
      <c r="L508" s="32" t="inlineStr">
        <is>
          <t>Check: healthcare context, supply chain scope unclear</t>
        </is>
      </c>
      <c r="M508" s="37" t="inlineStr">
        <is>
          <t>Marco proto-gemelo con XGBoost, regresion logistica, bosque aleatorio y red profunda para "mortality prediction in respiratory health"; ambito de salud publica, fuera del alcance de operaciones (precedente R0216).</t>
        </is>
      </c>
      <c r="N508" s="69" t="inlineStr">
        <is>
          <t>E2</t>
        </is>
      </c>
      <c r="O508" s="69" t="n">
        <v>8</v>
      </c>
      <c r="P508" s="69" t="inlineStr">
        <is>
          <t>Exclude</t>
        </is>
      </c>
      <c r="Q508" s="69" t="inlineStr">
        <is>
          <t>E2</t>
        </is>
      </c>
      <c r="R508" s="69" t="inlineStr">
        <is>
          <t>Marco proto-gemelo con XGBoost, regresion logistica, bosque aleatorio y red profunda para "mortality prediction in respiratory health"; ambito de salud publica, fuera del alcance de operaciones (precedente R0216).</t>
        </is>
      </c>
      <c r="S508" s="69" t="n"/>
    </row>
    <row r="509" ht="23.25" customHeight="1" s="17">
      <c r="A509" s="26" t="inlineStr">
        <is>
          <t>R0508</t>
        </is>
      </c>
      <c r="B509" s="26" t="inlineStr">
        <is>
          <t>Scopus</t>
        </is>
      </c>
      <c r="C509" s="26" t="inlineStr">
        <is>
          <t>Adilzhanova S.; Rakhysh A.; Kunelbayev M.; Sybanova D.; Amirkhanova G.</t>
        </is>
      </c>
      <c r="D509" s="26" t="n">
        <v>2026</v>
      </c>
      <c r="E509" s="27" t="inlineStr">
        <is>
          <t>Digital Representations in IoT: Cryptographic Tools for Improved Security</t>
        </is>
      </c>
      <c r="F509" s="26" t="inlineStr">
        <is>
          <t>Journal of Advances in Information Technology</t>
        </is>
      </c>
      <c r="G509" s="26" t="inlineStr">
        <is>
          <t>Article</t>
        </is>
      </c>
      <c r="H509" s="26" t="inlineStr">
        <is>
          <t>10.12720/jait.17.2.390-404</t>
        </is>
      </c>
      <c r="I509" s="26" t="inlineStr">
        <is>
          <t>TA</t>
        </is>
      </c>
      <c r="J509" s="37" t="inlineStr">
        <is>
          <t>Exclude</t>
        </is>
      </c>
      <c r="K509" s="37" t="inlineStr">
        <is>
          <t>No digital twin/model</t>
        </is>
      </c>
      <c r="L509" s="32" t="inlineStr">
        <is>
          <t>Check: healthcare context, supply chain scope unclear</t>
        </is>
      </c>
      <c r="M509" s="37" t="inlineStr">
        <is>
          <t>Seleccion automatica de algoritmos criptograficos con ML en microcontroladores; el gemelo sólo como trabajo futuro ("including the development of secure digital twins for healthcare systems and autonomous devices"), C1; también E2.</t>
        </is>
      </c>
      <c r="N509" s="69" t="inlineStr">
        <is>
          <t>E1</t>
        </is>
      </c>
      <c r="O509" s="69" t="n">
        <v>8</v>
      </c>
      <c r="P509" s="69" t="inlineStr">
        <is>
          <t>Exclude</t>
        </is>
      </c>
      <c r="Q509" s="69" t="inlineStr">
        <is>
          <t>E1</t>
        </is>
      </c>
      <c r="R509" s="69" t="inlineStr">
        <is>
          <t>Seleccion automatica de algoritmos criptograficos con ML en microcontroladores; el gemelo sólo como trabajo futuro ("including the development of secure digital twins for healthcare systems and autonomous devices"), C1; también E2.</t>
        </is>
      </c>
      <c r="S509" s="69" t="n"/>
    </row>
    <row r="510" ht="34.5" customHeight="1" s="17">
      <c r="A510" s="26" t="inlineStr">
        <is>
          <t>R0509</t>
        </is>
      </c>
      <c r="B510" s="26" t="inlineStr">
        <is>
          <t>Scopus + WoS</t>
        </is>
      </c>
      <c r="C510" s="26" t="inlineStr">
        <is>
          <t>Al-Jabri B.; Alkahtani M.</t>
        </is>
      </c>
      <c r="D510" s="26" t="n">
        <v>2026</v>
      </c>
      <c r="E510" s="27" t="inlineStr">
        <is>
          <t>A Functional Systematic Review of Digital Supply Chain Technologies in Municipal Solid Waste Management with a Saudi Benchmark</t>
        </is>
      </c>
      <c r="F510" s="26" t="inlineStr">
        <is>
          <t>South African Journal of Industrial Engineering</t>
        </is>
      </c>
      <c r="G510" s="26" t="inlineStr">
        <is>
          <t>Article</t>
        </is>
      </c>
      <c r="H510" s="26" t="inlineStr">
        <is>
          <t>10.7166/37-1-3381</t>
        </is>
      </c>
      <c r="I510" s="26" t="inlineStr">
        <is>
          <t>TA</t>
        </is>
      </c>
      <c r="J510" s="37" t="inlineStr">
        <is>
          <t>Exclude</t>
        </is>
      </c>
      <c r="K510" s="37" t="inlineStr">
        <is>
          <t>Wrong publication type</t>
        </is>
      </c>
      <c r="L510" s="32" t="inlineStr">
        <is>
          <t>Check: AI terms only in keywords, verify substantive AI component</t>
        </is>
      </c>
      <c r="M510" s="37" t="inlineStr">
        <is>
          <t>"This study conducts a systematic literature review to examine the adoption of digital supply chain technologies in municipal solid waste management"; gemelos, robotica y analitica predictiva entre los grupos tecnologicos. Valor para snowballing: medio.</t>
        </is>
      </c>
      <c r="N510" s="69" t="inlineStr">
        <is>
          <t>E4</t>
        </is>
      </c>
      <c r="O510" s="69" t="n">
        <v>8</v>
      </c>
      <c r="P510" s="69" t="inlineStr">
        <is>
          <t>Exclude</t>
        </is>
      </c>
      <c r="Q510" s="69" t="inlineStr">
        <is>
          <t>E4</t>
        </is>
      </c>
      <c r="R510" s="69" t="inlineStr">
        <is>
          <t>"This study conducts a systematic literature review to examine the adoption of digital supply chain technologies in municipal solid waste management"; gemelos, robotica y analitica predictiva entre los grupos tecnologicos. Valor para snowballing: medio.</t>
        </is>
      </c>
      <c r="S510" s="69" t="n"/>
    </row>
    <row r="511" ht="23.25" customHeight="1" s="17">
      <c r="A511" s="26" t="inlineStr">
        <is>
          <t>R0510</t>
        </is>
      </c>
      <c r="B511" s="26" t="inlineStr">
        <is>
          <t>Scopus</t>
        </is>
      </c>
      <c r="C511" s="26" t="inlineStr">
        <is>
          <t>Walton R.B.; Ciarallo F.W.; Champagne L.E.</t>
        </is>
      </c>
      <c r="D511" s="26" t="n">
        <v>2026</v>
      </c>
      <c r="E511" s="27" t="inlineStr">
        <is>
          <t>Applying sequential bifurcation and feed-forward simulation to reduce the prescriptive response time of a digital twin</t>
        </is>
      </c>
      <c r="F511" s="26" t="inlineStr">
        <is>
          <t>International Journal of Production Economics</t>
        </is>
      </c>
      <c r="G511" s="26" t="inlineStr">
        <is>
          <t>Article</t>
        </is>
      </c>
      <c r="H511" s="26" t="inlineStr">
        <is>
          <t>10.1016/j.ijpe.2026.109912</t>
        </is>
      </c>
      <c r="I511" s="26" t="inlineStr">
        <is>
          <t>TA</t>
        </is>
      </c>
      <c r="J511" s="37" t="inlineStr">
        <is>
          <t>Exclude</t>
        </is>
      </c>
      <c r="K511" s="37" t="inlineStr">
        <is>
          <t>No AI/ML component</t>
        </is>
      </c>
      <c r="L511" s="32" t="inlineStr">
        <is>
          <t>Check: AI terms only in keywords, verify substantive AI component</t>
        </is>
      </c>
      <c r="M511" s="37" t="inlineStr">
        <is>
          <t>[Antecedente C8: alto] Bifurcacion secuencial y simulacion de eventos discretos hacia adelante para acelerar la prescripcion del gemelo en "production and logistics systems"; ningun metodo de IA o ML: "Artificial intelligence" y "Learning systems" aparecen sólo como palabras clave de indice, no en el metodo.</t>
        </is>
      </c>
      <c r="N511" s="69" t="inlineStr">
        <is>
          <t>E3</t>
        </is>
      </c>
      <c r="O511" s="69" t="n">
        <v>8</v>
      </c>
      <c r="P511" s="69" t="inlineStr">
        <is>
          <t>Exclude</t>
        </is>
      </c>
      <c r="Q511" s="69" t="inlineStr">
        <is>
          <t>E3</t>
        </is>
      </c>
      <c r="R511" s="69" t="inlineStr">
        <is>
          <t>Bifurcacion secuencial y simulacion de eventos discretos hacia adelante para acelerar la prescripcion del gemelo en "production and logistics systems"; ningun metodo de IA o ML: "Artificial intelligence" y "Learning systems" aparecen sólo como palabras clave de indice, no en el metodo.</t>
        </is>
      </c>
      <c r="S511" s="69" t="n"/>
    </row>
    <row r="512" ht="23.25" customHeight="1" s="17">
      <c r="A512" s="26" t="inlineStr">
        <is>
          <t>R0511</t>
        </is>
      </c>
      <c r="B512" s="26" t="inlineStr">
        <is>
          <t>Scopus</t>
        </is>
      </c>
      <c r="C512" s="26" t="inlineStr">
        <is>
          <t>Nozari H.; Yordanova Z.</t>
        </is>
      </c>
      <c r="D512" s="26" t="n">
        <v>2026</v>
      </c>
      <c r="E512" s="27" t="inlineStr">
        <is>
          <t>A cloud-enabled digital twin architecture for fuzzy multi-objective optimization in cognitive supply chains</t>
        </is>
      </c>
      <c r="F512" s="26" t="inlineStr">
        <is>
          <t>Computational Management Science</t>
        </is>
      </c>
      <c r="G512" s="26" t="inlineStr">
        <is>
          <t>Article</t>
        </is>
      </c>
      <c r="H512" s="26" t="inlineStr">
        <is>
          <t>10.1007/s10287-026-00570-9</t>
        </is>
      </c>
      <c r="I512" s="26" t="inlineStr">
        <is>
          <t>TA</t>
        </is>
      </c>
      <c r="J512" s="37" t="inlineStr">
        <is>
          <t>Exclude</t>
        </is>
      </c>
      <c r="K512" s="37" t="inlineStr">
        <is>
          <t>No AI/ML component</t>
        </is>
      </c>
      <c r="L512" s="32" t="inlineStr">
        <is>
          <t>Check: AI terms only in keywords, verify substantive AI component</t>
        </is>
      </c>
      <c r="M512" s="37" t="inlineStr">
        <is>
          <t>[Antecedente C8: alto] Arquitectura de gemelo en la nube para "fuzzy multi-objective optimization in cognitive supply chains"; los metodos declarados son "real-time modeling, fuzzy multi-objective analysis, and a cognitive decision support engine" y "Artificial intelligence" figura sólo como ultima palabra clave de indice; la optimizacion difusa se trato antes como metaheuristica y no como IA. Sujeto a tu regla sobre R0532; el articulo compañero R0520 sí declara IA agentica. | Auditoría final 2026-09-06: Trabajo relacionado: R0520 (mismo grupo, gemelo adaptativo con IA agéntica) está incluido.</t>
        </is>
      </c>
      <c r="N512" s="69" t="inlineStr">
        <is>
          <t>E3</t>
        </is>
      </c>
      <c r="O512" s="69" t="n">
        <v>8</v>
      </c>
      <c r="P512" s="69" t="inlineStr">
        <is>
          <t>Exclude</t>
        </is>
      </c>
      <c r="Q512" s="69" t="inlineStr">
        <is>
          <t>E3</t>
        </is>
      </c>
      <c r="R512" s="69" t="inlineStr">
        <is>
          <t>Arquitectura de gemelo en la nube para "fuzzy multi-objective optimization in cognitive supply chains"; los metodos declarados son "real-time modeling, fuzzy multi-objective analysis, and a cognitive decision support engine" y "Artificial intelligence" figura sólo como ultima palabra clave de indice; la optimizacion difusa se trato antes como metaheuristica y no como IA. Sujeto a tu regla sobre R0532; el articulo compañero R0520 sí declara IA agentica.</t>
        </is>
      </c>
      <c r="S512" s="69" t="n"/>
    </row>
    <row r="513" ht="23.25" customHeight="1" s="17">
      <c r="A513" s="26" t="inlineStr">
        <is>
          <t>R0512</t>
        </is>
      </c>
      <c r="B513" s="26" t="inlineStr">
        <is>
          <t>Scopus</t>
        </is>
      </c>
      <c r="C513" s="26" t="inlineStr">
        <is>
          <t>Chen X.; Hua R.; Lin Y.</t>
        </is>
      </c>
      <c r="D513" s="26" t="n">
        <v>2026</v>
      </c>
      <c r="E513" s="27" t="inlineStr">
        <is>
          <t>Research on Prediction of Preterm Birth Risk Based on Digital Twin Technology</t>
        </is>
      </c>
      <c r="F513" s="26" t="inlineStr">
        <is>
          <t>Diagnostics</t>
        </is>
      </c>
      <c r="G513" s="26" t="inlineStr">
        <is>
          <t>Article</t>
        </is>
      </c>
      <c r="H513" s="26" t="inlineStr">
        <is>
          <t>10.3390/diagnostics16030499</t>
        </is>
      </c>
      <c r="I513" s="26" t="inlineStr">
        <is>
          <t>TA</t>
        </is>
      </c>
      <c r="J513" s="37" t="inlineStr">
        <is>
          <t>Exclude</t>
        </is>
      </c>
      <c r="K513" s="37" t="inlineStr">
        <is>
          <t>No supply chain scope</t>
        </is>
      </c>
      <c r="L513" s="32" t="inlineStr">
        <is>
          <t>Check: healthcare context, supply chain scope unclear</t>
        </is>
      </c>
      <c r="M513" s="37" t="inlineStr">
        <is>
          <t>Plataforma de gemelo con FT-Transformer y LightGBM para "Prediction of Preterm Birth Risk"; ambito clinico, fuera del alcance de operaciones y logistica (precedente R0216).</t>
        </is>
      </c>
      <c r="N513" s="69" t="inlineStr">
        <is>
          <t>E2</t>
        </is>
      </c>
      <c r="O513" s="69" t="n">
        <v>8</v>
      </c>
      <c r="P513" s="69" t="inlineStr">
        <is>
          <t>Exclude</t>
        </is>
      </c>
      <c r="Q513" s="69" t="inlineStr">
        <is>
          <t>E2</t>
        </is>
      </c>
      <c r="R513" s="69" t="inlineStr">
        <is>
          <t>Plataforma de gemelo con FT-Transformer y LightGBM para "Prediction of Preterm Birth Risk"; ambito clinico, fuera del alcance de operaciones y logistica (precedente R0216).</t>
        </is>
      </c>
      <c r="S513" s="69" t="n"/>
    </row>
    <row r="514" ht="23.25" customHeight="1" s="17">
      <c r="A514" s="26" t="inlineStr">
        <is>
          <t>R0513</t>
        </is>
      </c>
      <c r="B514" s="26" t="inlineStr">
        <is>
          <t>Scopus</t>
        </is>
      </c>
      <c r="C514" s="26" t="inlineStr">
        <is>
          <t>Xu H.; Zlatanova S.; Li X.; Wachowicz M.; Batty M.</t>
        </is>
      </c>
      <c r="D514" s="26" t="n">
        <v>2026</v>
      </c>
      <c r="E514" s="27" t="inlineStr">
        <is>
          <t>Towards fully automated city operations: Integrating agentic AI with urban digital twins</t>
        </is>
      </c>
      <c r="F514" s="26" t="inlineStr">
        <is>
          <t>Computers, Environment and Urban Systems</t>
        </is>
      </c>
      <c r="G514" s="26" t="inlineStr">
        <is>
          <t>Article</t>
        </is>
      </c>
      <c r="H514" s="26" t="inlineStr">
        <is>
          <t>10.1016/j.compenvurbsys.2026.102449</t>
        </is>
      </c>
      <c r="I514" s="26" t="inlineStr">
        <is>
          <t>TA</t>
        </is>
      </c>
      <c r="J514" s="37" t="inlineStr">
        <is>
          <t>Exclude</t>
        </is>
      </c>
      <c r="K514" s="37" t="inlineStr">
        <is>
          <t>No supply chain scope</t>
        </is>
      </c>
      <c r="L514" s="32" t="inlineStr">
        <is>
          <t>Check: AI terms only in keywords, verify substantive AI component</t>
        </is>
      </c>
      <c r="M514" s="37" t="inlineStr">
        <is>
          <t>Marco de gemelos urbanos con IA agentica; la logistica sólo como una de las aplicaciones enumeradas ("including urban logistics, traffic optimization, building energy management, and disaster response"), sin encuadre de cadena del estudio.</t>
        </is>
      </c>
      <c r="N514" s="69" t="inlineStr">
        <is>
          <t>E2</t>
        </is>
      </c>
      <c r="O514" s="69" t="n">
        <v>8</v>
      </c>
      <c r="P514" s="69" t="inlineStr">
        <is>
          <t>Exclude</t>
        </is>
      </c>
      <c r="Q514" s="69" t="inlineStr">
        <is>
          <t>E2</t>
        </is>
      </c>
      <c r="R514" s="69" t="inlineStr">
        <is>
          <t>Marco de gemelos urbanos con IA agentica; la logistica sólo como una de las aplicaciones enumeradas ("including urban logistics, traffic optimization, building energy management, and disaster response"), sin encuadre de cadena del estudio.</t>
        </is>
      </c>
      <c r="S514" s="69" t="n"/>
    </row>
    <row r="515" ht="23.25" customHeight="1" s="17">
      <c r="A515" s="26" t="inlineStr">
        <is>
          <t>R0514</t>
        </is>
      </c>
      <c r="B515" s="26" t="inlineStr">
        <is>
          <t>Scopus + WoS</t>
        </is>
      </c>
      <c r="C515" s="26" t="inlineStr">
        <is>
          <t>Esmaeilian B.; Xiao Y.; Goyal G.K.; Zuo L.; Chen L.; Behdad S.</t>
        </is>
      </c>
      <c r="D515" s="26" t="n">
        <v>2026</v>
      </c>
      <c r="E515" s="27" t="inlineStr">
        <is>
          <t>Electric Vehicle Batteries Recycling: A Review</t>
        </is>
      </c>
      <c r="F515" s="26" t="inlineStr">
        <is>
          <t>Waste Management</t>
        </is>
      </c>
      <c r="G515" s="26" t="inlineStr">
        <is>
          <t>Review</t>
        </is>
      </c>
      <c r="H515" s="26" t="inlineStr">
        <is>
          <t>10.1016/j.wasman.2025.115302</t>
        </is>
      </c>
      <c r="I515" s="26" t="inlineStr">
        <is>
          <t>TA</t>
        </is>
      </c>
      <c r="J515" s="37" t="inlineStr">
        <is>
          <t>Exclude</t>
        </is>
      </c>
      <c r="K515" s="37" t="inlineStr">
        <is>
          <t>Wrong publication type</t>
        </is>
      </c>
      <c r="L515" s="32" t="inlineStr">
        <is>
          <t>Check: AI terms only in keywords, verify substantive AI component</t>
        </is>
      </c>
      <c r="M515" s="37" t="inlineStr">
        <is>
          <t>Revision (Doc type Review) de reciclaje de baterias de vehiculos electricos: "This review systematically analyzes the EV battery recycling literature"; logistica inversa, "digital twins facilitate predictive control". Valor para snowballing: medio.</t>
        </is>
      </c>
      <c r="N515" s="69" t="inlineStr">
        <is>
          <t>E4</t>
        </is>
      </c>
      <c r="O515" s="69" t="n">
        <v>8</v>
      </c>
      <c r="P515" s="69" t="inlineStr">
        <is>
          <t>Exclude</t>
        </is>
      </c>
      <c r="Q515" s="69" t="inlineStr">
        <is>
          <t>E4</t>
        </is>
      </c>
      <c r="R515" s="69" t="inlineStr">
        <is>
          <t>Revision (Doc type Review) de reciclaje de baterias de vehiculos electricos: "This review systematically analyzes the EV battery recycling literature"; logistica inversa, "digital twins facilitate predictive control". Valor para snowballing: medio.</t>
        </is>
      </c>
      <c r="S515" s="69" t="n"/>
    </row>
    <row r="516" ht="34.5" customHeight="1" s="17">
      <c r="A516" s="26" t="inlineStr">
        <is>
          <t>R0515</t>
        </is>
      </c>
      <c r="B516" s="26" t="inlineStr">
        <is>
          <t>Scopus</t>
        </is>
      </c>
      <c r="C516" s="26" t="inlineStr">
        <is>
          <t>Shafaati M.; Nikzadjamnani F.; Ghorbani M.</t>
        </is>
      </c>
      <c r="D516" s="26" t="n">
        <v>2026</v>
      </c>
      <c r="E516" s="27" t="inlineStr">
        <is>
          <t>An integrated AI-driven vaccine design process: a systematic review of workflows from generative design to translational prediction</t>
        </is>
      </c>
      <c r="F516" s="26" t="inlineStr">
        <is>
          <t>Immunologic Research</t>
        </is>
      </c>
      <c r="G516" s="26" t="inlineStr">
        <is>
          <t>Review</t>
        </is>
      </c>
      <c r="H516" s="26" t="inlineStr">
        <is>
          <t>10.1007/s12026-026-09763-5</t>
        </is>
      </c>
      <c r="I516" s="26" t="inlineStr">
        <is>
          <t>TA</t>
        </is>
      </c>
      <c r="J516" s="37" t="inlineStr">
        <is>
          <t>Exclude</t>
        </is>
      </c>
      <c r="K516" s="37" t="inlineStr">
        <is>
          <t>Wrong publication type</t>
        </is>
      </c>
      <c r="L516" s="32" t="inlineStr">
        <is>
          <t>Check: healthcare context, supply chain scope unclear</t>
        </is>
      </c>
      <c r="M516" s="37" t="inlineStr">
        <is>
          <t>Revision sistematica PRISMA de flujos de diseño de vacunas ("A systematic analysis based on the PRISMA framework"); gemelo sólo como simulacion mencionada. Valor para snowballing: bajo.</t>
        </is>
      </c>
      <c r="N516" s="69" t="inlineStr">
        <is>
          <t>E4</t>
        </is>
      </c>
      <c r="O516" s="69" t="n">
        <v>8</v>
      </c>
      <c r="P516" s="69" t="inlineStr">
        <is>
          <t>Exclude</t>
        </is>
      </c>
      <c r="Q516" s="69" t="inlineStr">
        <is>
          <t>E4</t>
        </is>
      </c>
      <c r="R516" s="69" t="inlineStr">
        <is>
          <t>Revision sistematica PRISMA de flujos de diseño de vacunas ("A systematic analysis based on the PRISMA framework"); gemelo sólo como simulacion mencionada. Valor para snowballing: bajo.</t>
        </is>
      </c>
      <c r="S516" s="69" t="n"/>
    </row>
    <row r="517" ht="34.5" customHeight="1" s="17">
      <c r="A517" s="26" t="inlineStr">
        <is>
          <t>R0516</t>
        </is>
      </c>
      <c r="B517" s="26" t="inlineStr">
        <is>
          <t>Scopus</t>
        </is>
      </c>
      <c r="C517" s="26" t="inlineStr">
        <is>
          <t>Cheng D.; Wu H.; Zhou C.; Wang W.; Li N.; Shao C.; Wang H.</t>
        </is>
      </c>
      <c r="D517" s="26" t="n">
        <v>2026</v>
      </c>
      <c r="E517" s="27" t="inlineStr">
        <is>
          <t>Optimizing the mathematical model and technical standards for unilateral biportal endoscopic spinal surgery through machine learning-based video analysis</t>
        </is>
      </c>
      <c r="F517" s="26" t="inlineStr">
        <is>
          <t>European Spine Journal</t>
        </is>
      </c>
      <c r="G517" s="26" t="inlineStr">
        <is>
          <t>Article</t>
        </is>
      </c>
      <c r="H517" s="26" t="inlineStr">
        <is>
          <t>10.1007/s00586-026-10022-2</t>
        </is>
      </c>
      <c r="I517" s="26" t="inlineStr">
        <is>
          <t>TA</t>
        </is>
      </c>
      <c r="J517" s="37" t="inlineStr">
        <is>
          <t>Exclude</t>
        </is>
      </c>
      <c r="K517" s="37" t="inlineStr">
        <is>
          <t>No supply chain scope</t>
        </is>
      </c>
      <c r="L517" s="32" t="inlineStr">
        <is>
          <t>Check: healthcare context, supply chain scope unclear</t>
        </is>
      </c>
      <c r="M517" s="37" t="inlineStr">
        <is>
          <t>Modelo digital geometrico y analisis de video con ML para cirugia endoscopica de columna ("integrating a digital model to establish standardized reference parameters"); ambito quirurgico, sin cadena ni logistica (precedente R0216).</t>
        </is>
      </c>
      <c r="N517" s="69" t="inlineStr">
        <is>
          <t>E2</t>
        </is>
      </c>
      <c r="O517" s="69" t="n">
        <v>8</v>
      </c>
      <c r="P517" s="69" t="inlineStr">
        <is>
          <t>Exclude</t>
        </is>
      </c>
      <c r="Q517" s="69" t="inlineStr">
        <is>
          <t>E2</t>
        </is>
      </c>
      <c r="R517" s="69" t="inlineStr">
        <is>
          <t>Modelo digital geometrico y analisis de video con ML para cirugia endoscopica de columna ("integrating a digital model to establish standardized reference parameters"); ambito quirurgico, sin cadena ni logistica (precedente R0216).</t>
        </is>
      </c>
      <c r="S517" s="69" t="n"/>
    </row>
    <row r="518" ht="23.25" customHeight="1" s="17">
      <c r="A518" s="26" t="inlineStr">
        <is>
          <t>R0517</t>
        </is>
      </c>
      <c r="B518" s="26" t="inlineStr">
        <is>
          <t>Scopus</t>
        </is>
      </c>
      <c r="C518" s="26" t="inlineStr">
        <is>
          <t>Srinu K.; Chintapalli G.S.; Mishra K.; Surendra K.; Kumar M.V.</t>
        </is>
      </c>
      <c r="D518" s="26" t="n">
        <v>2026</v>
      </c>
      <c r="E518" s="27" t="inlineStr">
        <is>
          <t>Harnessing Artificial Intelligence Across The Drug Lifecycle: From Discovery To Optimized Operations</t>
        </is>
      </c>
      <c r="F518" s="26" t="inlineStr">
        <is>
          <t>European Journal of Parenteral and Pharmaceutical Sciences</t>
        </is>
      </c>
      <c r="G518" s="26" t="inlineStr">
        <is>
          <t>Article</t>
        </is>
      </c>
      <c r="H518" s="26" t="inlineStr">
        <is>
          <t>10.37521/ejpps31108</t>
        </is>
      </c>
      <c r="I518" s="26" t="inlineStr">
        <is>
          <t>TA</t>
        </is>
      </c>
      <c r="J518" s="37" t="inlineStr">
        <is>
          <t>Exclude</t>
        </is>
      </c>
      <c r="K518" s="37" t="inlineStr">
        <is>
          <t>No digital twin/model</t>
        </is>
      </c>
      <c r="L518" s="32" t="inlineStr">
        <is>
          <t>Check: healthcare context, supply chain scope unclear</t>
        </is>
      </c>
      <c r="M518" s="37" t="inlineStr">
        <is>
          <t>Panorama de la IA en el ciclo de vida del farmaco; el gemelo sólo como integracion futura ("Future integration of multimodal data, federated learning, explainable AI, and digital twins may further accelerate innovation"), C1.</t>
        </is>
      </c>
      <c r="N518" s="69" t="inlineStr">
        <is>
          <t>E1</t>
        </is>
      </c>
      <c r="O518" s="69" t="n">
        <v>8</v>
      </c>
      <c r="P518" s="69" t="inlineStr">
        <is>
          <t>Exclude</t>
        </is>
      </c>
      <c r="Q518" s="69" t="inlineStr">
        <is>
          <t>E1</t>
        </is>
      </c>
      <c r="R518" s="69" t="inlineStr">
        <is>
          <t>Panorama de la IA en el ciclo de vida del farmaco; el gemelo sólo como integracion futura ("Future integration of multimodal data, federated learning, explainable AI, and digital twins may further accelerate innovation"), C1.</t>
        </is>
      </c>
      <c r="S518" s="69" t="n"/>
    </row>
    <row r="519" ht="23.25" customHeight="1" s="17">
      <c r="A519" s="26" t="inlineStr">
        <is>
          <t>R0518</t>
        </is>
      </c>
      <c r="B519" s="26" t="inlineStr">
        <is>
          <t>Scopus + WoS</t>
        </is>
      </c>
      <c r="C519" s="26" t="inlineStr">
        <is>
          <t>Eugster R.; Luciani P.</t>
        </is>
      </c>
      <c r="D519" s="26" t="n">
        <v>2026</v>
      </c>
      <c r="E519" s="27" t="inlineStr">
        <is>
          <t>Advancing sustainability through digitalization: from drug development to patient care</t>
        </is>
      </c>
      <c r="F519" s="26" t="inlineStr">
        <is>
          <t>RSC Pharmaceutics</t>
        </is>
      </c>
      <c r="G519" s="26" t="inlineStr">
        <is>
          <t>Review</t>
        </is>
      </c>
      <c r="H519" s="26" t="inlineStr">
        <is>
          <t>10.1039/d5pm00342c</t>
        </is>
      </c>
      <c r="I519" s="26" t="inlineStr">
        <is>
          <t>TA</t>
        </is>
      </c>
      <c r="J519" s="37" t="inlineStr">
        <is>
          <t>Exclude</t>
        </is>
      </c>
      <c r="K519" s="37" t="inlineStr">
        <is>
          <t>Wrong publication type</t>
        </is>
      </c>
      <c r="L519" s="32" t="inlineStr">
        <is>
          <t>Check: healthcare context, supply chain scope unclear</t>
        </is>
      </c>
      <c r="M519" s="37" t="inlineStr">
        <is>
          <t>Revision (Doc type Review) sobre digitalizacion y sostenibilidad farmaceutica; gemelos entre las herramientas digitales ("such as artificial intelligence (AI), machine learning (ML), blockchain, and digital twins"). Valor para snowballing: bajo.</t>
        </is>
      </c>
      <c r="N519" s="69" t="inlineStr">
        <is>
          <t>E4</t>
        </is>
      </c>
      <c r="O519" s="69" t="n">
        <v>8</v>
      </c>
      <c r="P519" s="69" t="inlineStr">
        <is>
          <t>Exclude</t>
        </is>
      </c>
      <c r="Q519" s="69" t="inlineStr">
        <is>
          <t>E4</t>
        </is>
      </c>
      <c r="R519" s="69" t="inlineStr">
        <is>
          <t>Revision (Doc type Review) sobre digitalizacion y sostenibilidad farmaceutica; gemelos entre las herramientas digitales ("such as artificial intelligence (AI), machine learning (ML), blockchain, and digital twins"). Valor para snowballing: bajo.</t>
        </is>
      </c>
      <c r="S519" s="69" t="n"/>
    </row>
    <row r="520" ht="23.25" customHeight="1" s="17">
      <c r="A520" s="26" t="inlineStr">
        <is>
          <t>R0519</t>
        </is>
      </c>
      <c r="B520" s="26" t="inlineStr">
        <is>
          <t>Scopus</t>
        </is>
      </c>
      <c r="C520" s="26" t="inlineStr">
        <is>
          <t>Giri V.V.; Chavan S.V.; Mulla R.M.; Patil N.S.</t>
        </is>
      </c>
      <c r="D520" s="26" t="n">
        <v>2026</v>
      </c>
      <c r="E520" s="27" t="inlineStr">
        <is>
          <t>AI-powered predictive analytics models for early disease detection in digital twin-enabled healthcare</t>
        </is>
      </c>
      <c r="F520" s="26" t="inlineStr">
        <is>
          <t>Advances in Computers</t>
        </is>
      </c>
      <c r="G520" s="26" t="inlineStr">
        <is>
          <t>Article</t>
        </is>
      </c>
      <c r="H520" s="26" t="inlineStr">
        <is>
          <t>10.1016/bs.adcom.2026.02.005</t>
        </is>
      </c>
      <c r="I520" s="26" t="inlineStr">
        <is>
          <t>TA</t>
        </is>
      </c>
      <c r="J520" s="37" t="inlineStr">
        <is>
          <t>Exclude</t>
        </is>
      </c>
      <c r="K520" s="37" t="inlineStr">
        <is>
          <t>No supply chain scope</t>
        </is>
      </c>
      <c r="L520" s="32" t="inlineStr">
        <is>
          <t>Check: healthcare context, supply chain scope unclear</t>
        </is>
      </c>
      <c r="M520" s="37" t="inlineStr">
        <is>
          <t>Modelos predictivos (Isolation Forest, SVM, bosques aleatorios) sobre gemelos de pacientes para "early disease detection in digital twin-enabled healthcare"; ambito clinico, fuera del alcance de operaciones (precedente R0216).</t>
        </is>
      </c>
      <c r="N520" s="69" t="inlineStr">
        <is>
          <t>E2</t>
        </is>
      </c>
      <c r="O520" s="69" t="n">
        <v>8</v>
      </c>
      <c r="P520" s="69" t="inlineStr">
        <is>
          <t>Exclude</t>
        </is>
      </c>
      <c r="Q520" s="69" t="inlineStr">
        <is>
          <t>E2</t>
        </is>
      </c>
      <c r="R520" s="69" t="inlineStr">
        <is>
          <t>Modelos predictivos (Isolation Forest, SVM, bosques aleatorios) sobre gemelos de pacientes para "early disease detection in digital twin-enabled healthcare"; ambito clinico, fuera del alcance de operaciones (precedente R0216).</t>
        </is>
      </c>
      <c r="S520" s="69" t="n"/>
    </row>
    <row r="521" ht="23.25" customHeight="1" s="17">
      <c r="A521" s="26" t="inlineStr">
        <is>
          <t>R0520</t>
        </is>
      </c>
      <c r="B521" s="26" t="inlineStr">
        <is>
          <t>Scopus</t>
        </is>
      </c>
      <c r="C521" s="26" t="inlineStr">
        <is>
          <t>Nozari H.; Yordanova Z.</t>
        </is>
      </c>
      <c r="D521" s="26" t="n">
        <v>2026</v>
      </c>
      <c r="E521" s="27" t="inlineStr">
        <is>
          <t>A Self-Deciding Adaptive Digital Twin Framework Using Agentic AI for Fuzzy Multi-Objective Optimization of Food Logistics</t>
        </is>
      </c>
      <c r="F521" s="26" t="inlineStr">
        <is>
          <t>Algorithms</t>
        </is>
      </c>
      <c r="G521" s="26" t="inlineStr">
        <is>
          <t>Article</t>
        </is>
      </c>
      <c r="H521" s="26" t="inlineStr">
        <is>
          <t>10.3390/a19030218</t>
        </is>
      </c>
      <c r="I521" s="26" t="inlineStr">
        <is>
          <t>TA</t>
        </is>
      </c>
      <c r="J521" s="37" t="inlineStr">
        <is>
          <t>Include</t>
        </is>
      </c>
      <c r="K521" s="37" t="n"/>
      <c r="L521" s="32" t="inlineStr">
        <is>
          <t>Check: AI terms only in keywords, verify substantive AI component</t>
        </is>
      </c>
      <c r="M521" s="37" t="inlineStr">
        <is>
          <t>Gemelo adaptativo con IA agentica para logistica alimentaria: "an integrated decision-making architecture is presented that integrates a multi-objective fuzzy optimization model into an adaptive digital twin along with an agentic AI-based dynamic goal reset mechanism"; agentes cuentan como IA (C7). | Auditoría final 2026-09-06: Trabajo relacionado: R0511 (mismo grupo, arquitectura previa sin método de IA) está en el pool Antecedente C8.</t>
        </is>
      </c>
      <c r="N521" s="69" t="inlineStr">
        <is>
          <t>I</t>
        </is>
      </c>
      <c r="O521" s="69" t="n">
        <v>8</v>
      </c>
      <c r="P521" s="69" t="inlineStr">
        <is>
          <t>Include</t>
        </is>
      </c>
      <c r="Q521" s="69" t="inlineStr">
        <is>
          <t>I</t>
        </is>
      </c>
      <c r="R521" s="69" t="inlineStr">
        <is>
          <t>Gemelo adaptativo con IA agentica para logistica alimentaria: "an integrated decision-making architecture is presented that integrates a multi-objective fuzzy optimization model into an adaptive digital twin along with an agentic AI-based dynamic goal reset mechanism"; agentes cuentan como IA (C7).</t>
        </is>
      </c>
      <c r="S521" s="69" t="n"/>
    </row>
    <row r="522" ht="34.5" customHeight="1" s="17">
      <c r="A522" s="26" t="inlineStr">
        <is>
          <t>R0521</t>
        </is>
      </c>
      <c r="B522" s="26" t="inlineStr">
        <is>
          <t>Scopus</t>
        </is>
      </c>
      <c r="C522" s="26" t="inlineStr">
        <is>
          <t>Surendharan S.; Krithika M.</t>
        </is>
      </c>
      <c r="D522" s="26" t="n">
        <v>2026</v>
      </c>
      <c r="E522" s="27" t="inlineStr">
        <is>
          <t>A Performance-Centric Investigation of ICT-Enabled Information Integration and Decision Support in Healthcare Supply Chain Systems</t>
        </is>
      </c>
      <c r="F522" s="26" t="inlineStr">
        <is>
          <t>IEEE International Conference on Electronic Systems and Intelligent Computing, ICESIC 2026 - Proceedings</t>
        </is>
      </c>
      <c r="G522" s="26" t="inlineStr">
        <is>
          <t>Conference paper</t>
        </is>
      </c>
      <c r="H522" s="26" t="inlineStr">
        <is>
          <t>10.1109/icesic67389.2026.11496468</t>
        </is>
      </c>
      <c r="I522" s="26" t="inlineStr">
        <is>
          <t>TA</t>
        </is>
      </c>
      <c r="J522" s="37" t="inlineStr">
        <is>
          <t>Include</t>
        </is>
      </c>
      <c r="K522" s="37" t="n"/>
      <c r="L522" s="32" t="inlineStr">
        <is>
          <t>Check: AI terms only in keywords, verify substantive AI component</t>
        </is>
      </c>
      <c r="M522" s="37" t="inlineStr">
        <is>
          <t>Resuelto 2026-09-06 por Rodrigo: si el modelo es el suministro, entra. Marco para "Healthcare Supply Chain Systems" con aprendizaje federado aplicado ("federated demand prediction accuracy was 92.1%") y gemelo para validar resiliencia ("Simulations of Digital Twin were also used to confirm the resilience of the system"); el objeto es la red de suministro hospitalaria, no el paciente (limita R0216).</t>
        </is>
      </c>
      <c r="N522" s="69" t="inlineStr">
        <is>
          <t>I</t>
        </is>
      </c>
      <c r="O522" s="69" t="n">
        <v>8</v>
      </c>
      <c r="P522" s="69" t="inlineStr">
        <is>
          <t>Include</t>
        </is>
      </c>
      <c r="Q522" s="69" t="inlineStr">
        <is>
          <t>I</t>
        </is>
      </c>
      <c r="R522" s="69" t="inlineStr">
        <is>
          <t>Marco para "Healthcare Supply Chain Systems" con aprendizaje federado aplicado ("federated demand prediction accuracy was 92.1%") y gemelo para validar resiliencia ("Simulations of Digital Twin were also used to confirm the resilience of the system"); el objeto es la red de suministro hospitalaria, no el paciente. Precedente por fijar frente a R0216.</t>
        </is>
      </c>
      <c r="S522" s="69" t="n"/>
    </row>
    <row r="523" ht="23.25" customHeight="1" s="17">
      <c r="A523" s="26" t="inlineStr">
        <is>
          <t>R0522</t>
        </is>
      </c>
      <c r="B523" s="26" t="inlineStr">
        <is>
          <t>Scopus</t>
        </is>
      </c>
      <c r="C523" s="26" t="inlineStr">
        <is>
          <t>Li Q.; Amat K.R.; Johnson E.L.; Li J.</t>
        </is>
      </c>
      <c r="D523" s="26" t="n">
        <v>2026</v>
      </c>
      <c r="E523" s="27" t="inlineStr">
        <is>
          <t>Modeling Diabetes Risk and Progression With Public Health Data: Ontology-Guided, Simulation-Capable Digital Twin Study</t>
        </is>
      </c>
      <c r="F523" s="26" t="inlineStr">
        <is>
          <t>JMIR Medical Informatics</t>
        </is>
      </c>
      <c r="G523" s="26" t="inlineStr">
        <is>
          <t>Article</t>
        </is>
      </c>
      <c r="H523" s="26" t="inlineStr">
        <is>
          <t>10.2196/87374</t>
        </is>
      </c>
      <c r="I523" s="26" t="inlineStr">
        <is>
          <t>TA</t>
        </is>
      </c>
      <c r="J523" s="37" t="inlineStr">
        <is>
          <t>Exclude</t>
        </is>
      </c>
      <c r="K523" s="37" t="inlineStr">
        <is>
          <t>No supply chain scope</t>
        </is>
      </c>
      <c r="L523" s="32" t="inlineStr">
        <is>
          <t>Check: healthcare context, supply chain scope unclear</t>
        </is>
      </c>
      <c r="M523" s="37" t="inlineStr">
        <is>
          <t>Gemelo guiado por ontologias con LLM y ML para "Modeling Diabetes Risk and Progression With Public Health Data"; ambito clinico y de salud publica, fuera del alcance de operaciones (precedente R0216).</t>
        </is>
      </c>
      <c r="N523" s="69" t="inlineStr">
        <is>
          <t>E2</t>
        </is>
      </c>
      <c r="O523" s="69" t="n">
        <v>8</v>
      </c>
      <c r="P523" s="69" t="inlineStr">
        <is>
          <t>Exclude</t>
        </is>
      </c>
      <c r="Q523" s="69" t="inlineStr">
        <is>
          <t>E2</t>
        </is>
      </c>
      <c r="R523" s="69" t="inlineStr">
        <is>
          <t>Gemelo guiado por ontologias con LLM y ML para "Modeling Diabetes Risk and Progression With Public Health Data"; ambito clinico y de salud publica, fuera del alcance de operaciones (precedente R0216).</t>
        </is>
      </c>
      <c r="S523" s="69" t="n"/>
    </row>
    <row r="524" ht="23.25" customHeight="1" s="17">
      <c r="A524" s="26" t="inlineStr">
        <is>
          <t>R0523</t>
        </is>
      </c>
      <c r="B524" s="26" t="inlineStr">
        <is>
          <t>Scopus + WoS</t>
        </is>
      </c>
      <c r="C524" s="26" t="inlineStr">
        <is>
          <t>Varriale V.; Michelino F.; Godinho-Filho M.</t>
        </is>
      </c>
      <c r="D524" s="26" t="n">
        <v>2026</v>
      </c>
      <c r="E524" s="27" t="inlineStr">
        <is>
          <t>The standalone and integrated value of digital twins and ancillary emerging technologies for enhancing supply chain performance</t>
        </is>
      </c>
      <c r="F524" s="26" t="inlineStr">
        <is>
          <t>Production Planning and Control</t>
        </is>
      </c>
      <c r="G524" s="26" t="inlineStr">
        <is>
          <t>Article</t>
        </is>
      </c>
      <c r="H524" s="26" t="inlineStr">
        <is>
          <t>10.1080/09537287.2025.2608686</t>
        </is>
      </c>
      <c r="I524" s="26" t="inlineStr">
        <is>
          <t>TA</t>
        </is>
      </c>
      <c r="J524" s="37" t="inlineStr">
        <is>
          <t>Exclude</t>
        </is>
      </c>
      <c r="K524" s="37" t="inlineStr">
        <is>
          <t>No AI/ML component</t>
        </is>
      </c>
      <c r="L524" s="32" t="inlineStr">
        <is>
          <t>Check: AI terms only in keywords, verify substantive AI component</t>
        </is>
      </c>
      <c r="M524" s="37" t="inlineStr">
        <is>
          <t>[Antecedente C8: medio] Estudio de valor y configuracion tecnologica: "Using association rule analysis on 738 real-world data-driven applications"; el gemelo y la IA son constructos comparados ("ancillary emerging technologies") y la mineria de reglas es la tecnica de analisis del estudio y no actua sobre decisiones de operaciones (regla C4 y precedente R0238, como R0196).</t>
        </is>
      </c>
      <c r="N524" s="69" t="inlineStr">
        <is>
          <t>E3</t>
        </is>
      </c>
      <c r="O524" s="69" t="n">
        <v>8</v>
      </c>
      <c r="P524" s="69" t="inlineStr">
        <is>
          <t>Exclude</t>
        </is>
      </c>
      <c r="Q524" s="69" t="inlineStr">
        <is>
          <t>E3</t>
        </is>
      </c>
      <c r="R524" s="69" t="inlineStr">
        <is>
          <t>Estudio de valor y configuracion tecnologica: "Using association rule analysis on 738 real-world data-driven applications"; el gemelo y la IA son constructos comparados ("ancillary emerging technologies") y la mineria de reglas es la tecnica de analisis del estudio y no actua sobre decisiones de operaciones (regla C4 y precedente R0238, como R0196).</t>
        </is>
      </c>
      <c r="S524" s="69" t="n"/>
    </row>
    <row r="525" ht="23.25" customHeight="1" s="17">
      <c r="A525" s="26" t="inlineStr">
        <is>
          <t>R0524</t>
        </is>
      </c>
      <c r="B525" s="26" t="inlineStr">
        <is>
          <t>Scopus</t>
        </is>
      </c>
      <c r="C525" s="26" t="inlineStr">
        <is>
          <t>Gupta S.; Verma J.K.</t>
        </is>
      </c>
      <c r="D525" s="26" t="n">
        <v>2026</v>
      </c>
      <c r="E525" s="27" t="inlineStr">
        <is>
          <t>The Role of Emerging Information Technologies in Manufacturing Traceability – Trends, Challenges, and Future Directions</t>
        </is>
      </c>
      <c r="F525" s="26" t="inlineStr">
        <is>
          <t>International Journal of Computer Information Systems and Industrial Management Applications</t>
        </is>
      </c>
      <c r="G525" s="26" t="inlineStr">
        <is>
          <t>Article</t>
        </is>
      </c>
      <c r="H525" s="26" t="inlineStr">
        <is>
          <t>10.70917/ijcisim-2026-2865</t>
        </is>
      </c>
      <c r="I525" s="26" t="inlineStr">
        <is>
          <t>TA</t>
        </is>
      </c>
      <c r="J525" s="37" t="inlineStr">
        <is>
          <t>Exclude</t>
        </is>
      </c>
      <c r="K525" s="37" t="inlineStr">
        <is>
          <t>Wrong publication type</t>
        </is>
      </c>
      <c r="L525" s="32" t="inlineStr">
        <is>
          <t>Check: AI terms only in keywords, verify substantive AI component</t>
        </is>
      </c>
      <c r="M525" s="37" t="inlineStr">
        <is>
          <t>Estudio de tendencias con revision declarada ("We identify five key trends through expert surveys and a literature survey"), por lo que C3 manda sobre C1; el gemelo aparece como tecnologia aun no adoptada ("blockchain and digital twins are not yet widely adopted"). Valor para snowballing: bajo.</t>
        </is>
      </c>
      <c r="N525" s="69" t="inlineStr">
        <is>
          <t>E4</t>
        </is>
      </c>
      <c r="O525" s="69" t="n">
        <v>8</v>
      </c>
      <c r="P525" s="69" t="inlineStr">
        <is>
          <t>Exclude</t>
        </is>
      </c>
      <c r="Q525" s="69" t="inlineStr">
        <is>
          <t>E4</t>
        </is>
      </c>
      <c r="R525" s="69" t="inlineStr">
        <is>
          <t>Estudio de tendencias con revision declarada ("We identify five key trends through expert surveys and a literature survey"), por lo que C3 manda sobre C1; el gemelo aparece como tecnologia aun no adoptada ("blockchain and digital twins are not yet widely adopted"). Valor para snowballing: bajo.</t>
        </is>
      </c>
      <c r="S525" s="69" t="n"/>
    </row>
    <row r="526" ht="23.25" customHeight="1" s="17">
      <c r="A526" s="26" t="inlineStr">
        <is>
          <t>R0525</t>
        </is>
      </c>
      <c r="B526" s="26" t="inlineStr">
        <is>
          <t>Scopus + WoS</t>
        </is>
      </c>
      <c r="C526" s="26" t="inlineStr">
        <is>
          <t>Ivanov D.; Gusikhin O.</t>
        </is>
      </c>
      <c r="D526" s="26" t="n">
        <v>2026</v>
      </c>
      <c r="E526" s="27" t="inlineStr">
        <is>
          <t>Supply chain digital twin design and implementation at scale: A case study at the Ford Motor Company and generalizations</t>
        </is>
      </c>
      <c r="F526" s="26" t="inlineStr">
        <is>
          <t>Omega (United Kingdom)</t>
        </is>
      </c>
      <c r="G526" s="26" t="inlineStr">
        <is>
          <t>Article</t>
        </is>
      </c>
      <c r="H526" s="26" t="inlineStr">
        <is>
          <t>10.1016/j.omega.2025.103447</t>
        </is>
      </c>
      <c r="I526" s="26" t="inlineStr">
        <is>
          <t>TA</t>
        </is>
      </c>
      <c r="J526" s="37" t="inlineStr">
        <is>
          <t>Include</t>
        </is>
      </c>
      <c r="K526" s="37" t="n"/>
      <c r="L526" s="32" t="inlineStr">
        <is>
          <t>Check: AI terms only in keywords, verify substantive AI component</t>
        </is>
      </c>
      <c r="M526" s="37" t="inlineStr">
        <is>
          <t>Caso de implementacion a escala del gemelo de cadena en Ford ("propose three industry-based frameworks for supply chain digital twin (SCDT) design and implementation at scale"), con "agentic AI integration in decision-making" y palabras clave Agentic AI y Generative AI; incluido por sensibilidad, el texto completo decide el componente de IA.</t>
        </is>
      </c>
      <c r="N526" s="69" t="inlineStr">
        <is>
          <t>I</t>
        </is>
      </c>
      <c r="O526" s="69" t="n">
        <v>8</v>
      </c>
      <c r="P526" s="69" t="inlineStr">
        <is>
          <t>Include</t>
        </is>
      </c>
      <c r="Q526" s="69" t="inlineStr">
        <is>
          <t>I</t>
        </is>
      </c>
      <c r="R526" s="69" t="inlineStr">
        <is>
          <t>Caso de implementacion a escala del gemelo de cadena en Ford ("propose three industry-based frameworks for supply chain digital twin (SCDT) design and implementation at scale"), con "agentic AI integration in decision-making" y palabras clave Agentic AI y Generative AI; incluido por sensibilidad, el texto completo decide el componente de IA.</t>
        </is>
      </c>
      <c r="S526" s="69" t="n"/>
    </row>
    <row r="527" ht="34.5" customHeight="1" s="17">
      <c r="A527" s="26" t="inlineStr">
        <is>
          <t>R0526</t>
        </is>
      </c>
      <c r="B527" s="26" t="inlineStr">
        <is>
          <t>Scopus</t>
        </is>
      </c>
      <c r="C527" s="26" t="inlineStr">
        <is>
          <t>Wu Y.</t>
        </is>
      </c>
      <c r="D527" s="26" t="n">
        <v>2026</v>
      </c>
      <c r="E527" s="27" t="inlineStr">
        <is>
          <t>A Review of the Application of Blockchain Technology in the Logistics Field: CiteSpace-Based Visual Analysis with Computer Technology Integration</t>
        </is>
      </c>
      <c r="F527" s="26" t="inlineStr">
        <is>
          <t>Proceedings of The 2nd International Conference on Digital Society, Information Science and Risk Management, ICDIR 2026</t>
        </is>
      </c>
      <c r="G527" s="26" t="inlineStr">
        <is>
          <t>Conference paper</t>
        </is>
      </c>
      <c r="H527" s="26" t="inlineStr">
        <is>
          <t>10.1145/3804504.3804531</t>
        </is>
      </c>
      <c r="I527" s="26" t="inlineStr">
        <is>
          <t>TA</t>
        </is>
      </c>
      <c r="J527" s="37" t="inlineStr">
        <is>
          <t>Exclude</t>
        </is>
      </c>
      <c r="K527" s="37" t="inlineStr">
        <is>
          <t>Wrong publication type</t>
        </is>
      </c>
      <c r="L527" s="32" t="inlineStr">
        <is>
          <t>Check: AI terms only in keywords, verify substantive AI component</t>
        </is>
      </c>
      <c r="M527" s="37" t="inlineStr">
        <is>
          <t>Analisis bibliometrico con CiteSpace de 862 y 769 articulos sobre blockchain en logistica ("employs CiteSpace (version 6.3.R1) to visually analyze"); gemelo sólo como tecnologia de frontera futura. Valor para snowballing: bajo.</t>
        </is>
      </c>
      <c r="N527" s="69" t="inlineStr">
        <is>
          <t>E4</t>
        </is>
      </c>
      <c r="O527" s="69" t="n">
        <v>8</v>
      </c>
      <c r="P527" s="69" t="inlineStr">
        <is>
          <t>Exclude</t>
        </is>
      </c>
      <c r="Q527" s="69" t="inlineStr">
        <is>
          <t>E4</t>
        </is>
      </c>
      <c r="R527" s="69" t="inlineStr">
        <is>
          <t>Analisis bibliometrico con CiteSpace de 862 y 769 articulos sobre blockchain en logistica ("employs CiteSpace (version 6.3.R1) to visually analyze"); gemelo sólo como tecnologia de frontera futura. Valor para snowballing: bajo.</t>
        </is>
      </c>
      <c r="S527" s="69" t="n"/>
    </row>
    <row r="528" ht="23.25" customHeight="1" s="17">
      <c r="A528" s="26" t="inlineStr">
        <is>
          <t>R0527</t>
        </is>
      </c>
      <c r="B528" s="26" t="inlineStr">
        <is>
          <t>Scopus</t>
        </is>
      </c>
      <c r="C528" s="26" t="inlineStr">
        <is>
          <t>Alluri P.</t>
        </is>
      </c>
      <c r="D528" s="26" t="n">
        <v>2026</v>
      </c>
      <c r="E528" s="27" t="inlineStr">
        <is>
          <t>When Cybersecurity Becomes Patient Safety: Securing Pharmaceutical Systems and Connected Medical Devices</t>
        </is>
      </c>
      <c r="F528" s="26" t="inlineStr">
        <is>
          <t>Proceedings of 3rd International Conference on Machine Learning and Autonomous Systems, ICMLAS 2026</t>
        </is>
      </c>
      <c r="G528" s="26" t="inlineStr">
        <is>
          <t>Conference paper</t>
        </is>
      </c>
      <c r="H528" s="26" t="inlineStr">
        <is>
          <t>10.1109/icmlas67792.2026.11484007</t>
        </is>
      </c>
      <c r="I528" s="26" t="inlineStr">
        <is>
          <t>TA</t>
        </is>
      </c>
      <c r="J528" s="37" t="inlineStr">
        <is>
          <t>Exclude</t>
        </is>
      </c>
      <c r="K528" s="37" t="inlineStr">
        <is>
          <t>No supply chain scope</t>
        </is>
      </c>
      <c r="L528" s="32" t="inlineStr">
        <is>
          <t>Check: healthcare context, supply chain scope unclear</t>
        </is>
      </c>
      <c r="M528" s="37" t="inlineStr">
        <is>
          <t>Confirmado 2026-09-06 (criterio delegado: incluir sólo si fortalece el argumento). El aprendizaje por refuerzo actua sobre mecanismos de defensa y no sobre decisiones de operaciones o logistica ("reinforcement learning agents improve defense mechanisms in response to cyber threats"), sin elemento humano en el bucle; no aporta al argumento de la revision. Limite anotado: el ML "simulates behavior on the device and supply chain".</t>
        </is>
      </c>
      <c r="N528" s="69" t="inlineStr">
        <is>
          <t>E2</t>
        </is>
      </c>
      <c r="O528" s="69" t="n">
        <v>8</v>
      </c>
      <c r="P528" s="69" t="inlineStr">
        <is>
          <t>Exclude</t>
        </is>
      </c>
      <c r="Q528" s="69" t="inlineStr">
        <is>
          <t>E2</t>
        </is>
      </c>
      <c r="R528" s="69" t="inlineStr">
        <is>
          <t>Sistema de ciberseguridad con blockchain, gemelos y aprendizaje por refuerzo para "protect pharmaceutical systems and Internet of Medicine Things (IoMT) devices"; las decisiones del RL son mecanismos de defensa, no decisiones de operaciones o logistica (precedente R0216 y R0100). Limite: el ML "simulates behavior on the device and supply chain"; alternativa E3 por R0238 si prefieres tratarlo como IA que no decide sobre operaciones.</t>
        </is>
      </c>
      <c r="S528" s="69" t="n"/>
    </row>
    <row r="529" ht="23.25" customHeight="1" s="17">
      <c r="A529" s="26" t="inlineStr">
        <is>
          <t>R0528</t>
        </is>
      </c>
      <c r="B529" s="26" t="inlineStr">
        <is>
          <t>Scopus</t>
        </is>
      </c>
      <c r="C529" s="26" t="inlineStr">
        <is>
          <t>Gelbach P.E.; Edwards R.A.; Fukuda Y.; Alexander J., Jr.</t>
        </is>
      </c>
      <c r="D529" s="26" t="n">
        <v>2026</v>
      </c>
      <c r="E529" s="27" t="inlineStr">
        <is>
          <t>Heart Failure sub-phenotyping and in-hospital and 28-day mortality prediction based on mean arterial pressure trajectory modeling</t>
        </is>
      </c>
      <c r="F529" s="26" t="inlineStr">
        <is>
          <t>American Heart Journal Plus: Cardiology Research and Practice</t>
        </is>
      </c>
      <c r="G529" s="26" t="inlineStr">
        <is>
          <t>Article</t>
        </is>
      </c>
      <c r="H529" s="26" t="inlineStr">
        <is>
          <t>10.1016/j.ahjo.2026.100838</t>
        </is>
      </c>
      <c r="I529" s="26" t="inlineStr">
        <is>
          <t>TA</t>
        </is>
      </c>
      <c r="J529" s="37" t="inlineStr">
        <is>
          <t>Exclude</t>
        </is>
      </c>
      <c r="K529" s="37" t="inlineStr">
        <is>
          <t>No digital twin/model</t>
        </is>
      </c>
      <c r="L529" s="32" t="inlineStr">
        <is>
          <t>Check: AI terms only in keywords, verify substantive AI component</t>
        </is>
      </c>
      <c r="M529" s="37" t="inlineStr">
        <is>
          <t>Subfenotipado de insuficiencia cardiaca con GBTM, regresion logistica y bosque aleatorio; el gemelo sólo como aplicacion prospectiva ("can inform digital-twin-based scenario modeling"), C1; también E2 (ambito clinico).</t>
        </is>
      </c>
      <c r="N529" s="69" t="inlineStr">
        <is>
          <t>E1</t>
        </is>
      </c>
      <c r="O529" s="69" t="n">
        <v>8</v>
      </c>
      <c r="P529" s="69" t="inlineStr">
        <is>
          <t>Exclude</t>
        </is>
      </c>
      <c r="Q529" s="69" t="inlineStr">
        <is>
          <t>E1</t>
        </is>
      </c>
      <c r="R529" s="69" t="inlineStr">
        <is>
          <t>Subfenotipado de insuficiencia cardiaca con GBTM, regresion logistica y bosque aleatorio; el gemelo sólo como aplicacion prospectiva ("can inform digital-twin-based scenario modeling"), C1; también E2 (ambito clinico).</t>
        </is>
      </c>
      <c r="S529" s="69" t="n"/>
    </row>
    <row r="530" ht="23.25" customHeight="1" s="17">
      <c r="A530" s="26" t="inlineStr">
        <is>
          <t>R0529</t>
        </is>
      </c>
      <c r="B530" s="26" t="inlineStr">
        <is>
          <t>Scopus</t>
        </is>
      </c>
      <c r="C530" s="26" t="inlineStr">
        <is>
          <t>Petukhov I.; Steshina L.; Rajagopal S.</t>
        </is>
      </c>
      <c r="D530" s="26" t="n">
        <v>2026</v>
      </c>
      <c r="E530" s="27" t="inlineStr">
        <is>
          <t>Forestry 4.0 and Forestry 5.0: An Evolutionary Taxonomy of Smart Technologies</t>
        </is>
      </c>
      <c r="F530" s="26" t="inlineStr">
        <is>
          <t>Proceedings - 2026 International Conference on Industrial Engineering, Applications and Manufacturing, ICIEAM 2026</t>
        </is>
      </c>
      <c r="G530" s="26" t="inlineStr">
        <is>
          <t>Conference paper</t>
        </is>
      </c>
      <c r="H530" s="26" t="inlineStr">
        <is>
          <t>10.1109/icieam69213.2026.11549582</t>
        </is>
      </c>
      <c r="I530" s="26" t="inlineStr">
        <is>
          <t>TA</t>
        </is>
      </c>
      <c r="J530" s="37" t="inlineStr">
        <is>
          <t>Exclude</t>
        </is>
      </c>
      <c r="K530" s="37" t="inlineStr">
        <is>
          <t>No digital twin/model</t>
        </is>
      </c>
      <c r="L530" s="32" t="inlineStr">
        <is>
          <t>Check: AI terms only in keywords, verify substantive AI component</t>
        </is>
      </c>
      <c r="M530" s="37" t="inlineStr">
        <is>
          <t>Taxonomia y madurez tecnologica del sector forestal con el ciclo de sobreexpectacion ("The central analytical method is the Gartner Hype Cycle model"); el gemelo es una categoria evaluada, no un sistema aplicado (regla C4), C1.</t>
        </is>
      </c>
      <c r="N530" s="69" t="inlineStr">
        <is>
          <t>E1</t>
        </is>
      </c>
      <c r="O530" s="69" t="n">
        <v>8</v>
      </c>
      <c r="P530" s="69" t="inlineStr">
        <is>
          <t>Exclude</t>
        </is>
      </c>
      <c r="Q530" s="69" t="inlineStr">
        <is>
          <t>E1</t>
        </is>
      </c>
      <c r="R530" s="69" t="inlineStr">
        <is>
          <t>Taxonomia y madurez tecnologica del sector forestal con el ciclo de sobreexpectacion ("The central analytical method is the Gartner Hype Cycle model"); el gemelo es una categoria evaluada, no un sistema aplicado (regla C4), C1.</t>
        </is>
      </c>
      <c r="S530" s="69" t="n"/>
    </row>
    <row r="531" ht="34.5" customHeight="1" s="17">
      <c r="A531" s="26" t="inlineStr">
        <is>
          <t>R0530</t>
        </is>
      </c>
      <c r="B531" s="26" t="inlineStr">
        <is>
          <t>Scopus + WoS</t>
        </is>
      </c>
      <c r="C531" s="26" t="inlineStr">
        <is>
          <t>Zhang C.; Wang X.; Liu L.</t>
        </is>
      </c>
      <c r="D531" s="26" t="n">
        <v>2026</v>
      </c>
      <c r="E531" s="27" t="inlineStr">
        <is>
          <t>Next-Generation AI‑Driven Digital Twin Framework for Market Volatility Warning and Risk Detection in Global Logistics Supply Chains</t>
        </is>
      </c>
      <c r="F531" s="26" t="inlineStr">
        <is>
          <t>IEEE Communications Standards Magazine</t>
        </is>
      </c>
      <c r="G531" s="26" t="inlineStr">
        <is>
          <t>Article</t>
        </is>
      </c>
      <c r="H531" s="26" t="inlineStr">
        <is>
          <t>10.1109/mcomstd.2025.3641867</t>
        </is>
      </c>
      <c r="I531" s="26" t="inlineStr">
        <is>
          <t>TA</t>
        </is>
      </c>
      <c r="J531" s="37" t="inlineStr">
        <is>
          <t>Include</t>
        </is>
      </c>
      <c r="K531" s="37" t="n"/>
      <c r="L531" s="32" t="inlineStr">
        <is>
          <t>Check: AI terms only in keywords, verify substantive AI component</t>
        </is>
      </c>
      <c r="M531" s="37" t="inlineStr">
        <is>
          <t>Marco de gemelo para cadenas logisticas globales: "the coupling of DTs with AI/ML, edge computing, and 5G/6G connectivity offers powerful capabilities for market volatility warning and risk detection", con "A case study on logistics volatility detection"; incluido por sensibilidad aunque el contenido sea de estandarizacion y seguridad. | Auditoría final 2026-09-06: se mantiene I; marco de gemelo con IA constitutiva para cadenas logísticas ("a next-generation AI-driven digital twin framework tailored for logistics supply chains") con caso ("A case study on logistics volatility detection"), C8 tercera precisión; riesgo E3 en texto completo si la IA es sólo etiqueta; interés HITL: "DT-aware AI governance" y aseguramiento en tiempo real.</t>
        </is>
      </c>
      <c r="N531" s="69" t="inlineStr">
        <is>
          <t>I</t>
        </is>
      </c>
      <c r="O531" s="69" t="n">
        <v>8</v>
      </c>
      <c r="P531" s="69" t="inlineStr">
        <is>
          <t>Include</t>
        </is>
      </c>
      <c r="Q531" s="69" t="inlineStr">
        <is>
          <t>I</t>
        </is>
      </c>
      <c r="R531" s="69" t="inlineStr">
        <is>
          <t>Marco de gemelo para cadenas logisticas globales: "the coupling of DTs with AI/ML, edge computing, and 5G/6G connectivity offers powerful capabilities for market volatility warning and risk detection", con "A case study on logistics volatility detection"; incluido por sensibilidad aunque el contenido sea de estandarizacion y seguridad.</t>
        </is>
      </c>
      <c r="S531" s="69" t="n"/>
    </row>
    <row r="532" ht="23.25" customHeight="1" s="17">
      <c r="A532" s="26" t="inlineStr">
        <is>
          <t>R0531</t>
        </is>
      </c>
      <c r="B532" s="26" t="inlineStr">
        <is>
          <t>Scopus + WoS</t>
        </is>
      </c>
      <c r="C532" s="26" t="inlineStr">
        <is>
          <t>Ben Hnaien I.; Gascard E.; Simeu-Abazi Z.; Dhouibi H.</t>
        </is>
      </c>
      <c r="D532" s="26" t="n">
        <v>2026</v>
      </c>
      <c r="E532" s="27" t="inlineStr">
        <is>
          <t>A systematic literature review on the integration of artificial intelligence in digital twins for robotic fault diagnosis</t>
        </is>
      </c>
      <c r="F532" s="26" t="inlineStr">
        <is>
          <t>International Journal of Data Science and Analytics</t>
        </is>
      </c>
      <c r="G532" s="26" t="inlineStr">
        <is>
          <t>Review</t>
        </is>
      </c>
      <c r="H532" s="26" t="inlineStr">
        <is>
          <t>10.1007/s41060-026-01200-y</t>
        </is>
      </c>
      <c r="I532" s="26" t="inlineStr">
        <is>
          <t>TA</t>
        </is>
      </c>
      <c r="J532" s="37" t="inlineStr">
        <is>
          <t>Exclude</t>
        </is>
      </c>
      <c r="K532" s="37" t="inlineStr">
        <is>
          <t>Wrong publication type</t>
        </is>
      </c>
      <c r="L532" s="32" t="inlineStr">
        <is>
          <t>Check: healthcare context, supply chain scope unclear</t>
        </is>
      </c>
      <c r="M532" s="37" t="inlineStr">
        <is>
          <t>Revision sistematica: "A systematic literature review on the integration of artificial intelligence in digital twins for robotic fault diagnosis"; logistica entre los dominios de aplicacion y discusion de explicabilidad y brecha sim-to-real. Valor para snowballing: medio.</t>
        </is>
      </c>
      <c r="N532" s="69" t="inlineStr">
        <is>
          <t>E4</t>
        </is>
      </c>
      <c r="O532" s="69" t="n">
        <v>8</v>
      </c>
      <c r="P532" s="69" t="inlineStr">
        <is>
          <t>Exclude</t>
        </is>
      </c>
      <c r="Q532" s="69" t="inlineStr">
        <is>
          <t>E4</t>
        </is>
      </c>
      <c r="R532" s="69" t="inlineStr">
        <is>
          <t>Revision sistematica: "A systematic literature review on the integration of artificial intelligence in digital twins for robotic fault diagnosis"; logistica entre los dominios de aplicacion y discusion de explicabilidad y brecha sim-to-real. Valor para snowballing: medio.</t>
        </is>
      </c>
      <c r="S532" s="69" t="n"/>
    </row>
    <row r="533" ht="23.25" customHeight="1" s="17">
      <c r="A533" s="26" t="inlineStr">
        <is>
          <t>R0532</t>
        </is>
      </c>
      <c r="B533" s="26" t="inlineStr">
        <is>
          <t>Scopus</t>
        </is>
      </c>
      <c r="C533" s="26" t="inlineStr">
        <is>
          <t>Leong W.Y.</t>
        </is>
      </c>
      <c r="D533" s="26" t="n">
        <v>2026</v>
      </c>
      <c r="E533" s="27" t="inlineStr">
        <is>
          <t>Port-to-Factory Digital Twin for Malaysia's Klang Valley- Port Klang-Penang Logistics Corridor</t>
        </is>
      </c>
      <c r="F533" s="26" t="inlineStr">
        <is>
          <t>ICCMB 2026 - Proceedings of 2026 the 9th International Conference on Computers in Management and Business</t>
        </is>
      </c>
      <c r="G533" s="26" t="inlineStr">
        <is>
          <t>Conference paper</t>
        </is>
      </c>
      <c r="H533" s="26" t="inlineStr">
        <is>
          <t>10.1145/3802463.3802486</t>
        </is>
      </c>
      <c r="I533" s="26" t="inlineStr">
        <is>
          <t>TA</t>
        </is>
      </c>
      <c r="J533" s="37" t="inlineStr">
        <is>
          <t>Exclude</t>
        </is>
      </c>
      <c r="K533" s="37" t="inlineStr">
        <is>
          <t>No AI/ML component</t>
        </is>
      </c>
      <c r="L533" s="32" t="inlineStr">
        <is>
          <t>Check: AI terms only in keywords, verify substantive AI component</t>
        </is>
      </c>
      <c r="M533" s="37" t="inlineStr">
        <is>
          <t>[Antecedente C8: alto] Resuelto 2026-09-06 por Rodrigo: cuando la IA sólo se menciona y no se implementa, el registro no entra. El gemelo puerto-fabrica y la cadena son centrales, pero los metodos declarados son "state estimation, predictive lead-time modelling, and discrete-event simulation" y la IA figura sólo entre las palabras clave de autor ("Artificial Intelligence; Digital twin; Supply Chain"), sin metodo. Regla para los 94 registros con IA sólo en palabras clave.</t>
        </is>
      </c>
      <c r="N533" s="69" t="inlineStr">
        <is>
          <t>E3</t>
        </is>
      </c>
      <c r="O533" s="69" t="n">
        <v>8</v>
      </c>
      <c r="P533" s="69" t="inlineStr">
        <is>
          <t>DUDA</t>
        </is>
      </c>
      <c r="Q533" s="69" t="inlineStr">
        <is>
          <t>DUDA</t>
        </is>
      </c>
      <c r="R533" s="69" t="inlineStr">
        <is>
          <t>Gemelo puerto-fabrica del corredor Klang Valley-Port Klang-Penang que integra "port community system events, and factory production constraints", con "predictive lead-time modelling" y "data-driven optimisation"; la IA figura sólo entre las tres palabras clave de autor ("Artificial Intelligence; Digital twin; Supply Chain"), sin metodo nombrado. C1 estricto da E3; la regla de sensibilidad daria I. Caso de prueba del grupo: tu decision fija la regla para los 94 registros con IA sólo en palabras clave. Inclinacion: E3.</t>
        </is>
      </c>
      <c r="S533" s="69" t="n"/>
    </row>
    <row r="534" ht="23.25" customHeight="1" s="17">
      <c r="A534" s="26" t="inlineStr">
        <is>
          <t>R0533</t>
        </is>
      </c>
      <c r="B534" s="26" t="inlineStr">
        <is>
          <t>Scopus</t>
        </is>
      </c>
      <c r="C534" s="26" t="inlineStr">
        <is>
          <t>Moghimi N.; Arshang O.; Hamzeh F.</t>
        </is>
      </c>
      <c r="D534" s="26" t="n">
        <v>2026</v>
      </c>
      <c r="E534" s="27" t="inlineStr">
        <is>
          <t>Digital twins in offsite construction: Current implementations, challenges, and future pathways</t>
        </is>
      </c>
      <c r="F534" s="26" t="inlineStr">
        <is>
          <t>Automation in Construction</t>
        </is>
      </c>
      <c r="G534" s="26" t="inlineStr">
        <is>
          <t>Review</t>
        </is>
      </c>
      <c r="H534" s="26" t="inlineStr">
        <is>
          <t>10.1016/j.autcon.2026.106820</t>
        </is>
      </c>
      <c r="I534" s="26" t="inlineStr">
        <is>
          <t>TA</t>
        </is>
      </c>
      <c r="J534" s="37" t="inlineStr">
        <is>
          <t>Exclude</t>
        </is>
      </c>
      <c r="K534" s="37" t="inlineStr">
        <is>
          <t>Wrong publication type</t>
        </is>
      </c>
      <c r="L534" s="32" t="inlineStr">
        <is>
          <t>Check: AI terms only in keywords, verify substantive AI component</t>
        </is>
      </c>
      <c r="M534" s="37" t="inlineStr">
        <is>
          <t>Revision cienciometrica y cualitativa de 50 publicaciones ("This paper synthesizes 50 publications using a mixed-methods approach"); discute opacidad de la IA y marcos Operator 5.0, pertinentes a HITL. Valor para snowballing: medio.</t>
        </is>
      </c>
      <c r="N534" s="69" t="inlineStr">
        <is>
          <t>E4</t>
        </is>
      </c>
      <c r="O534" s="69" t="n">
        <v>8</v>
      </c>
      <c r="P534" s="69" t="inlineStr">
        <is>
          <t>Exclude</t>
        </is>
      </c>
      <c r="Q534" s="69" t="inlineStr">
        <is>
          <t>E4</t>
        </is>
      </c>
      <c r="R534" s="69" t="inlineStr">
        <is>
          <t>Revision cienciometrica y cualitativa de 50 publicaciones ("This paper synthesizes 50 publications using a mixed-methods approach"); discute opacidad de la IA y marcos Operator 5.0, pertinentes a HITL. Valor para snowballing: medio.</t>
        </is>
      </c>
      <c r="S534" s="69" t="n"/>
    </row>
    <row r="535" ht="23.25" customHeight="1" s="17">
      <c r="A535" s="26" t="inlineStr">
        <is>
          <t>R0534</t>
        </is>
      </c>
      <c r="B535" s="26" t="inlineStr">
        <is>
          <t>Scopus</t>
        </is>
      </c>
      <c r="C535" s="26" t="inlineStr">
        <is>
          <t>Mahmood M.; Naseem A.; Shahzad A.; Ahmad Y.</t>
        </is>
      </c>
      <c r="D535" s="26" t="n">
        <v>2026</v>
      </c>
      <c r="E535" s="27" t="inlineStr">
        <is>
          <t>Integrating AI Techniques to Rank Critical Factors for Supplier Selection in the Pharmaceutical Industry</t>
        </is>
      </c>
      <c r="F535" s="26" t="inlineStr">
        <is>
          <t>EMJ - Engineering Management Journal</t>
        </is>
      </c>
      <c r="G535" s="26" t="inlineStr">
        <is>
          <t>Article</t>
        </is>
      </c>
      <c r="H535" s="26" t="inlineStr">
        <is>
          <t>10.1080/10429247.2026.2647845</t>
        </is>
      </c>
      <c r="I535" s="26" t="inlineStr">
        <is>
          <t>TA</t>
        </is>
      </c>
      <c r="J535" s="37" t="inlineStr">
        <is>
          <t>Exclude</t>
        </is>
      </c>
      <c r="K535" s="37" t="inlineStr">
        <is>
          <t>No digital twin/model</t>
        </is>
      </c>
      <c r="L535" s="32" t="inlineStr">
        <is>
          <t>Check: healthcare context, supply chain scope unclear</t>
        </is>
      </c>
      <c r="M535" s="37" t="inlineStr">
        <is>
          <t>Seleccion de proveedores farmaceuticos con PCA y clasificadores ("Gradient Boosting emerged as a superior classifier"); el gemelo aparece sólo como el nombre de un factor evaluado ("bio-digital twin compatibility"), C1.</t>
        </is>
      </c>
      <c r="N535" s="69" t="inlineStr">
        <is>
          <t>E1</t>
        </is>
      </c>
      <c r="O535" s="69" t="n">
        <v>8</v>
      </c>
      <c r="P535" s="69" t="inlineStr">
        <is>
          <t>Exclude</t>
        </is>
      </c>
      <c r="Q535" s="69" t="inlineStr">
        <is>
          <t>E1</t>
        </is>
      </c>
      <c r="R535" s="69" t="inlineStr">
        <is>
          <t>Seleccion de proveedores farmaceuticos con PCA y clasificadores ("Gradient Boosting emerged as a superior classifier"); el gemelo aparece sólo como el nombre de un factor evaluado ("bio-digital twin compatibility"), C1.</t>
        </is>
      </c>
      <c r="S535" s="69" t="n"/>
    </row>
    <row r="536" ht="23.25" customHeight="1" s="17">
      <c r="A536" s="26" t="inlineStr">
        <is>
          <t>R0535</t>
        </is>
      </c>
      <c r="B536" s="26" t="inlineStr">
        <is>
          <t>Scopus</t>
        </is>
      </c>
      <c r="C536" s="26" t="inlineStr">
        <is>
          <t>Jennifer Delighta E.; Samuel G.L.; Varughese S.</t>
        </is>
      </c>
      <c r="D536" s="26" t="n">
        <v>2026</v>
      </c>
      <c r="E536" s="27" t="inlineStr">
        <is>
          <t>Machine Learning Algorithm-Based Optimization in Kidney Disease Detection</t>
        </is>
      </c>
      <c r="F536" s="26" t="inlineStr">
        <is>
          <t>Lecture Notes in Mechanical Engineering</t>
        </is>
      </c>
      <c r="G536" s="26" t="inlineStr">
        <is>
          <t>Conference paper</t>
        </is>
      </c>
      <c r="H536" s="26" t="inlineStr">
        <is>
          <t>10.1007/978-981-95-1723-7_23</t>
        </is>
      </c>
      <c r="I536" s="26" t="inlineStr">
        <is>
          <t>TA</t>
        </is>
      </c>
      <c r="J536" s="37" t="inlineStr">
        <is>
          <t>Exclude</t>
        </is>
      </c>
      <c r="K536" s="37" t="inlineStr">
        <is>
          <t>No digital twin/model</t>
        </is>
      </c>
      <c r="L536" s="32" t="inlineStr">
        <is>
          <t>Check: healthcare context, supply chain scope unclear</t>
        </is>
      </c>
      <c r="M536" s="37" t="inlineStr">
        <is>
          <t>Modelos de ML para deteccion de enfermedad renal; el gemelo sólo como contribucion futura ("These machine learning models can contribute positively to the development of digital twin technology in healthcare domain"), C1; también E2.</t>
        </is>
      </c>
      <c r="N536" s="69" t="inlineStr">
        <is>
          <t>E1</t>
        </is>
      </c>
      <c r="O536" s="69" t="n">
        <v>8</v>
      </c>
      <c r="P536" s="69" t="inlineStr">
        <is>
          <t>Exclude</t>
        </is>
      </c>
      <c r="Q536" s="69" t="inlineStr">
        <is>
          <t>E1</t>
        </is>
      </c>
      <c r="R536" s="69" t="inlineStr">
        <is>
          <t>Modelos de ML para deteccion de enfermedad renal; el gemelo sólo como contribucion futura ("These machine learning models can contribute positively to the development of digital twin technology in healthcare domain"), C1; también E2.</t>
        </is>
      </c>
      <c r="S536" s="69" t="n"/>
    </row>
    <row r="537" ht="34.5" customHeight="1" s="17">
      <c r="A537" s="26" t="inlineStr">
        <is>
          <t>R0536</t>
        </is>
      </c>
      <c r="B537" s="26" t="inlineStr">
        <is>
          <t>Scopus + WoS</t>
        </is>
      </c>
      <c r="C537" s="26" t="inlineStr">
        <is>
          <t>Suriyaamporn P.; Pamornpathomkul B.; Ngawhirunpat T.; Akkaramongkolporn P.; Opanasopit P.</t>
        </is>
      </c>
      <c r="D537" s="26" t="n">
        <v>2026</v>
      </c>
      <c r="E537" s="27" t="inlineStr">
        <is>
          <t>The Future trends of Artificial Intelligence and innovative technologies in the new era of pharmaceutical sciences and Industry 4.0</t>
        </is>
      </c>
      <c r="F537" s="26" t="inlineStr">
        <is>
          <t>Drug Development and Industrial Pharmacy</t>
        </is>
      </c>
      <c r="G537" s="26" t="inlineStr">
        <is>
          <t>Review</t>
        </is>
      </c>
      <c r="H537" s="26" t="inlineStr">
        <is>
          <t>10.1080/03639045.2025.2590707</t>
        </is>
      </c>
      <c r="I537" s="26" t="inlineStr">
        <is>
          <t>TA</t>
        </is>
      </c>
      <c r="J537" s="37" t="inlineStr">
        <is>
          <t>Exclude</t>
        </is>
      </c>
      <c r="K537" s="37" t="inlineStr">
        <is>
          <t>Wrong publication type</t>
        </is>
      </c>
      <c r="L537" s="32" t="inlineStr">
        <is>
          <t>Check: healthcare context, supply chain scope unclear</t>
        </is>
      </c>
      <c r="M537" s="37" t="inlineStr">
        <is>
          <t>Revision (Doc type Review): "This review article outlines the transformative impact of Artificial Intelligence (AI) in the pharmaceutical sciences"; gemelos entre las tecnologias de Industria 4.0. Valor para snowballing: bajo.</t>
        </is>
      </c>
      <c r="N537" s="69" t="inlineStr">
        <is>
          <t>E4</t>
        </is>
      </c>
      <c r="O537" s="69" t="n">
        <v>8</v>
      </c>
      <c r="P537" s="69" t="inlineStr">
        <is>
          <t>Exclude</t>
        </is>
      </c>
      <c r="Q537" s="69" t="inlineStr">
        <is>
          <t>E4</t>
        </is>
      </c>
      <c r="R537" s="69" t="inlineStr">
        <is>
          <t>Revision (Doc type Review): "This review article outlines the transformative impact of Artificial Intelligence (AI) in the pharmaceutical sciences"; gemelos entre las tecnologias de Industria 4.0. Valor para snowballing: bajo.</t>
        </is>
      </c>
      <c r="S537" s="69" t="n"/>
    </row>
    <row r="538" ht="34.5" customHeight="1" s="17">
      <c r="A538" s="26" t="inlineStr">
        <is>
          <t>R0537</t>
        </is>
      </c>
      <c r="B538" s="26" t="inlineStr">
        <is>
          <t>Scopus + WoS</t>
        </is>
      </c>
      <c r="C538" s="26" t="inlineStr">
        <is>
          <t>Korchenko O.; Korchenko A.; Prokopovych-Tkachenko D.; Karpinski M.; Kazmirchuk S.</t>
        </is>
      </c>
      <c r="D538" s="26" t="n">
        <v>2026</v>
      </c>
      <c r="E538" s="27" t="inlineStr">
        <is>
          <t>Multi-Layered Open Data, Differential Privacy, and Secure Engineering: The Operational Framework for Environmental Digital Twins</t>
        </is>
      </c>
      <c r="F538" s="26" t="inlineStr">
        <is>
          <t>Sustainability (Switzerland)</t>
        </is>
      </c>
      <c r="G538" s="26" t="inlineStr">
        <is>
          <t>Article</t>
        </is>
      </c>
      <c r="H538" s="26" t="inlineStr">
        <is>
          <t>10.3390/su18041912</t>
        </is>
      </c>
      <c r="I538" s="26" t="inlineStr">
        <is>
          <t>TA</t>
        </is>
      </c>
      <c r="J538" s="37" t="inlineStr">
        <is>
          <t>Exclude</t>
        </is>
      </c>
      <c r="K538" s="37" t="inlineStr">
        <is>
          <t>No supply chain scope</t>
        </is>
      </c>
      <c r="L538" s="32" t="inlineStr">
        <is>
          <t>Check: AI terms only in keywords, verify substantive AI component</t>
        </is>
      </c>
      <c r="M538" s="37" t="inlineStr">
        <is>
          <t>Marco regulatorio y tecnico (GDPR, NIS2) para gemelos ambientales de ciudad con deteccion neuronal de anomalias; la cadena sólo como efecto de politica ("The effects of the policy emphasize shared services for small municipalities, supply chain security"), sin encuadre de operaciones del estudio.</t>
        </is>
      </c>
      <c r="N538" s="69" t="inlineStr">
        <is>
          <t>E2</t>
        </is>
      </c>
      <c r="O538" s="69" t="n">
        <v>8</v>
      </c>
      <c r="P538" s="69" t="inlineStr">
        <is>
          <t>Exclude</t>
        </is>
      </c>
      <c r="Q538" s="69" t="inlineStr">
        <is>
          <t>E2</t>
        </is>
      </c>
      <c r="R538" s="69" t="inlineStr">
        <is>
          <t>Marco regulatorio y tecnico (GDPR, NIS2) para gemelos ambientales de ciudad con deteccion neuronal de anomalias; la cadena sólo como efecto de politica ("The effects of the policy emphasize shared services for small municipalities, supply chain security"), sin encuadre de operaciones del estudio.</t>
        </is>
      </c>
      <c r="S538" s="69" t="n"/>
    </row>
    <row r="539" ht="23.25" customHeight="1" s="17">
      <c r="A539" s="26" t="inlineStr">
        <is>
          <t>R0538</t>
        </is>
      </c>
      <c r="B539" s="26" t="inlineStr">
        <is>
          <t>Scopus</t>
        </is>
      </c>
      <c r="C539" s="26" t="inlineStr">
        <is>
          <t>Rajesh G.; Raajini X.M.; Niyathi S.B.; Sudhakaran N.; Andrew D.E.; Sudharsan T.</t>
        </is>
      </c>
      <c r="D539" s="26" t="n">
        <v>2026</v>
      </c>
      <c r="E539" s="27" t="inlineStr">
        <is>
          <t>Secured Surveillance Through Digital Twins and DDoS Attack Detection in 5G/6G-Oriented FANET</t>
        </is>
      </c>
      <c r="F539" s="26" t="inlineStr">
        <is>
          <t>Proceedings of 3rd International Conference on Machine Learning and Autonomous Systems, ICMLAS 2026</t>
        </is>
      </c>
      <c r="G539" s="26" t="inlineStr">
        <is>
          <t>Conference paper</t>
        </is>
      </c>
      <c r="H539" s="26" t="inlineStr">
        <is>
          <t>10.1109/icmlas67792.2026.11483941</t>
        </is>
      </c>
      <c r="I539" s="26" t="inlineStr">
        <is>
          <t>TA</t>
        </is>
      </c>
      <c r="J539" s="37" t="inlineStr">
        <is>
          <t>Exclude</t>
        </is>
      </c>
      <c r="K539" s="37" t="inlineStr">
        <is>
          <t>No supply chain scope</t>
        </is>
      </c>
      <c r="L539" s="32" t="inlineStr">
        <is>
          <t>Check: AI terms only in keywords, verify substantive AI component</t>
        </is>
      </c>
      <c r="M539" s="37" t="inlineStr">
        <is>
          <t>Deteccion de DDoS en redes de drones con gemelo y regresion logistica federada ("A Digital Twin (DT)-enabled DDoS detection framework"); ambito de redes 5G/6G, sin cadena ni logistica.</t>
        </is>
      </c>
      <c r="N539" s="69" t="inlineStr">
        <is>
          <t>E2</t>
        </is>
      </c>
      <c r="O539" s="69" t="n">
        <v>8</v>
      </c>
      <c r="P539" s="69" t="inlineStr">
        <is>
          <t>Exclude</t>
        </is>
      </c>
      <c r="Q539" s="69" t="inlineStr">
        <is>
          <t>E2</t>
        </is>
      </c>
      <c r="R539" s="69" t="inlineStr">
        <is>
          <t>Deteccion de DDoS en redes de drones con gemelo y regresion logistica federada ("A Digital Twin (DT)-enabled DDoS detection framework"); ambito de redes 5G/6G, sin cadena ni logistica.</t>
        </is>
      </c>
      <c r="S539" s="69" t="n"/>
    </row>
    <row r="540" ht="23.25" customHeight="1" s="17">
      <c r="A540" s="26" t="inlineStr">
        <is>
          <t>R0539</t>
        </is>
      </c>
      <c r="B540" s="26" t="inlineStr">
        <is>
          <t>Scopus</t>
        </is>
      </c>
      <c r="C540" s="26" t="inlineStr">
        <is>
          <t>Eletter S.F.; Houhamdi Z.; Elrefae G.A.; Bany Salameh H.; Qasim A.</t>
        </is>
      </c>
      <c r="D540" s="26" t="n">
        <v>2026</v>
      </c>
      <c r="E540" s="27" t="inlineStr">
        <is>
          <t>A three-tier distributed digital twin framework for supply chain management education in industry 5.0</t>
        </is>
      </c>
      <c r="F540" s="26" t="inlineStr">
        <is>
          <t>Cluster Computing</t>
        </is>
      </c>
      <c r="G540" s="26" t="inlineStr">
        <is>
          <t>Article</t>
        </is>
      </c>
      <c r="H540" s="26" t="inlineStr">
        <is>
          <t>10.1007/s10586-026-06244-0</t>
        </is>
      </c>
      <c r="I540" s="26" t="inlineStr">
        <is>
          <t>TA</t>
        </is>
      </c>
      <c r="J540" s="37" t="inlineStr">
        <is>
          <t>Exclude</t>
        </is>
      </c>
      <c r="K540" s="37" t="inlineStr">
        <is>
          <t>No supply chain scope</t>
        </is>
      </c>
      <c r="L540" s="32" t="inlineStr">
        <is>
          <t>Check: AI terms only in keywords, verify substantive AI component</t>
        </is>
      </c>
      <c r="M540" s="37" t="inlineStr">
        <is>
          <t>Arquitectura distribuida de tres capas para gemelos en "supply chain management education in industry 5.0" ("a scalable learning environment for SCM simulations"); el ambito es la formacion en el aula, no las operaciones (precedente R0281); también E3.</t>
        </is>
      </c>
      <c r="N540" s="69" t="inlineStr">
        <is>
          <t>E2</t>
        </is>
      </c>
      <c r="O540" s="69" t="n">
        <v>8</v>
      </c>
      <c r="P540" s="69" t="inlineStr">
        <is>
          <t>Exclude</t>
        </is>
      </c>
      <c r="Q540" s="69" t="inlineStr">
        <is>
          <t>E2</t>
        </is>
      </c>
      <c r="R540" s="69" t="inlineStr">
        <is>
          <t>Arquitectura distribuida de tres capas para gemelos en "supply chain management education in industry 5.0" ("a scalable learning environment for SCM simulations"); el ambito es la formacion en el aula, no las operaciones (precedente R0281); también E3.</t>
        </is>
      </c>
      <c r="S540" s="69" t="n"/>
    </row>
    <row r="541" ht="23.25" customHeight="1" s="17">
      <c r="A541" s="26" t="inlineStr">
        <is>
          <t>R0540</t>
        </is>
      </c>
      <c r="B541" s="26" t="inlineStr">
        <is>
          <t>Scopus</t>
        </is>
      </c>
      <c r="C541" s="26" t="inlineStr">
        <is>
          <t>Yooyativong A.; Sittiwong T.; Laohapensaeng T.; Yooyativong T.</t>
        </is>
      </c>
      <c r="D541" s="26" t="n">
        <v>2026</v>
      </c>
      <c r="E541" s="27" t="inlineStr">
        <is>
          <t>Development of a Smart Warehouse Logistics Virtual Reality (VR) Simulator for Experiential Learning in Logistics Education</t>
        </is>
      </c>
      <c r="F541" s="26" t="inlineStr">
        <is>
          <t>11th International Conference on Digital Arts, Media and Technology and 9th ECTI Northern Section Conference on Electrical, Electronics, Computer and Telecommunications Engineering, ECTI DAMT and NCON 2026</t>
        </is>
      </c>
      <c r="G541" s="26" t="inlineStr">
        <is>
          <t>Conference paper</t>
        </is>
      </c>
      <c r="H541" s="26" t="inlineStr">
        <is>
          <t>10.1109/ectidamtncon67592.2026.11460102</t>
        </is>
      </c>
      <c r="I541" s="26" t="inlineStr">
        <is>
          <t>TA</t>
        </is>
      </c>
      <c r="J541" s="37" t="inlineStr">
        <is>
          <t>Exclude</t>
        </is>
      </c>
      <c r="K541" s="37" t="inlineStr">
        <is>
          <t>No digital twin/model</t>
        </is>
      </c>
      <c r="L541" s="32" t="inlineStr">
        <is>
          <t>Check: AI terms only in keywords, verify substantive AI component</t>
        </is>
      </c>
      <c r="M541" s="37" t="inlineStr">
        <is>
          <t>Simulador de realidad virtual para formacion en almacen; el gemelo sólo como conexion futura ("allows for expansion and future connection to Industry 4.0 systems and digital twin platforms"), C1; también E2 (formacion).</t>
        </is>
      </c>
      <c r="N541" s="69" t="inlineStr">
        <is>
          <t>E1</t>
        </is>
      </c>
      <c r="O541" s="69" t="n">
        <v>8</v>
      </c>
      <c r="P541" s="69" t="inlineStr">
        <is>
          <t>Exclude</t>
        </is>
      </c>
      <c r="Q541" s="69" t="inlineStr">
        <is>
          <t>E1</t>
        </is>
      </c>
      <c r="R541" s="69" t="inlineStr">
        <is>
          <t>Simulador de realidad virtual para formacion en almacen; el gemelo sólo como conexion futura ("allows for expansion and future connection to Industry 4.0 systems and digital twin platforms"), C1; también E2 (formacion).</t>
        </is>
      </c>
      <c r="S541" s="69" t="n"/>
    </row>
    <row r="542" ht="34.5" customHeight="1" s="17">
      <c r="A542" s="26" t="inlineStr">
        <is>
          <t>R0541</t>
        </is>
      </c>
      <c r="B542" s="26" t="inlineStr">
        <is>
          <t>Scopus</t>
        </is>
      </c>
      <c r="C542" s="26" t="inlineStr">
        <is>
          <t>Septiers V.; Sosa-Marrero C.; Poeta E.; Chourak H.; Briens A.; De Crevoisier R.; Zuluaga M.A.; Acosta O.</t>
        </is>
      </c>
      <c r="D542" s="26" t="n">
        <v>2026</v>
      </c>
      <c r="E542" s="27" t="inlineStr">
        <is>
          <t>Explainable Prediction of Recurrence After Prostate Cancer Radiotherapy Using in Silico digital twin model and machine learning</t>
        </is>
      </c>
      <c r="F542" s="26" t="inlineStr">
        <is>
          <t>Lecture Notes in Computer Science</t>
        </is>
      </c>
      <c r="G542" s="26" t="inlineStr">
        <is>
          <t>Conference paper</t>
        </is>
      </c>
      <c r="H542" s="26" t="inlineStr">
        <is>
          <t>10.1007/978-3-032-07694-6_15</t>
        </is>
      </c>
      <c r="I542" s="26" t="inlineStr">
        <is>
          <t>TA</t>
        </is>
      </c>
      <c r="J542" s="37" t="inlineStr">
        <is>
          <t>Exclude</t>
        </is>
      </c>
      <c r="K542" s="37" t="inlineStr">
        <is>
          <t>No supply chain scope</t>
        </is>
      </c>
      <c r="L542" s="32" t="inlineStr">
        <is>
          <t>Check: healthcare context, supply chain scope unclear</t>
        </is>
      </c>
      <c r="M542" s="37" t="inlineStr">
        <is>
          <t>Regresion logistica con rasgos derivados de un "in silico digital twin model to simulate tumour growth and response to radiation"; ambito clinico y biologico, fuera del alcance de operaciones (precedente R0216).</t>
        </is>
      </c>
      <c r="N542" s="69" t="inlineStr">
        <is>
          <t>E2</t>
        </is>
      </c>
      <c r="O542" s="69" t="n">
        <v>8</v>
      </c>
      <c r="P542" s="69" t="inlineStr">
        <is>
          <t>Exclude</t>
        </is>
      </c>
      <c r="Q542" s="69" t="inlineStr">
        <is>
          <t>E2</t>
        </is>
      </c>
      <c r="R542" s="69" t="inlineStr">
        <is>
          <t>Regresion logistica con rasgos derivados de un "in silico digital twin model to simulate tumour growth and response to radiation"; ambito clinico y biologico, fuera del alcance de operaciones (precedente R0216).</t>
        </is>
      </c>
      <c r="S542" s="69" t="n"/>
    </row>
    <row r="543" ht="23.25" customHeight="1" s="17">
      <c r="A543" s="26" t="inlineStr">
        <is>
          <t>R0542</t>
        </is>
      </c>
      <c r="B543" s="26" t="inlineStr">
        <is>
          <t>Scopus</t>
        </is>
      </c>
      <c r="C543" s="26" t="inlineStr">
        <is>
          <t>Li K.; Shi A.</t>
        </is>
      </c>
      <c r="D543" s="26" t="n">
        <v>2026</v>
      </c>
      <c r="E543" s="27" t="inlineStr">
        <is>
          <t>Digital twin-assisted modular fast switching technology of assembly line</t>
        </is>
      </c>
      <c r="F543" s="26" t="inlineStr">
        <is>
          <t>Engineering Research Express</t>
        </is>
      </c>
      <c r="G543" s="26" t="inlineStr">
        <is>
          <t>Article</t>
        </is>
      </c>
      <c r="H543" s="26" t="inlineStr">
        <is>
          <t>10.1088/2631-8695/ae3ed3</t>
        </is>
      </c>
      <c r="I543" s="26" t="inlineStr">
        <is>
          <t>TA</t>
        </is>
      </c>
      <c r="J543" s="37" t="inlineStr">
        <is>
          <t>Exclude</t>
        </is>
      </c>
      <c r="K543" s="37" t="inlineStr">
        <is>
          <t>No supply chain scope</t>
        </is>
      </c>
      <c r="L543" s="32" t="inlineStr">
        <is>
          <t>Check: AI terms only in keywords, verify substantive AI component</t>
        </is>
      </c>
      <c r="M543" s="37" t="inlineStr">
        <is>
          <t>Fusion de ontologias con aprendizaje por ensamblado (RF, SVM, GBDT y regresion logistica) para el "digital twin-driven modular rapid switching of assembly line"; linea de montaje sin encuadre de cadena ni de logistica intra-planta (regla Make, C5).</t>
        </is>
      </c>
      <c r="N543" s="69" t="inlineStr">
        <is>
          <t>E2</t>
        </is>
      </c>
      <c r="O543" s="69" t="n">
        <v>8</v>
      </c>
      <c r="P543" s="69" t="inlineStr">
        <is>
          <t>Exclude</t>
        </is>
      </c>
      <c r="Q543" s="69" t="inlineStr">
        <is>
          <t>E2</t>
        </is>
      </c>
      <c r="R543" s="69" t="inlineStr">
        <is>
          <t>Fusion de ontologias con aprendizaje por ensamblado (RF, SVM, GBDT y regresion logistica) para el "digital twin-driven modular rapid switching of assembly line"; linea de montaje sin encuadre de cadena ni de logistica intra-planta (regla Make, C5).</t>
        </is>
      </c>
      <c r="S543" s="69" t="n"/>
    </row>
    <row r="544" ht="34.5" customHeight="1" s="17">
      <c r="A544" s="26" t="inlineStr">
        <is>
          <t>R0543</t>
        </is>
      </c>
      <c r="B544" s="26" t="inlineStr">
        <is>
          <t>Scopus</t>
        </is>
      </c>
      <c r="C544" s="26" t="inlineStr">
        <is>
          <t>Tariq M.H.; Zaveri A.A.</t>
        </is>
      </c>
      <c r="D544" s="26" t="n">
        <v>2026</v>
      </c>
      <c r="E544" s="27" t="inlineStr">
        <is>
          <t>Digital Optimisation of UK Chemical Supply Chains: A Mixed-Methods Evaluation of Operational Efficiency, Safety Risk, and Carbon Emissions Reduction</t>
        </is>
      </c>
      <c r="F544" s="26" t="inlineStr">
        <is>
          <t>2026 1st International Conference on Emerging Technologies and Engineering Systems, ICETES 2026 - Proceeding</t>
        </is>
      </c>
      <c r="G544" s="26" t="inlineStr">
        <is>
          <t>Conference paper</t>
        </is>
      </c>
      <c r="H544" s="26" t="inlineStr">
        <is>
          <t>10.1109/icetes68504.2026.11518600</t>
        </is>
      </c>
      <c r="I544" s="26" t="inlineStr">
        <is>
          <t>TA</t>
        </is>
      </c>
      <c r="J544" s="37" t="inlineStr">
        <is>
          <t>Exclude</t>
        </is>
      </c>
      <c r="K544" s="37" t="inlineStr">
        <is>
          <t>No digital twin/model</t>
        </is>
      </c>
      <c r="L544" s="32" t="inlineStr">
        <is>
          <t>Check: AI terms only in keywords, verify substantive AI component</t>
        </is>
      </c>
      <c r="M544" s="37" t="inlineStr">
        <is>
          <t>Estudio de madurez digital con 50 entrevistas y ecuaciones estructurales ("Structural Equation Modelling (SEM), which evaluated the effects of digital technologies on operational efficiency"); gemelo e IA como constructos, sin sistema aplicado (regla C4), C1.</t>
        </is>
      </c>
      <c r="N544" s="69" t="inlineStr">
        <is>
          <t>E1</t>
        </is>
      </c>
      <c r="O544" s="69" t="n">
        <v>8</v>
      </c>
      <c r="P544" s="69" t="inlineStr">
        <is>
          <t>Exclude</t>
        </is>
      </c>
      <c r="Q544" s="69" t="inlineStr">
        <is>
          <t>E1</t>
        </is>
      </c>
      <c r="R544" s="69" t="inlineStr">
        <is>
          <t>Estudio de madurez digital con 50 entrevistas y ecuaciones estructurales ("Structural Equation Modelling (SEM), which evaluated the effects of digital technologies on operational efficiency"); gemelo e IA como constructos, sin sistema aplicado (regla C4), C1.</t>
        </is>
      </c>
      <c r="S544" s="69" t="n"/>
    </row>
    <row r="545" ht="23.25" customHeight="1" s="17">
      <c r="A545" s="26" t="inlineStr">
        <is>
          <t>R0544</t>
        </is>
      </c>
      <c r="B545" s="26" t="inlineStr">
        <is>
          <t>WoS</t>
        </is>
      </c>
      <c r="C545" s="26" t="inlineStr">
        <is>
          <t>Pandey, VK; Shaikh, AM</t>
        </is>
      </c>
      <c r="D545" s="26" t="n">
        <v>2026</v>
      </c>
      <c r="E545" s="27" t="inlineStr">
        <is>
          <t>Innovations in digital twin technology for real-time food traceability and post-harvest optimization for sustainable development</t>
        </is>
      </c>
      <c r="F545" s="26" t="inlineStr">
        <is>
          <t>FOOD CONTROL</t>
        </is>
      </c>
      <c r="G545" s="26" t="inlineStr">
        <is>
          <t>Article</t>
        </is>
      </c>
      <c r="H545" s="26" t="inlineStr">
        <is>
          <t>10.1016/j.foodcont.2026.112388</t>
        </is>
      </c>
      <c r="I545" s="26" t="inlineStr">
        <is>
          <t>TA</t>
        </is>
      </c>
      <c r="J545" s="37" t="inlineStr">
        <is>
          <t>Exclude</t>
        </is>
      </c>
      <c r="K545" s="37" t="inlineStr">
        <is>
          <t>Wrong publication type</t>
        </is>
      </c>
      <c r="L545" s="32" t="inlineStr">
        <is>
          <t>Check: AI terms only in keywords, verify substantive AI component</t>
        </is>
      </c>
      <c r="M545" s="37" t="inlineStr">
        <is>
          <t>Revision declarada: "The aim of this review is to critically evaluate the role of Digital Twin technology in enabling real-time food traceability and post-harvest optimization across agri-food supply chains", con "the fusion of AI, IoT and blockchain". Valor para snowballing: alto.</t>
        </is>
      </c>
      <c r="N545" s="69" t="inlineStr">
        <is>
          <t>E4</t>
        </is>
      </c>
      <c r="O545" s="69" t="n">
        <v>8</v>
      </c>
      <c r="P545" s="69" t="inlineStr">
        <is>
          <t>Exclude</t>
        </is>
      </c>
      <c r="Q545" s="69" t="inlineStr">
        <is>
          <t>E4</t>
        </is>
      </c>
      <c r="R545" s="69" t="inlineStr">
        <is>
          <t>Revision declarada: "The aim of this review is to critically evaluate the role of Digital Twin technology in enabling real-time food traceability and post-harvest optimization across agri-food supply chains", con "the fusion of AI, IoT and blockchain". Valor para snowballing: alto.</t>
        </is>
      </c>
      <c r="S545" s="69" t="n"/>
    </row>
    <row r="546" ht="23.25" customHeight="1" s="17">
      <c r="A546" s="26" t="inlineStr">
        <is>
          <t>R0545</t>
        </is>
      </c>
      <c r="B546" s="26" t="inlineStr">
        <is>
          <t>WoS</t>
        </is>
      </c>
      <c r="C546" s="26" t="inlineStr">
        <is>
          <t>Su, SM; Yu, CL; Jiang, YS; Zhong, RY</t>
        </is>
      </c>
      <c r="D546" s="26" t="n">
        <v>2026</v>
      </c>
      <c r="E546" s="27" t="inlineStr">
        <is>
          <t>Digital Twin-Enabled Building Demolition Waste Trading: A Demonstrative Case</t>
        </is>
      </c>
      <c r="F546" s="26" t="inlineStr">
        <is>
          <t>IEEE TRANSACTIONS ON AUTOMATION SCIENCE AND ENGINEERING</t>
        </is>
      </c>
      <c r="G546" s="26" t="inlineStr">
        <is>
          <t>Article</t>
        </is>
      </c>
      <c r="H546" s="26" t="inlineStr">
        <is>
          <t>10.1109/tase.2025.3553883</t>
        </is>
      </c>
      <c r="I546" s="26" t="inlineStr">
        <is>
          <t>TA</t>
        </is>
      </c>
      <c r="J546" s="37" t="inlineStr">
        <is>
          <t>Exclude</t>
        </is>
      </c>
      <c r="K546" s="37" t="inlineStr">
        <is>
          <t>No AI/ML component</t>
        </is>
      </c>
      <c r="L546" s="32" t="inlineStr">
        <is>
          <t>Check: AI terms only in keywords, verify substantive AI component</t>
        </is>
      </c>
      <c r="M546" s="37" t="inlineStr">
        <is>
          <t>Plataforma de comercio de residuos de demolicion habilitada por gemelo, con plataforma para "logistics providers"; las tecnologias aplicadas son "robotics, big data, IoT, and 3D printing" y la IA aparece sólo en la lista de palabras clave, sin metodo (C1).</t>
        </is>
      </c>
      <c r="N546" s="69" t="inlineStr">
        <is>
          <t>E3</t>
        </is>
      </c>
      <c r="O546" s="69" t="n">
        <v>8</v>
      </c>
      <c r="P546" s="69" t="inlineStr">
        <is>
          <t>Exclude</t>
        </is>
      </c>
      <c r="Q546" s="69" t="inlineStr">
        <is>
          <t>E3</t>
        </is>
      </c>
      <c r="R546" s="69" t="inlineStr">
        <is>
          <t>Plataforma de comercio de residuos de demolicion habilitada por gemelo, con plataforma para "logistics providers"; las tecnologias aplicadas son "robotics, big data, IoT, and 3D printing" y la IA aparece sólo en la lista de palabras clave, sin metodo (C1).</t>
        </is>
      </c>
      <c r="S546" s="69" t="n"/>
    </row>
    <row r="547" ht="23.25" customHeight="1" s="17">
      <c r="A547" s="26" t="inlineStr">
        <is>
          <t>R0546</t>
        </is>
      </c>
      <c r="B547" s="26" t="inlineStr">
        <is>
          <t>WoS</t>
        </is>
      </c>
      <c r="C547" s="26" t="inlineStr">
        <is>
          <t>Paris, MJ; Jiménez-González, O; González-Pérez, JE; Ramírez-Corona, N</t>
        </is>
      </c>
      <c r="D547" s="26" t="n">
        <v>2026</v>
      </c>
      <c r="E547" s="27" t="inlineStr">
        <is>
          <t>Exploring the potential of digital twins in the food industry and their role in developing food formulations</t>
        </is>
      </c>
      <c r="F547" s="26" t="inlineStr">
        <is>
          <t>CHEMICAL ENGINEERING AND PROCESSING-PROCESS INTENSIFICATION</t>
        </is>
      </c>
      <c r="G547" s="26" t="inlineStr">
        <is>
          <t>Article</t>
        </is>
      </c>
      <c r="H547" s="26" t="inlineStr">
        <is>
          <t>10.1016/j.cep.2025.110583</t>
        </is>
      </c>
      <c r="I547" s="26" t="inlineStr">
        <is>
          <t>TA</t>
        </is>
      </c>
      <c r="J547" s="37" t="inlineStr">
        <is>
          <t>Exclude</t>
        </is>
      </c>
      <c r="K547" s="37" t="inlineStr">
        <is>
          <t>Wrong publication type</t>
        </is>
      </c>
      <c r="L547" s="32" t="inlineStr">
        <is>
          <t>Check: AI terms only in keywords, verify substantive AI component</t>
        </is>
      </c>
      <c r="M547" s="37" t="inlineStr">
        <is>
          <t>Revision de gemelos en la industria alimentaria ("This review provides a comprehensive analysis of the current status, benefits, limitations, and prospects of DT applications in the food industry"); la cadena sólo como beneficio listado. Valor para snowballing: bajo.</t>
        </is>
      </c>
      <c r="N547" s="69" t="inlineStr">
        <is>
          <t>E4</t>
        </is>
      </c>
      <c r="O547" s="69" t="n">
        <v>8</v>
      </c>
      <c r="P547" s="69" t="inlineStr">
        <is>
          <t>Exclude</t>
        </is>
      </c>
      <c r="Q547" s="69" t="inlineStr">
        <is>
          <t>E4</t>
        </is>
      </c>
      <c r="R547" s="69" t="inlineStr">
        <is>
          <t>Revision de gemelos en la industria alimentaria ("This review provides a comprehensive analysis of the current status, benefits, limitations, and prospects of DT applications in the food industry"); la cadena sólo como beneficio listado. Valor para snowballing: bajo.</t>
        </is>
      </c>
      <c r="S547" s="69" t="n"/>
    </row>
    <row r="548" ht="23.25" customHeight="1" s="17">
      <c r="A548" s="26" t="inlineStr">
        <is>
          <t>R0547</t>
        </is>
      </c>
      <c r="B548" s="26" t="inlineStr">
        <is>
          <t>WoS</t>
        </is>
      </c>
      <c r="C548" s="26" t="inlineStr">
        <is>
          <t>Ebrahim, NAA; Farghaly, TA; Masaret, GS; Alsaedi, AMR; Soliman, SMA</t>
        </is>
      </c>
      <c r="D548" s="26" t="n">
        <v>2026</v>
      </c>
      <c r="E548" s="27" t="inlineStr">
        <is>
          <t>From laboratory to clinic: Bridging regulatory and manufacturing gaps in stem cell-based therapies</t>
        </is>
      </c>
      <c r="F548" s="26" t="inlineStr">
        <is>
          <t>WORLD JOURNAL OF STEM CELLS</t>
        </is>
      </c>
      <c r="G548" s="26" t="inlineStr">
        <is>
          <t>Review</t>
        </is>
      </c>
      <c r="H548" s="26" t="inlineStr">
        <is>
          <t>10.4252/wjsc.v18.i5.117591</t>
        </is>
      </c>
      <c r="I548" s="26" t="inlineStr">
        <is>
          <t>TA</t>
        </is>
      </c>
      <c r="J548" s="37" t="inlineStr">
        <is>
          <t>Exclude</t>
        </is>
      </c>
      <c r="K548" s="37" t="inlineStr">
        <is>
          <t>Wrong publication type</t>
        </is>
      </c>
      <c r="L548" s="32" t="inlineStr">
        <is>
          <t>Check: healthcare context, supply chain scope unclear</t>
        </is>
      </c>
      <c r="M548" s="37" t="inlineStr">
        <is>
          <t>Revision (Doc type Review) sobre productos de terapia avanzada: "This review examines these challenges using a structured framework"; gemelo sólo como tendencia futura junto a "supply chain logistics". Valor para snowballing: bajo.</t>
        </is>
      </c>
      <c r="N548" s="69" t="inlineStr">
        <is>
          <t>E4</t>
        </is>
      </c>
      <c r="O548" s="69" t="n">
        <v>8</v>
      </c>
      <c r="P548" s="69" t="inlineStr">
        <is>
          <t>Exclude</t>
        </is>
      </c>
      <c r="Q548" s="69" t="inlineStr">
        <is>
          <t>E4</t>
        </is>
      </c>
      <c r="R548" s="69" t="inlineStr">
        <is>
          <t>Revision (Doc type Review) sobre productos de terapia avanzada: "This review examines these challenges using a structured framework"; gemelo sólo como tendencia futura junto a "supply chain logistics". Valor para snowballing: bajo.</t>
        </is>
      </c>
      <c r="S548" s="69" t="n"/>
    </row>
    <row r="549" ht="23.25" customHeight="1" s="17">
      <c r="A549" s="26" t="inlineStr">
        <is>
          <t>R0548</t>
        </is>
      </c>
      <c r="B549" s="26" t="inlineStr">
        <is>
          <t>WoS</t>
        </is>
      </c>
      <c r="C549" s="26" t="inlineStr">
        <is>
          <t>Sánchez-Banderas, RM; Cirio, G; Knowles, C; Rodríguez, A</t>
        </is>
      </c>
      <c r="D549" s="26" t="n">
        <v>2026</v>
      </c>
      <c r="E549" s="27" t="inlineStr">
        <is>
          <t>Evaluating the Accuracy of Fabric Mechanical Digitization Methods</t>
        </is>
      </c>
      <c r="F549" s="26" t="inlineStr">
        <is>
          <t>IEEE TRANSACTIONS ON VISUALIZATION AND COMPUTER GRAPHICS</t>
        </is>
      </c>
      <c r="G549" s="26" t="inlineStr">
        <is>
          <t>Article</t>
        </is>
      </c>
      <c r="H549" s="26" t="inlineStr">
        <is>
          <t>10.1109/tvcg.2026.3665029</t>
        </is>
      </c>
      <c r="I549" s="26" t="inlineStr">
        <is>
          <t>TA</t>
        </is>
      </c>
      <c r="J549" s="37" t="inlineStr">
        <is>
          <t>Exclude</t>
        </is>
      </c>
      <c r="K549" s="37" t="inlineStr">
        <is>
          <t>No digital twin/model</t>
        </is>
      </c>
      <c r="L549" s="32" t="inlineStr">
        <is>
          <t>Check: AI terms only in keywords, verify substantive AI component</t>
        </is>
      </c>
      <c r="M549" s="37" t="inlineStr">
        <is>
          <t>Recodificado 2026-09-06 en la auditoría final (E2→E1): Gemelos de prenda para diseño virtual (C6, modelos de diseño): "digital twins, which allow designers to test and refine garment designs virtually"; el estudio evalúa métodos de digitalización de tejidos; la logística sólo como ventaja mencionada ("potential advantages in terms of cost and logistics"). | Nota original (E2): Evaluacion de la exactitud de metodos de digitalizacion de tejidos, con gemelos de prenda para diseño virtual ("Central to this transformation are digital twins, which allow designers to test and refine garment designs virtually"); la logistica sólo como ventaja de paso ("advantages in terms of cost and logistics").</t>
        </is>
      </c>
      <c r="N549" s="69" t="inlineStr">
        <is>
          <t>E1</t>
        </is>
      </c>
      <c r="O549" s="69" t="n">
        <v>8</v>
      </c>
      <c r="P549" s="69" t="inlineStr">
        <is>
          <t>Exclude</t>
        </is>
      </c>
      <c r="Q549" s="69" t="inlineStr">
        <is>
          <t>E2</t>
        </is>
      </c>
      <c r="R549" s="69" t="inlineStr">
        <is>
          <t>Evaluacion de la exactitud de metodos de digitalizacion de tejidos, con gemelos de prenda para diseño virtual ("Central to this transformation are digital twins, which allow designers to test and refine garment designs virtually"); la logistica sólo como ventaja de paso ("advantages in terms of cost and logistics").</t>
        </is>
      </c>
      <c r="S549" s="69" t="n"/>
    </row>
    <row r="550" ht="23.25" customHeight="1" s="17">
      <c r="A550" s="26" t="inlineStr">
        <is>
          <t>R0549</t>
        </is>
      </c>
      <c r="B550" s="26" t="inlineStr">
        <is>
          <t>WoS</t>
        </is>
      </c>
      <c r="C550" s="26" t="inlineStr">
        <is>
          <t>Dekhici, B; Short, M</t>
        </is>
      </c>
      <c r="D550" s="26" t="n">
        <v>2026</v>
      </c>
      <c r="E550" s="27" t="inlineStr">
        <is>
          <t>Digitalising bioenergy processes: Surveying literature and industrial experience to understand progress, challenges and opportunities</t>
        </is>
      </c>
      <c r="F550" s="26" t="inlineStr">
        <is>
          <t>BIOMASS &amp; BIOENERGY</t>
        </is>
      </c>
      <c r="G550" s="26" t="inlineStr">
        <is>
          <t>Article</t>
        </is>
      </c>
      <c r="H550" s="26" t="inlineStr">
        <is>
          <t>10.1016/j.biombioe.2026.109507</t>
        </is>
      </c>
      <c r="I550" s="26" t="inlineStr">
        <is>
          <t>TA</t>
        </is>
      </c>
      <c r="J550" s="37" t="inlineStr">
        <is>
          <t>Exclude</t>
        </is>
      </c>
      <c r="K550" s="37" t="inlineStr">
        <is>
          <t>Wrong publication type</t>
        </is>
      </c>
      <c r="L550" s="32" t="inlineStr">
        <is>
          <t>Check: AI terms only in keywords, verify substantive AI component</t>
        </is>
      </c>
      <c r="M550" s="37" t="inlineStr">
        <is>
          <t>Revision sistematica mas taller y encuesta ("a systematic review of 231 operationally focused peer-reviewed articles"); gemelos como una de las siete familias de herramientas digitales (15.2%). Valor para snowballing: bajo.</t>
        </is>
      </c>
      <c r="N550" s="69" t="inlineStr">
        <is>
          <t>E4</t>
        </is>
      </c>
      <c r="O550" s="69" t="n">
        <v>8</v>
      </c>
      <c r="P550" s="69" t="inlineStr">
        <is>
          <t>Exclude</t>
        </is>
      </c>
      <c r="Q550" s="69" t="inlineStr">
        <is>
          <t>E4</t>
        </is>
      </c>
      <c r="R550" s="69" t="inlineStr">
        <is>
          <t>Revision sistematica mas taller y encuesta ("a systematic review of 231 operationally focused peer-reviewed articles"); gemelos como una de las siete familias de herramientas digitales (15.2%). Valor para snowballing: bajo.</t>
        </is>
      </c>
      <c r="S550" s="69" t="n"/>
    </row>
    <row r="551" ht="23.25" customHeight="1" s="17">
      <c r="A551" s="26" t="inlineStr">
        <is>
          <t>R0550</t>
        </is>
      </c>
      <c r="B551" s="26" t="inlineStr">
        <is>
          <t>WoS</t>
        </is>
      </c>
      <c r="C551" s="26" t="inlineStr">
        <is>
          <t>Singh, PL</t>
        </is>
      </c>
      <c r="D551" s="26" t="n">
        <v>2026</v>
      </c>
      <c r="E551" s="27" t="inlineStr">
        <is>
          <t>Revolutionizing supply chains: digital innovations and circular economy strategies for sustainable management</t>
        </is>
      </c>
      <c r="F551" s="26" t="inlineStr">
        <is>
          <t>GLOBAL KNOWLEDGE MEMORY AND COMMUNICATION</t>
        </is>
      </c>
      <c r="G551" s="26" t="inlineStr">
        <is>
          <t>Article; Early Access</t>
        </is>
      </c>
      <c r="H551" s="26" t="inlineStr">
        <is>
          <t>10.1108/gkmc-03-2025-0253</t>
        </is>
      </c>
      <c r="I551" s="26" t="inlineStr">
        <is>
          <t>TA</t>
        </is>
      </c>
      <c r="J551" s="37" t="inlineStr">
        <is>
          <t>Exclude</t>
        </is>
      </c>
      <c r="K551" s="37" t="inlineStr">
        <is>
          <t>Wrong publication type</t>
        </is>
      </c>
      <c r="L551" s="32" t="inlineStr">
        <is>
          <t>Check: AI terms only in keywords, verify substantive AI component</t>
        </is>
      </c>
      <c r="M551" s="37" t="inlineStr">
        <is>
          <t>Revision sistematica con Delphi y metodos multicriterio ("implemented to achieve a systematic literature review, followed by Delphi method"); el gemelo aparece como una de las estrategias ("digital twin integration") y la IA sólo en Keywords Plus. Valor para snowballing: bajo.</t>
        </is>
      </c>
      <c r="N551" s="69" t="inlineStr">
        <is>
          <t>E4</t>
        </is>
      </c>
      <c r="O551" s="69" t="n">
        <v>9</v>
      </c>
      <c r="P551" s="69" t="inlineStr">
        <is>
          <t>Exclude</t>
        </is>
      </c>
      <c r="Q551" s="69" t="inlineStr">
        <is>
          <t>E4</t>
        </is>
      </c>
      <c r="R551" s="69" t="inlineStr">
        <is>
          <t>Revision sistematica con Delphi y metodos multicriterio ("implemented to achieve a systematic literature review, followed by Delphi method"); el gemelo aparece como una de las estrategias ("digital twin integration") y la IA sólo en Keywords Plus. Valor para snowballing: bajo.</t>
        </is>
      </c>
      <c r="S551" s="69" t="n"/>
    </row>
    <row r="552" ht="23.25" customHeight="1" s="17">
      <c r="A552" s="26" t="inlineStr">
        <is>
          <t>R0551</t>
        </is>
      </c>
      <c r="B552" s="26" t="inlineStr">
        <is>
          <t>Scopus</t>
        </is>
      </c>
      <c r="C552" s="26" t="inlineStr">
        <is>
          <t>Kawaguchi N.; Asai Y.; Kano K.; Takaki K.; Mori Y.; Suzuki Y.; Watanabe K.; Gushi Y.; Katayama S.; Urano K.; Yonezawa T.; Hashiguchi S.</t>
        </is>
      </c>
      <c r="D552" s="26" t="n">
        <v>2025</v>
      </c>
      <c r="E552" s="27" t="inlineStr">
        <is>
          <t>Digitization Methods for a Logistics Warehouse Towards Digital Twin-Driven Optimization</t>
        </is>
      </c>
      <c r="F552" s="26" t="inlineStr">
        <is>
          <t>Proceedings - 2025 IEEE International Conference on Smart Computing, SMARTCOMP 2025</t>
        </is>
      </c>
      <c r="G552" s="26" t="inlineStr">
        <is>
          <t>Conference paper</t>
        </is>
      </c>
      <c r="H552" s="26" t="inlineStr">
        <is>
          <t>10.1109/smartcomp65954.2025.00035</t>
        </is>
      </c>
      <c r="I552" s="26" t="inlineStr">
        <is>
          <t>TA</t>
        </is>
      </c>
      <c r="J552" s="37" t="inlineStr">
        <is>
          <t>Include</t>
        </is>
      </c>
      <c r="K552" s="37" t="n"/>
      <c r="L552" s="32" t="inlineStr">
        <is>
          <t>Check: AI terms only in keywords, verify substantive AI component</t>
        </is>
      </c>
      <c r="M552" s="37" t="inlineStr">
        <is>
          <t>Digitalizacion de un almacen logistico "Towards Digital Twin-Driven Optimization" (caso TRUSCO NAKAYAMA) con vision por computadora aplicada ("multi-camera object tracking", "cooperative annotation for improved object recognition, and synthetic data augmentation") y optimizacion de turnos y layout; el gemelo es el objetivo declarado en el titulo, como R0272, pero es la evidencia de gemelo mas debil del lote: no aparece en el resumen ni en las palabras clave de autor, sólo en el titulo y en el indice. Confirmar en texto completo. | Auditoría final 2026-09-06: se mantiene I; gemelo sólo en título e índice (excepción R0272); verificar en texto completo.</t>
        </is>
      </c>
      <c r="N552" s="69" t="inlineStr">
        <is>
          <t>I</t>
        </is>
      </c>
      <c r="O552" s="69" t="n">
        <v>9</v>
      </c>
      <c r="P552" s="69" t="inlineStr">
        <is>
          <t>Include</t>
        </is>
      </c>
      <c r="Q552" s="69" t="inlineStr">
        <is>
          <t>I</t>
        </is>
      </c>
      <c r="R552" s="69" t="inlineStr">
        <is>
          <t>Digitalizacion de un almacen logistico "Towards Digital Twin-Driven Optimization" (caso TRUSCO NAKAYAMA) con vision por computadora aplicada ("multi-camera object tracking", "cooperative annotation for improved object recognition, and synthetic data augmentation") y optimizacion de turnos y layout; el gemelo es el objetivo declarado en el titulo, como R0272, pero es la evidencia de gemelo mas debil del lote: no aparece en el resumen ni en las palabras clave de autor, sólo en el titulo y en el indice. Confirmar en texto completo.</t>
        </is>
      </c>
      <c r="S552" s="69" t="n"/>
    </row>
    <row r="553" ht="23.25" customHeight="1" s="17">
      <c r="A553" s="26" t="inlineStr">
        <is>
          <t>R0552</t>
        </is>
      </c>
      <c r="B553" s="26" t="inlineStr">
        <is>
          <t>Scopus</t>
        </is>
      </c>
      <c r="C553" s="26" t="inlineStr">
        <is>
          <t>Othman Z.K.; Ahmed M.M.; Kasimieh O.; Musa S.S.; Branda F.; Cue E.G.; Ocampo J.M.A.; Lucero Prisno D.E., III; Vimolmangkang S.</t>
        </is>
      </c>
      <c r="D553" s="26" t="n">
        <v>2025</v>
      </c>
      <c r="E553" s="27" t="inlineStr">
        <is>
          <t>Artificial intelligence for natural product drug discovery and development: current landscape, applications, and future directions</t>
        </is>
      </c>
      <c r="F553" s="26" t="inlineStr">
        <is>
          <t>Intelligence-Based Medicine</t>
        </is>
      </c>
      <c r="G553" s="26" t="inlineStr">
        <is>
          <t>Article</t>
        </is>
      </c>
      <c r="H553" s="26" t="inlineStr">
        <is>
          <t>10.1016/j.ibmed.2025.100316</t>
        </is>
      </c>
      <c r="I553" s="26" t="inlineStr">
        <is>
          <t>TA</t>
        </is>
      </c>
      <c r="J553" s="37" t="inlineStr">
        <is>
          <t>Exclude</t>
        </is>
      </c>
      <c r="K553" s="37" t="inlineStr">
        <is>
          <t>Wrong publication type</t>
        </is>
      </c>
      <c r="L553" s="32" t="inlineStr">
        <is>
          <t>Check: healthcare context, supply chain scope unclear</t>
        </is>
      </c>
      <c r="M553" s="37" t="inlineStr">
        <is>
          <t>Revision de IA para descubrimiento de productos naturales ("This review integrates these advances, evidence gaps, and governance requirements into a roadmap"); gemelos sólo en sistemas microfisiologicos. Valor para snowballing: bajo.</t>
        </is>
      </c>
      <c r="N553" s="69" t="inlineStr">
        <is>
          <t>E4</t>
        </is>
      </c>
      <c r="O553" s="69" t="n">
        <v>9</v>
      </c>
      <c r="P553" s="69" t="inlineStr">
        <is>
          <t>Exclude</t>
        </is>
      </c>
      <c r="Q553" s="69" t="inlineStr">
        <is>
          <t>E4</t>
        </is>
      </c>
      <c r="R553" s="69" t="inlineStr">
        <is>
          <t>Revision de IA para descubrimiento de productos naturales ("This review integrates these advances, evidence gaps, and governance requirements into a roadmap"); gemelos sólo en sistemas microfisiologicos. Valor para snowballing: bajo.</t>
        </is>
      </c>
      <c r="S553" s="69" t="n"/>
    </row>
    <row r="554" ht="23.25" customHeight="1" s="17">
      <c r="A554" s="26" t="inlineStr">
        <is>
          <t>R0553</t>
        </is>
      </c>
      <c r="B554" s="26" t="inlineStr">
        <is>
          <t>Scopus</t>
        </is>
      </c>
      <c r="C554" s="26" t="inlineStr">
        <is>
          <t>Husar J.; Trojanowska J.; Trojanowski P.; Lazorik P.</t>
        </is>
      </c>
      <c r="D554" s="26" t="n">
        <v>2025</v>
      </c>
      <c r="E554" s="27" t="inlineStr">
        <is>
          <t>Digital Twins of Conveyors in PLM Tools for Logistics 4.0</t>
        </is>
      </c>
      <c r="F554" s="26" t="inlineStr">
        <is>
          <t>IFAC-PapersOnLine</t>
        </is>
      </c>
      <c r="G554" s="26" t="inlineStr">
        <is>
          <t>Conference paper</t>
        </is>
      </c>
      <c r="H554" s="26" t="inlineStr">
        <is>
          <t>10.1016/j.ifacol.2025.11.880</t>
        </is>
      </c>
      <c r="I554" s="26" t="inlineStr">
        <is>
          <t>TA</t>
        </is>
      </c>
      <c r="J554" s="37" t="inlineStr">
        <is>
          <t>Exclude</t>
        </is>
      </c>
      <c r="K554" s="37" t="inlineStr">
        <is>
          <t>No AI/ML component</t>
        </is>
      </c>
      <c r="L554" s="32" t="inlineStr">
        <is>
          <t>Check: AI terms only in keywords, verify substantive AI component</t>
        </is>
      </c>
      <c r="M554" s="37" t="inlineStr">
        <is>
          <t>Gemelos activos de dos transportadores en un entorno PLM para "Logistics 4.0", con interconexion por PLC y OPC; ningun metodo de IA: el resumen sólo menciona "intelligent sensors and dynamic line control" y "Artificial intelligence" figura como palabra clave de indice (C8). Antecedente C8: alto (logistica intra-planta).</t>
        </is>
      </c>
      <c r="N554" s="69" t="inlineStr">
        <is>
          <t>E3</t>
        </is>
      </c>
      <c r="O554" s="69" t="n">
        <v>9</v>
      </c>
      <c r="P554" s="69" t="inlineStr">
        <is>
          <t>Exclude</t>
        </is>
      </c>
      <c r="Q554" s="69" t="inlineStr">
        <is>
          <t>E3</t>
        </is>
      </c>
      <c r="R554" s="69" t="inlineStr">
        <is>
          <t>Gemelos activos de dos transportadores en un entorno PLM para "Logistics 4.0", con interconexion por PLC y OPC; ningun metodo de IA: el resumen sólo menciona "intelligent sensors and dynamic line control" y "Artificial intelligence" figura como palabra clave de indice (C8). Antecedente C8: alto (logistica intra-planta).</t>
        </is>
      </c>
      <c r="S554" s="69" t="n"/>
    </row>
    <row r="555" ht="23.25" customHeight="1" s="17">
      <c r="A555" s="26" t="inlineStr">
        <is>
          <t>R0554</t>
        </is>
      </c>
      <c r="B555" s="26" t="inlineStr">
        <is>
          <t>Scopus + WoS</t>
        </is>
      </c>
      <c r="C555" s="26" t="inlineStr">
        <is>
          <t>Ivanov D.</t>
        </is>
      </c>
      <c r="D555" s="26" t="n">
        <v>2025</v>
      </c>
      <c r="E555" s="27" t="inlineStr">
        <is>
          <t>Conceptual and formal models for design, adaptation, and control of digital twins in supply chain ecosystems</t>
        </is>
      </c>
      <c r="F555" s="26" t="inlineStr">
        <is>
          <t>Omega (United Kingdom)</t>
        </is>
      </c>
      <c r="G555" s="26" t="inlineStr">
        <is>
          <t>Article</t>
        </is>
      </c>
      <c r="H555" s="26" t="inlineStr">
        <is>
          <t>10.1016/j.omega.2025.103356</t>
        </is>
      </c>
      <c r="I555" s="26" t="inlineStr">
        <is>
          <t>TA</t>
        </is>
      </c>
      <c r="J555" s="37" t="inlineStr">
        <is>
          <t>Include</t>
        </is>
      </c>
      <c r="K555" s="37" t="n"/>
      <c r="L555" s="32" t="inlineStr">
        <is>
          <t>Check: AI terms only in keywords, verify substantive AI component</t>
        </is>
      </c>
      <c r="M555" s="37" t="inlineStr">
        <is>
          <t>Modelos conceptuales y formales del gemelo en cadenas (Omega, linea Ivanov): "A digital ecosystem is a set of digital technologies, AI-based knowledge management systems, cloud spaces, and platforms that encapsulate supply chain data enabling digital twins"; el marco generalizado incluye un "human-AI collaboration space". Muy relevante para HITL.</t>
        </is>
      </c>
      <c r="N555" s="69" t="inlineStr">
        <is>
          <t>I</t>
        </is>
      </c>
      <c r="O555" s="69" t="n">
        <v>9</v>
      </c>
      <c r="P555" s="69" t="inlineStr">
        <is>
          <t>Include</t>
        </is>
      </c>
      <c r="Q555" s="69" t="inlineStr">
        <is>
          <t>I</t>
        </is>
      </c>
      <c r="R555" s="69" t="inlineStr">
        <is>
          <t>Modelos conceptuales y formales del gemelo en cadenas (Omega, linea Ivanov): "A digital ecosystem is a set of digital technologies, AI-based knowledge management systems, cloud spaces, and platforms that encapsulate supply chain data enabling digital twins"; el marco generalizado incluye un "human-AI collaboration space". Muy relevante para HITL.</t>
        </is>
      </c>
      <c r="S555" s="69" t="n"/>
    </row>
    <row r="556" ht="23.25" customHeight="1" s="17">
      <c r="A556" s="26" t="inlineStr">
        <is>
          <t>R0555</t>
        </is>
      </c>
      <c r="B556" s="26" t="inlineStr">
        <is>
          <t>Scopus + WoS</t>
        </is>
      </c>
      <c r="C556" s="26" t="inlineStr">
        <is>
          <t>Ellahi R.M.; Wood L.C.; Khan M.; Bekhit A.E.-D.A.</t>
        </is>
      </c>
      <c r="D556" s="26" t="n">
        <v>2025</v>
      </c>
      <c r="E556" s="27" t="inlineStr">
        <is>
          <t>Integrity Challenges in Halal Meat Supply Chain: Potential Industry 4.0 Technologies as Catalysts for Resolution</t>
        </is>
      </c>
      <c r="F556" s="26" t="inlineStr">
        <is>
          <t>Foods</t>
        </is>
      </c>
      <c r="G556" s="26" t="inlineStr">
        <is>
          <t>Review</t>
        </is>
      </c>
      <c r="H556" s="26" t="inlineStr">
        <is>
          <t>10.3390/foods14071135</t>
        </is>
      </c>
      <c r="I556" s="26" t="inlineStr">
        <is>
          <t>TA</t>
        </is>
      </c>
      <c r="J556" s="37" t="inlineStr">
        <is>
          <t>Exclude</t>
        </is>
      </c>
      <c r="K556" s="37" t="inlineStr">
        <is>
          <t>Wrong publication type</t>
        </is>
      </c>
      <c r="L556" s="32" t="inlineStr">
        <is>
          <t>Check: AI terms only in keywords, verify substantive AI component</t>
        </is>
      </c>
      <c r="M556" s="37" t="inlineStr">
        <is>
          <t>Revision (Doc type Review) de la cadena de carne halal: "This review explores how Industry 4.0 technologies enhance efficiency, traceability, and transparency in HMSC"; gemelos "for training and product quality monitoring". Valor para snowballing: medio (cadena alimentaria con gemelo e IA como objeto).</t>
        </is>
      </c>
      <c r="N556" s="69" t="inlineStr">
        <is>
          <t>E4</t>
        </is>
      </c>
      <c r="O556" s="69" t="n">
        <v>9</v>
      </c>
      <c r="P556" s="69" t="inlineStr">
        <is>
          <t>Exclude</t>
        </is>
      </c>
      <c r="Q556" s="69" t="inlineStr">
        <is>
          <t>E4</t>
        </is>
      </c>
      <c r="R556" s="69" t="inlineStr">
        <is>
          <t>Revision (Doc type Review) de la cadena de carne halal: "This review explores how Industry 4.0 technologies enhance efficiency, traceability, and transparency in HMSC"; gemelos "for training and product quality monitoring". Valor para snowballing: medio (cadena alimentaria con gemelo e IA como objeto).</t>
        </is>
      </c>
      <c r="S556" s="69" t="n"/>
    </row>
    <row r="557" ht="23.25" customHeight="1" s="17">
      <c r="A557" s="26" t="inlineStr">
        <is>
          <t>R0556</t>
        </is>
      </c>
      <c r="B557" s="26" t="inlineStr">
        <is>
          <t>Scopus + WoS</t>
        </is>
      </c>
      <c r="C557" s="26" t="inlineStr">
        <is>
          <t>Bongomin O.; Mwape M.C.; Mpofu N.S.; Bahunde B.K.; Kidega R.; Mpungu I.L.; Tumusiime G.; Owino C.A.; Goussongtogue Y.M.; Yemane A.; Kyokunzire P.; Malanda C.; Komakech J.; Tigalana D.; Gumisiriza O.; Ngulube G.</t>
        </is>
      </c>
      <c r="D557" s="26" t="n">
        <v>2025</v>
      </c>
      <c r="E557" s="27" t="inlineStr">
        <is>
          <t>Digital twin technology advancing industry 4.0 and industry 5.0 across sectors</t>
        </is>
      </c>
      <c r="F557" s="26" t="inlineStr">
        <is>
          <t>Results in Engineering</t>
        </is>
      </c>
      <c r="G557" s="26" t="inlineStr">
        <is>
          <t>Review</t>
        </is>
      </c>
      <c r="H557" s="26" t="inlineStr">
        <is>
          <t>10.1016/j.rineng.2025.105583</t>
        </is>
      </c>
      <c r="I557" s="26" t="inlineStr">
        <is>
          <t>TA</t>
        </is>
      </c>
      <c r="J557" s="37" t="inlineStr">
        <is>
          <t>Exclude</t>
        </is>
      </c>
      <c r="K557" s="37" t="inlineStr">
        <is>
          <t>Wrong publication type</t>
        </is>
      </c>
      <c r="L557" s="32" t="inlineStr">
        <is>
          <t>Check: healthcare context, supply chain scope unclear</t>
        </is>
      </c>
      <c r="M557" s="37" t="inlineStr">
        <is>
          <t>Revision (Doc type Review) del gemelo entre Industria 4.0 y 5.0: "This review examines the evolving role of DTs"; incluye analisis sectorial con logistica y el giro humano-centrico. Valor para snowballing: medio.</t>
        </is>
      </c>
      <c r="N557" s="69" t="inlineStr">
        <is>
          <t>E4</t>
        </is>
      </c>
      <c r="O557" s="69" t="n">
        <v>9</v>
      </c>
      <c r="P557" s="69" t="inlineStr">
        <is>
          <t>Exclude</t>
        </is>
      </c>
      <c r="Q557" s="69" t="inlineStr">
        <is>
          <t>E4</t>
        </is>
      </c>
      <c r="R557" s="69" t="inlineStr">
        <is>
          <t>Revision (Doc type Review) del gemelo entre Industria 4.0 y 5.0: "This review examines the evolving role of DTs"; incluye analisis sectorial con logistica y el giro humano-centrico. Valor para snowballing: medio.</t>
        </is>
      </c>
      <c r="S557" s="69" t="n"/>
    </row>
    <row r="558" ht="34.5" customHeight="1" s="17">
      <c r="A558" s="26" t="inlineStr">
        <is>
          <t>R0557</t>
        </is>
      </c>
      <c r="B558" s="26" t="inlineStr">
        <is>
          <t>Scopus + WoS</t>
        </is>
      </c>
      <c r="C558" s="26" t="inlineStr">
        <is>
          <t>Akpan I.J.; Etti G.E.</t>
        </is>
      </c>
      <c r="D558" s="26" t="n">
        <v>2025</v>
      </c>
      <c r="E558" s="27" t="inlineStr">
        <is>
          <t>Computer Simulation Everywhere: Mapping Fifteen Years Evolutionary Expansion of Discrete-Event Simulation and Integration with Digital Twin and Generative Artificial Intelligence</t>
        </is>
      </c>
      <c r="F558" s="26" t="inlineStr">
        <is>
          <t>Symmetry</t>
        </is>
      </c>
      <c r="G558" s="26" t="inlineStr">
        <is>
          <t>Article</t>
        </is>
      </c>
      <c r="H558" s="26" t="inlineStr">
        <is>
          <t>10.3390/sym17081272</t>
        </is>
      </c>
      <c r="I558" s="26" t="inlineStr">
        <is>
          <t>TA</t>
        </is>
      </c>
      <c r="J558" s="37" t="inlineStr">
        <is>
          <t>Exclude</t>
        </is>
      </c>
      <c r="K558" s="37" t="inlineStr">
        <is>
          <t>Wrong publication type</t>
        </is>
      </c>
      <c r="L558" s="32" t="inlineStr">
        <is>
          <t>Check: healthcare context, supply chain scope unclear</t>
        </is>
      </c>
      <c r="M558" s="37" t="inlineStr">
        <is>
          <t>Cartografia cientifica bibliometrica ("Using bibliographic data from SCOPUS, this study undertakes a science mapping of the DES literature"); integra gemelo e IA generativa como temas. Valor para snowballing: bajo.</t>
        </is>
      </c>
      <c r="N558" s="69" t="inlineStr">
        <is>
          <t>E4</t>
        </is>
      </c>
      <c r="O558" s="69" t="n">
        <v>9</v>
      </c>
      <c r="P558" s="69" t="inlineStr">
        <is>
          <t>Exclude</t>
        </is>
      </c>
      <c r="Q558" s="69" t="inlineStr">
        <is>
          <t>E4</t>
        </is>
      </c>
      <c r="R558" s="69" t="inlineStr">
        <is>
          <t>Cartografia cientifica bibliometrica ("Using bibliographic data from SCOPUS, this study undertakes a science mapping of the DES literature"); integra gemelo e IA generativa como temas. Valor para snowballing: bajo.</t>
        </is>
      </c>
      <c r="S558" s="69" t="n"/>
    </row>
    <row r="559" ht="23.25" customHeight="1" s="17">
      <c r="A559" s="26" t="inlineStr">
        <is>
          <t>R0558</t>
        </is>
      </c>
      <c r="B559" s="26" t="inlineStr">
        <is>
          <t>Scopus</t>
        </is>
      </c>
      <c r="C559" s="26" t="inlineStr">
        <is>
          <t>Bhagat M.; Zagade A.</t>
        </is>
      </c>
      <c r="D559" s="26" t="n">
        <v>2025</v>
      </c>
      <c r="E559" s="27" t="inlineStr">
        <is>
          <t>Review Paper on the Role of Resilience in Supply Chain Transformation: Moving from Green to Regenerative</t>
        </is>
      </c>
      <c r="F559" s="26" t="inlineStr">
        <is>
          <t>2025 IEEE 7th International Conference on Computing, Communication and Automation, ICCCA 2025</t>
        </is>
      </c>
      <c r="G559" s="26" t="inlineStr">
        <is>
          <t>Conference paper</t>
        </is>
      </c>
      <c r="H559" s="26" t="inlineStr">
        <is>
          <t>10.1109/iccca66364.2025.11325328</t>
        </is>
      </c>
      <c r="I559" s="26" t="inlineStr">
        <is>
          <t>TA</t>
        </is>
      </c>
      <c r="J559" s="37" t="inlineStr">
        <is>
          <t>Exclude</t>
        </is>
      </c>
      <c r="K559" s="37" t="inlineStr">
        <is>
          <t>Wrong publication type</t>
        </is>
      </c>
      <c r="L559" s="32" t="inlineStr">
        <is>
          <t>Check: AI terms only in keywords, verify substantive AI component</t>
        </is>
      </c>
      <c r="M559" s="37" t="inlineStr">
        <is>
          <t>Revision critica narrativa ("Employing a narrative critical-review method, we synthesised peer-reviewed literature (2018-2025)"); triada digital de "digital twins, edge-AI, blockchain" para resiliencia de cadena. Valor para snowballing: medio.</t>
        </is>
      </c>
      <c r="N559" s="69" t="inlineStr">
        <is>
          <t>E4</t>
        </is>
      </c>
      <c r="O559" s="69" t="n">
        <v>9</v>
      </c>
      <c r="P559" s="69" t="inlineStr">
        <is>
          <t>Exclude</t>
        </is>
      </c>
      <c r="Q559" s="69" t="inlineStr">
        <is>
          <t>E4</t>
        </is>
      </c>
      <c r="R559" s="69" t="inlineStr">
        <is>
          <t>Revision critica narrativa ("Employing a narrative critical-review method, we synthesised peer-reviewed literature (2018-2025)"); triada digital de "digital twins, edge-AI, blockchain" para resiliencia de cadena. Valor para snowballing: medio.</t>
        </is>
      </c>
      <c r="S559" s="69" t="n"/>
    </row>
    <row r="560" ht="23.25" customHeight="1" s="17">
      <c r="A560" s="26" t="inlineStr">
        <is>
          <t>R0559</t>
        </is>
      </c>
      <c r="B560" s="26" t="inlineStr">
        <is>
          <t>Scopus</t>
        </is>
      </c>
      <c r="C560" s="26" t="inlineStr">
        <is>
          <t>Passas I.</t>
        </is>
      </c>
      <c r="D560" s="26" t="n">
        <v>2025</v>
      </c>
      <c r="E560" s="27" t="inlineStr">
        <is>
          <t>From Digital Twins to Digital Triplets in Economics and Financial Decision-Making</t>
        </is>
      </c>
      <c r="F560" s="26" t="inlineStr">
        <is>
          <t>Encyclopedia</t>
        </is>
      </c>
      <c r="G560" s="26" t="inlineStr">
        <is>
          <t>Article</t>
        </is>
      </c>
      <c r="H560" s="26" t="inlineStr">
        <is>
          <t>10.3390/encyclopedia5030087</t>
        </is>
      </c>
      <c r="I560" s="26" t="inlineStr">
        <is>
          <t>TA</t>
        </is>
      </c>
      <c r="J560" s="37" t="inlineStr">
        <is>
          <t>Exclude</t>
        </is>
      </c>
      <c r="K560" s="37" t="inlineStr">
        <is>
          <t>Wrong publication type</t>
        </is>
      </c>
      <c r="L560" s="32" t="inlineStr">
        <is>
          <t>Check: AI terms only in keywords, verify substantive AI component</t>
        </is>
      </c>
      <c r="M560" s="37" t="inlineStr">
        <is>
          <t>Entrada de enciclopedia que revisa la evolucion del concepto ("This entry reviews the evolution from Digital Twins (DT) to Predictive Digital Twins (PDT) and Digital Triplets (DTr)"); ambito economico y financiero. Valor para snowballing: bajo.</t>
        </is>
      </c>
      <c r="N560" s="69" t="inlineStr">
        <is>
          <t>E4</t>
        </is>
      </c>
      <c r="O560" s="69" t="n">
        <v>9</v>
      </c>
      <c r="P560" s="69" t="inlineStr">
        <is>
          <t>Exclude</t>
        </is>
      </c>
      <c r="Q560" s="69" t="inlineStr">
        <is>
          <t>E4</t>
        </is>
      </c>
      <c r="R560" s="69" t="inlineStr">
        <is>
          <t>Entrada de enciclopedia que revisa la evolucion del concepto ("This entry reviews the evolution from Digital Twins (DT) to Predictive Digital Twins (PDT) and Digital Triplets (DTr)"); ambito economico y financiero. Valor para snowballing: bajo.</t>
        </is>
      </c>
      <c r="S560" s="69" t="n"/>
    </row>
    <row r="561" ht="23.25" customHeight="1" s="17">
      <c r="A561" s="26" t="inlineStr">
        <is>
          <t>R0560</t>
        </is>
      </c>
      <c r="B561" s="26" t="inlineStr">
        <is>
          <t>Scopus</t>
        </is>
      </c>
      <c r="C561" s="26" t="inlineStr">
        <is>
          <t>Tran-Dang H.; Kim D.-S.</t>
        </is>
      </c>
      <c r="D561" s="26" t="n">
        <v>2025</v>
      </c>
      <c r="E561" s="27" t="inlineStr">
        <is>
          <t>Digital Twin-Aided Contextual Bandit Learning-Based Two-Sided Matching for Task Offloading in Dynamic Fog Computing Networks</t>
        </is>
      </c>
      <c r="F561" s="26" t="inlineStr">
        <is>
          <t>Lecture Notes in Networks and Systems</t>
        </is>
      </c>
      <c r="G561" s="26" t="inlineStr">
        <is>
          <t>Conference paper</t>
        </is>
      </c>
      <c r="H561" s="26" t="inlineStr">
        <is>
          <t>10.1007/978-981-96-6938-7_14</t>
        </is>
      </c>
      <c r="I561" s="26" t="inlineStr">
        <is>
          <t>TA</t>
        </is>
      </c>
      <c r="J561" s="37" t="inlineStr">
        <is>
          <t>Exclude</t>
        </is>
      </c>
      <c r="K561" s="37" t="inlineStr">
        <is>
          <t>No supply chain scope</t>
        </is>
      </c>
      <c r="L561" s="32" t="inlineStr">
        <is>
          <t>Check: AI terms only in keywords, verify substantive AI component</t>
        </is>
      </c>
      <c r="M561" s="37" t="inlineStr">
        <is>
          <t>Aprendizaje por bandidos contextuales asistido por gemelos para "offload computation tasks in dynamic fog computing networks"; el gemelo modela nodos de niebla y no hay cadena ni logistica (la palabra clave "Bayesian logistics regression" es un falso positivo).</t>
        </is>
      </c>
      <c r="N561" s="69" t="inlineStr">
        <is>
          <t>E2</t>
        </is>
      </c>
      <c r="O561" s="69" t="n">
        <v>9</v>
      </c>
      <c r="P561" s="69" t="inlineStr">
        <is>
          <t>Exclude</t>
        </is>
      </c>
      <c r="Q561" s="69" t="inlineStr">
        <is>
          <t>E2</t>
        </is>
      </c>
      <c r="R561" s="69" t="inlineStr">
        <is>
          <t>Aprendizaje por bandidos contextuales asistido por gemelos para "offload computation tasks in dynamic fog computing networks"; el gemelo modela nodos de niebla y no hay cadena ni logistica (la palabra clave "Bayesian logistics regression" es un falso positivo).</t>
        </is>
      </c>
      <c r="S561" s="69" t="n"/>
    </row>
    <row r="562" ht="23.25" customHeight="1" s="17">
      <c r="A562" s="26" t="inlineStr">
        <is>
          <t>R0561</t>
        </is>
      </c>
      <c r="B562" s="26" t="inlineStr">
        <is>
          <t>Scopus</t>
        </is>
      </c>
      <c r="C562" s="26" t="inlineStr">
        <is>
          <t>Pamplin J.C.; Remondelli M.H.; Thota D.; Trapier J.; Davis M.W.T.; Fisher N.; Kwon P.; Quinn M.T.</t>
        </is>
      </c>
      <c r="D562" s="26" t="n">
        <v>2025</v>
      </c>
      <c r="E562" s="27" t="inlineStr">
        <is>
          <t>Revolutionizing Combat Casualty Care: The Power of Digital Twins in Optimizing Casualty Care Through Passive Data Collection</t>
        </is>
      </c>
      <c r="F562" s="26" t="inlineStr">
        <is>
          <t>Military Medicine</t>
        </is>
      </c>
      <c r="G562" s="26" t="inlineStr">
        <is>
          <t>Review</t>
        </is>
      </c>
      <c r="H562" s="26" t="inlineStr">
        <is>
          <t>10.1093/milmed/usae249</t>
        </is>
      </c>
      <c r="I562" s="26" t="inlineStr">
        <is>
          <t>TA</t>
        </is>
      </c>
      <c r="J562" s="37" t="inlineStr">
        <is>
          <t>Exclude</t>
        </is>
      </c>
      <c r="K562" s="37" t="inlineStr">
        <is>
          <t>Wrong publication type</t>
        </is>
      </c>
      <c r="L562" s="32" t="inlineStr">
        <is>
          <t>Check: healthcare context, supply chain scope unclear</t>
        </is>
      </c>
      <c r="M562" s="37" t="inlineStr">
        <is>
          <t>Comentario en revista (Doc type Review): "In this commentary, we describe concepts of casualty digital twins"; logistica militar sólo como contexto ("contested logistics"). Valor para snowballing: bajo.</t>
        </is>
      </c>
      <c r="N562" s="69" t="inlineStr">
        <is>
          <t>E4</t>
        </is>
      </c>
      <c r="O562" s="69" t="n">
        <v>9</v>
      </c>
      <c r="P562" s="69" t="inlineStr">
        <is>
          <t>Exclude</t>
        </is>
      </c>
      <c r="Q562" s="69" t="inlineStr">
        <is>
          <t>E4</t>
        </is>
      </c>
      <c r="R562" s="69" t="inlineStr">
        <is>
          <t>Comentario en revista (Doc type Review): "In this commentary, we describe concepts of casualty digital twins"; logistica militar sólo como contexto ("contested logistics"). Valor para snowballing: bajo.</t>
        </is>
      </c>
      <c r="S562" s="69" t="n"/>
    </row>
    <row r="563" ht="23.25" customHeight="1" s="17">
      <c r="A563" s="26" t="inlineStr">
        <is>
          <t>R0562</t>
        </is>
      </c>
      <c r="B563" s="26" t="inlineStr">
        <is>
          <t>Scopus + WoS</t>
        </is>
      </c>
      <c r="C563" s="26" t="inlineStr">
        <is>
          <t>Shah R.; Doss A.S.A.; Lakshmaiya N.</t>
        </is>
      </c>
      <c r="D563" s="26" t="n">
        <v>2025</v>
      </c>
      <c r="E563" s="27" t="inlineStr">
        <is>
          <t>Advancements in AI-enhanced collaborative robotics: towards safer, smarter, and human-centric industrial automation</t>
        </is>
      </c>
      <c r="F563" s="26" t="inlineStr">
        <is>
          <t>Results in Engineering</t>
        </is>
      </c>
      <c r="G563" s="26" t="inlineStr">
        <is>
          <t>Review</t>
        </is>
      </c>
      <c r="H563" s="26" t="inlineStr">
        <is>
          <t>10.1016/j.rineng.2025.105704</t>
        </is>
      </c>
      <c r="I563" s="26" t="inlineStr">
        <is>
          <t>TA</t>
        </is>
      </c>
      <c r="J563" s="37" t="inlineStr">
        <is>
          <t>Exclude</t>
        </is>
      </c>
      <c r="K563" s="37" t="inlineStr">
        <is>
          <t>Wrong publication type</t>
        </is>
      </c>
      <c r="L563" s="32" t="inlineStr">
        <is>
          <t>Check: healthcare context, supply chain scope unclear</t>
        </is>
      </c>
      <c r="M563" s="37" t="inlineStr">
        <is>
          <t>Revision (Doc type Review) de robotica colaborativa con IA: "This review examines the evolution and integration of collaborative robots (cobots) with Artificial Intelligence (AI)"; gemelos como concepto emergente y sector logistico entre las aplicaciones. Valor para snowballing: medio (automatizacion humano-centrica).</t>
        </is>
      </c>
      <c r="N563" s="69" t="inlineStr">
        <is>
          <t>E4</t>
        </is>
      </c>
      <c r="O563" s="69" t="n">
        <v>9</v>
      </c>
      <c r="P563" s="69" t="inlineStr">
        <is>
          <t>Exclude</t>
        </is>
      </c>
      <c r="Q563" s="69" t="inlineStr">
        <is>
          <t>E4</t>
        </is>
      </c>
      <c r="R563" s="69" t="inlineStr">
        <is>
          <t>Revision (Doc type Review) de robotica colaborativa con IA: "This review examines the evolution and integration of collaborative robots (cobots) with Artificial Intelligence (AI)"; gemelos como concepto emergente y sector logistico entre las aplicaciones. Valor para snowballing: medio (automatizacion humano-centrica).</t>
        </is>
      </c>
      <c r="S563" s="69" t="n"/>
    </row>
    <row r="564" ht="34.5" customHeight="1" s="17">
      <c r="A564" s="26" t="inlineStr">
        <is>
          <t>R0563</t>
        </is>
      </c>
      <c r="B564" s="26" t="inlineStr">
        <is>
          <t>Scopus</t>
        </is>
      </c>
      <c r="C564" s="26" t="inlineStr">
        <is>
          <t>Li D.-M.; Yu F.; Xia W.; Jiang M.-H.; Yang L.-J.; Yang H.-Y.; Yin S.-J.; Wang P.; Meng R.; Cun S.-H.; Yang H.-N.; Du P.-N.; Wang Y.; He G.-H.</t>
        </is>
      </c>
      <c r="D564" s="26" t="n">
        <v>2025</v>
      </c>
      <c r="E564" s="27" t="inlineStr">
        <is>
          <t>Atherogenic index of plasma and risk of acute kidney injury in critically ill patients: a multi-cohort study with machine learning and SHAP analysis</t>
        </is>
      </c>
      <c r="F564" s="26" t="inlineStr">
        <is>
          <t>Renal Failure</t>
        </is>
      </c>
      <c r="G564" s="26" t="inlineStr">
        <is>
          <t>Article</t>
        </is>
      </c>
      <c r="H564" s="26" t="inlineStr">
        <is>
          <t>10.1080/0886022x.2025.2611198</t>
        </is>
      </c>
      <c r="I564" s="26" t="inlineStr">
        <is>
          <t>TA</t>
        </is>
      </c>
      <c r="J564" s="37" t="inlineStr">
        <is>
          <t>Exclude</t>
        </is>
      </c>
      <c r="K564" s="37" t="inlineStr">
        <is>
          <t>No digital twin/model</t>
        </is>
      </c>
      <c r="L564" s="32" t="inlineStr">
        <is>
          <t>Check: healthcare context, supply chain scope unclear</t>
        </is>
      </c>
      <c r="M564" s="37" t="inlineStr">
        <is>
          <t>Modelos de ML con SHAP para predecir lesion renal aguda; el gemelo sólo como via futura ("potentially enabling AI-guided precision prevention strategies in future digital twin-driven AKI care pathways"), C1; también E2 (ambito clinico).</t>
        </is>
      </c>
      <c r="N564" s="69" t="inlineStr">
        <is>
          <t>E1</t>
        </is>
      </c>
      <c r="O564" s="69" t="n">
        <v>9</v>
      </c>
      <c r="P564" s="69" t="inlineStr">
        <is>
          <t>Exclude</t>
        </is>
      </c>
      <c r="Q564" s="69" t="inlineStr">
        <is>
          <t>E1</t>
        </is>
      </c>
      <c r="R564" s="69" t="inlineStr">
        <is>
          <t>Modelos de ML con SHAP para predecir lesion renal aguda; el gemelo sólo como via futura ("potentially enabling AI-guided precision prevention strategies in future digital twin-driven AKI care pathways"), C1; también E2 (ambito clinico).</t>
        </is>
      </c>
      <c r="S564" s="69" t="n"/>
    </row>
    <row r="565" ht="23.25" customHeight="1" s="17">
      <c r="A565" s="26" t="inlineStr">
        <is>
          <t>R0564</t>
        </is>
      </c>
      <c r="B565" s="26" t="inlineStr">
        <is>
          <t>Scopus</t>
        </is>
      </c>
      <c r="C565" s="26" t="inlineStr">
        <is>
          <t>Neyra J.; Silva L.; Netto J.; Medina A.</t>
        </is>
      </c>
      <c r="D565" s="26" t="n">
        <v>2025</v>
      </c>
      <c r="E565" s="27" t="inlineStr">
        <is>
          <t>Optimization of Operations in Solid Bulk Port Terminals Using Digital Twin</t>
        </is>
      </c>
      <c r="F565" s="26" t="inlineStr">
        <is>
          <t>Proceedings - Winter Simulation Conference</t>
        </is>
      </c>
      <c r="G565" s="26" t="inlineStr">
        <is>
          <t>Conference paper</t>
        </is>
      </c>
      <c r="H565" s="26" t="inlineStr">
        <is>
          <t>10.1109/wsc68292.2025.11339094</t>
        </is>
      </c>
      <c r="I565" s="26" t="inlineStr">
        <is>
          <t>TA</t>
        </is>
      </c>
      <c r="J565" s="37" t="inlineStr">
        <is>
          <t>Include</t>
        </is>
      </c>
      <c r="K565" s="37" t="n"/>
      <c r="L565" s="32" t="inlineStr">
        <is>
          <t>Check: AI terms only in keywords, verify substantive AI component</t>
        </is>
      </c>
      <c r="M565" s="37" t="inlineStr">
        <is>
          <t>Gemelo para programar operaciones en terminales portuarias de graneles solidos: "The approach integrates agent-based simulation with the Ant Colony System (ACS) metaheuristic to efficiently plan railway unloading, stockyard storage, and maritime shipping", validado con datos reales de Brasil. Criterio 3 por C7 (simulacion basada en agentes) y por una tecnica de inteligencia de enjambre nombrada, no por una mencion.</t>
        </is>
      </c>
      <c r="N565" s="69" t="inlineStr">
        <is>
          <t>I</t>
        </is>
      </c>
      <c r="O565" s="69" t="n">
        <v>9</v>
      </c>
      <c r="P565" s="69" t="inlineStr">
        <is>
          <t>Include</t>
        </is>
      </c>
      <c r="Q565" s="69" t="inlineStr">
        <is>
          <t>I</t>
        </is>
      </c>
      <c r="R565" s="69" t="inlineStr">
        <is>
          <t>Gemelo para programar operaciones en terminales portuarias de graneles solidos: "The approach integrates agent-based simulation with the Ant Colony System (ACS) metaheuristic to efficiently plan railway unloading, stockyard storage, and maritime shipping", validado con datos reales de Brasil. Criterio 3 por C7 (simulacion basada en agentes) y por una tecnica de inteligencia de enjambre nombrada, no por una mencion.</t>
        </is>
      </c>
      <c r="S565" s="69" t="n"/>
    </row>
    <row r="566" ht="23.25" customHeight="1" s="17">
      <c r="A566" s="26" t="inlineStr">
        <is>
          <t>R0565</t>
        </is>
      </c>
      <c r="B566" s="26" t="inlineStr">
        <is>
          <t>Scopus</t>
        </is>
      </c>
      <c r="C566" s="26" t="inlineStr">
        <is>
          <t>Gabellini M.; Regattieri A.; Bortolini M.; Ronchi M.</t>
        </is>
      </c>
      <c r="D566" s="26" t="n">
        <v>2025</v>
      </c>
      <c r="E566" s="27" t="inlineStr">
        <is>
          <t>Conceptualization and validation of an intelligent digital twin design framework for supply chain risk management</t>
        </is>
      </c>
      <c r="F566" s="26" t="inlineStr">
        <is>
          <t>International Journal of Information Management Data Insights</t>
        </is>
      </c>
      <c r="G566" s="26" t="inlineStr">
        <is>
          <t>Article</t>
        </is>
      </c>
      <c r="H566" s="26" t="inlineStr">
        <is>
          <t>10.1016/j.jjimei.2025.100365</t>
        </is>
      </c>
      <c r="I566" s="26" t="inlineStr">
        <is>
          <t>TA</t>
        </is>
      </c>
      <c r="J566" s="37" t="inlineStr">
        <is>
          <t>Exclude</t>
        </is>
      </c>
      <c r="K566" s="37" t="inlineStr">
        <is>
          <t>No AI/ML component</t>
        </is>
      </c>
      <c r="L566" s="32" t="inlineStr">
        <is>
          <t>Check: AI terms only in keywords, verify substantive AI component</t>
        </is>
      </c>
      <c r="M566" s="37" t="inlineStr">
        <is>
          <t>Marco de diseño de gemelo inteligente para riesgo de cadena validado en automocion ("proposing and validating a comprehensive design framework in the automotive sector"); el resumen no nombra ningun metodo de IA y "Artificial intelligence" es palabra clave de autor, con la prediccion enunciada como tarea ("predicting supply chain performance and guiding supplier selection and order allocation"). Aplicacion de C8 estricta (sin excepcion para el gemelo inteligente). Antecedente C8: alto.</t>
        </is>
      </c>
      <c r="N566" s="69" t="inlineStr">
        <is>
          <t>E3</t>
        </is>
      </c>
      <c r="O566" s="69" t="n">
        <v>9</v>
      </c>
      <c r="P566" s="69" t="inlineStr">
        <is>
          <t>Exclude</t>
        </is>
      </c>
      <c r="Q566" s="69" t="inlineStr">
        <is>
          <t>E3</t>
        </is>
      </c>
      <c r="R566" s="69" t="inlineStr">
        <is>
          <t>Marco de diseño de gemelo inteligente para riesgo de cadena validado en automocion ("proposing and validating a comprehensive design framework in the automotive sector"); el resumen no nombra ningun metodo de IA y "Artificial intelligence" es palabra clave de autor, con la prediccion enunciada como tarea ("predicting supply chain performance and guiding supplier selection and order allocation"). Aplicacion de C8 estricta (sin excepcion para el gemelo inteligente). Antecedente C8: alto.</t>
        </is>
      </c>
      <c r="S566" s="69" t="n"/>
    </row>
    <row r="567" ht="23.25" customHeight="1" s="17">
      <c r="A567" s="26" t="inlineStr">
        <is>
          <t>R0566</t>
        </is>
      </c>
      <c r="B567" s="26" t="inlineStr">
        <is>
          <t>Scopus</t>
        </is>
      </c>
      <c r="C567" s="26" t="inlineStr">
        <is>
          <t>Galka S.; Meißner S.</t>
        </is>
      </c>
      <c r="D567" s="26" t="n">
        <v>2025</v>
      </c>
      <c r="E567" s="27" t="inlineStr">
        <is>
          <t>Simulation-Based Digital Twins for Internal Transport Systems</t>
        </is>
      </c>
      <c r="F567" s="26" t="inlineStr">
        <is>
          <t>Procedia Computer Science</t>
        </is>
      </c>
      <c r="G567" s="26" t="inlineStr">
        <is>
          <t>Conference paper</t>
        </is>
      </c>
      <c r="H567" s="26" t="inlineStr">
        <is>
          <t>10.1016/j.procs.2025.12.016</t>
        </is>
      </c>
      <c r="I567" s="26" t="inlineStr">
        <is>
          <t>TA</t>
        </is>
      </c>
      <c r="J567" s="37" t="inlineStr">
        <is>
          <t>Exclude</t>
        </is>
      </c>
      <c r="K567" s="37" t="inlineStr">
        <is>
          <t>No AI/ML component</t>
        </is>
      </c>
      <c r="L567" s="32" t="inlineStr">
        <is>
          <t>Check: AI terms only in keywords, verify substantive AI component</t>
        </is>
      </c>
      <c r="M567" s="37" t="inlineStr">
        <is>
          <t>Gemelo por simulacion para sistemas de transporte interno (proyecto TwinTraSys) validado en industria, con "data provision, data preparation, simulation, and decision support"; ningun metodo de IA nombrado y "Artificial intelligence" sólo como palabra clave de indice (C8). Antecedente C8: alto (logistica intra-planta).</t>
        </is>
      </c>
      <c r="N567" s="69" t="inlineStr">
        <is>
          <t>E3</t>
        </is>
      </c>
      <c r="O567" s="69" t="n">
        <v>9</v>
      </c>
      <c r="P567" s="69" t="inlineStr">
        <is>
          <t>Exclude</t>
        </is>
      </c>
      <c r="Q567" s="69" t="inlineStr">
        <is>
          <t>E3</t>
        </is>
      </c>
      <c r="R567" s="69" t="inlineStr">
        <is>
          <t>Gemelo por simulacion para sistemas de transporte interno (proyecto TwinTraSys) validado en industria, con "data provision, data preparation, simulation, and decision support"; ningun metodo de IA nombrado y "Artificial intelligence" sólo como palabra clave de indice (C8). Antecedente C8: alto (logistica intra-planta).</t>
        </is>
      </c>
      <c r="S567" s="69" t="n"/>
    </row>
    <row r="568" ht="45.75" customHeight="1" s="17">
      <c r="A568" s="26" t="inlineStr">
        <is>
          <t>R0567</t>
        </is>
      </c>
      <c r="B568" s="26" t="inlineStr">
        <is>
          <t>Scopus</t>
        </is>
      </c>
      <c r="C568" s="26" t="inlineStr">
        <is>
          <t>Franco-Moreno A.; Escobar-Curbelo L.; Torres-Macho J.; Muñoz-Rivas N.; Ancos-Aracil C.L.; Martínez de la Casa-Muñoz A.; Bustamante-Fermosel A.; Arranz-García P.; Casado-Suela M.Á.</t>
        </is>
      </c>
      <c r="D568" s="26" t="n">
        <v>2025</v>
      </c>
      <c r="E568" s="27" t="inlineStr">
        <is>
          <t>A Digital Twin Strategy Combined with a Monte Carlo Simulation Framework to Predict Outcomes in Patients with Unusual-Site Venous Thrombosis Treated with Direct Oral Anticoagulants Versus Vitamin K Antagonists Using Data from Real-World Populations</t>
        </is>
      </c>
      <c r="F568" s="26" t="inlineStr">
        <is>
          <t>Clinics and Practice</t>
        </is>
      </c>
      <c r="G568" s="26" t="inlineStr">
        <is>
          <t>Article</t>
        </is>
      </c>
      <c r="H568" s="26" t="inlineStr">
        <is>
          <t>10.3390/clinpract15120237</t>
        </is>
      </c>
      <c r="I568" s="26" t="inlineStr">
        <is>
          <t>TA</t>
        </is>
      </c>
      <c r="J568" s="37" t="inlineStr">
        <is>
          <t>Exclude</t>
        </is>
      </c>
      <c r="K568" s="37" t="inlineStr">
        <is>
          <t>No supply chain scope</t>
        </is>
      </c>
      <c r="L568" s="32" t="inlineStr">
        <is>
          <t>Check: AI terms only in keywords, verify substantive AI component</t>
        </is>
      </c>
      <c r="M568" s="37" t="inlineStr">
        <is>
          <t>Gemelos clinicos generados con redes generativas antagonicas y regresion logistica para "Predict Outcomes in Patients with Unusual-Site Venous Thrombosis"; ambito clinico, fuera del alcance de operaciones (precedente R0216).</t>
        </is>
      </c>
      <c r="N568" s="69" t="inlineStr">
        <is>
          <t>E2</t>
        </is>
      </c>
      <c r="O568" s="69" t="n">
        <v>9</v>
      </c>
      <c r="P568" s="69" t="inlineStr">
        <is>
          <t>Exclude</t>
        </is>
      </c>
      <c r="Q568" s="69" t="inlineStr">
        <is>
          <t>E2</t>
        </is>
      </c>
      <c r="R568" s="69" t="inlineStr">
        <is>
          <t>Gemelos clinicos generados con redes generativas antagonicas y regresion logistica para "Predict Outcomes in Patients with Unusual-Site Venous Thrombosis"; ambito clinico, fuera del alcance de operaciones (precedente R0216).</t>
        </is>
      </c>
      <c r="S568" s="69" t="n"/>
    </row>
    <row r="569" ht="23.25" customHeight="1" s="17">
      <c r="A569" s="26" t="inlineStr">
        <is>
          <t>R0568</t>
        </is>
      </c>
      <c r="B569" s="26" t="inlineStr">
        <is>
          <t>Scopus + WoS</t>
        </is>
      </c>
      <c r="C569" s="26" t="inlineStr">
        <is>
          <t>Horn Z.; Richardson M.</t>
        </is>
      </c>
      <c r="D569" s="26" t="n">
        <v>2025</v>
      </c>
      <c r="E569" s="27" t="inlineStr">
        <is>
          <t>Digital twins and logistical labour Models, plans and the inversion of the ‘real’</t>
        </is>
      </c>
      <c r="F569" s="26" t="inlineStr">
        <is>
          <t>Work Organisation, Labour and Globalisation</t>
        </is>
      </c>
      <c r="G569" s="26" t="inlineStr">
        <is>
          <t>Article</t>
        </is>
      </c>
      <c r="H569" s="26" t="inlineStr">
        <is>
          <t>10.13169/workorgalaboglob.19.2.0004</t>
        </is>
      </c>
      <c r="I569" s="26" t="inlineStr">
        <is>
          <t>TA</t>
        </is>
      </c>
      <c r="J569" s="37" t="inlineStr">
        <is>
          <t>Exclude</t>
        </is>
      </c>
      <c r="K569" s="37" t="inlineStr">
        <is>
          <t>No AI/ML component</t>
        </is>
      </c>
      <c r="L569" s="32" t="inlineStr">
        <is>
          <t>Check: AI terms only in keywords, verify substantive AI component</t>
        </is>
      </c>
      <c r="M569" s="37" t="inlineStr">
        <is>
          <t>Analisis critico de los gemelos en el trabajo logistico portuario ("an initiative of the British Columbia Maritime Employers Association to predictively manage longshore labour dispatch"); la IA y el ML sólo como palabras clave, sin metodo (C8). Antecedente C8: medio (contexto para la discusion sobre trabajo y HITL).</t>
        </is>
      </c>
      <c r="N569" s="69" t="inlineStr">
        <is>
          <t>E3</t>
        </is>
      </c>
      <c r="O569" s="69" t="n">
        <v>9</v>
      </c>
      <c r="P569" s="69" t="inlineStr">
        <is>
          <t>Exclude</t>
        </is>
      </c>
      <c r="Q569" s="69" t="inlineStr">
        <is>
          <t>E3</t>
        </is>
      </c>
      <c r="R569" s="69" t="inlineStr">
        <is>
          <t>Analisis critico de los gemelos en el trabajo logistico portuario ("an initiative of the British Columbia Maritime Employers Association to predictively manage longshore labour dispatch"); la IA y el ML sólo como palabras clave, sin metodo (C8). Antecedente C8: medio (contexto para la discusion sobre trabajo y HITL).</t>
        </is>
      </c>
      <c r="S569" s="69" t="n"/>
    </row>
    <row r="570" ht="23.25" customHeight="1" s="17">
      <c r="A570" s="26" t="inlineStr">
        <is>
          <t>R0569</t>
        </is>
      </c>
      <c r="B570" s="26" t="inlineStr">
        <is>
          <t>Scopus + WoS</t>
        </is>
      </c>
      <c r="C570" s="26" t="inlineStr">
        <is>
          <t>Hafidi N.; Ramadany M.; Hakmaoui I.; Barkany A.E.L.</t>
        </is>
      </c>
      <c r="D570" s="26" t="n">
        <v>2025</v>
      </c>
      <c r="E570" s="27" t="inlineStr">
        <is>
          <t>Smart Supply Chain: Integrating Production and Maintenance for Agile and Resilient Manufacturing in Industry 4.0</t>
        </is>
      </c>
      <c r="F570" s="26" t="inlineStr">
        <is>
          <t>International Conference on Logistics, LOGISTIQUA</t>
        </is>
      </c>
      <c r="G570" s="26" t="inlineStr">
        <is>
          <t>Conference paper</t>
        </is>
      </c>
      <c r="H570" s="26" t="inlineStr">
        <is>
          <t>10.1109/logistiqua66323.2025.11122712</t>
        </is>
      </c>
      <c r="I570" s="26" t="inlineStr">
        <is>
          <t>TA</t>
        </is>
      </c>
      <c r="J570" s="37" t="inlineStr">
        <is>
          <t>Exclude</t>
        </is>
      </c>
      <c r="K570" s="37" t="inlineStr">
        <is>
          <t>No digital twin/model</t>
        </is>
      </c>
      <c r="L570" s="32" t="inlineStr">
        <is>
          <t>Check: AI terms only in keywords, verify substantive AI component</t>
        </is>
      </c>
      <c r="M570" s="37" t="inlineStr">
        <is>
          <t>Modelo conceptual de coordinacion produccion-mantenimiento; el gemelo y la IA sólo en la lista de tecnologias ("By integrating technologies such as IoT, AI, digital twins and blockchain"), C1.</t>
        </is>
      </c>
      <c r="N570" s="69" t="inlineStr">
        <is>
          <t>E1</t>
        </is>
      </c>
      <c r="O570" s="69" t="n">
        <v>9</v>
      </c>
      <c r="P570" s="69" t="inlineStr">
        <is>
          <t>Exclude</t>
        </is>
      </c>
      <c r="Q570" s="69" t="inlineStr">
        <is>
          <t>E1</t>
        </is>
      </c>
      <c r="R570" s="69" t="inlineStr">
        <is>
          <t>Modelo conceptual de coordinacion produccion-mantenimiento; el gemelo y la IA sólo en la lista de tecnologias ("By integrating technologies such as IoT, AI, digital twins and blockchain"), C1.</t>
        </is>
      </c>
      <c r="S570" s="69" t="n"/>
    </row>
    <row r="571" ht="23.25" customHeight="1" s="17">
      <c r="A571" s="26" t="inlineStr">
        <is>
          <t>R0570</t>
        </is>
      </c>
      <c r="B571" s="26" t="inlineStr">
        <is>
          <t>Scopus</t>
        </is>
      </c>
      <c r="C571" s="26" t="inlineStr">
        <is>
          <t>Goyal S.; Gattupalli K.K.; Rallabandi B.; Medarametla M.S.</t>
        </is>
      </c>
      <c r="D571" s="26" t="n">
        <v>2025</v>
      </c>
      <c r="E571" s="27" t="inlineStr">
        <is>
          <t>Intent-Driven Zero-Touch Provisioning in Private 5G Networks with AI/ML Automation</t>
        </is>
      </c>
      <c r="F571" s="26" t="inlineStr">
        <is>
          <t>Proceedings of 1st IEEE Uttar Pradesh Section Women in Engineering International Conference on Electrical, Electronics and Computer Engineering, UPWIECON 2025</t>
        </is>
      </c>
      <c r="G571" s="26" t="inlineStr">
        <is>
          <t>Conference paper</t>
        </is>
      </c>
      <c r="H571" s="26" t="inlineStr">
        <is>
          <t>10.1109/upwiecon67212.2025.11390129</t>
        </is>
      </c>
      <c r="I571" s="26" t="inlineStr">
        <is>
          <t>TA</t>
        </is>
      </c>
      <c r="J571" s="37" t="inlineStr">
        <is>
          <t>Exclude</t>
        </is>
      </c>
      <c r="K571" s="37" t="inlineStr">
        <is>
          <t>No supply chain scope</t>
        </is>
      </c>
      <c r="L571" s="32" t="inlineStr">
        <is>
          <t>Check: AI terms only in keywords, verify substantive AI component</t>
        </is>
      </c>
      <c r="M571" s="37" t="inlineStr">
        <is>
          <t>Aprovisionamiento sin intervencion en redes 5G privadas con automatizacion AI/ML y "simulations of Digital Twins"; el objeto es la red y la logistica sólo aparece como sector ("Industry 4.0, health, logistics, and smart residential campuses").</t>
        </is>
      </c>
      <c r="N571" s="69" t="inlineStr">
        <is>
          <t>E2</t>
        </is>
      </c>
      <c r="O571" s="69" t="n">
        <v>9</v>
      </c>
      <c r="P571" s="69" t="inlineStr">
        <is>
          <t>Exclude</t>
        </is>
      </c>
      <c r="Q571" s="69" t="inlineStr">
        <is>
          <t>E2</t>
        </is>
      </c>
      <c r="R571" s="69" t="inlineStr">
        <is>
          <t>Aprovisionamiento sin intervencion en redes 5G privadas con automatizacion AI/ML y "simulations of Digital Twins"; el objeto es la red y la logistica sólo aparece como sector ("Industry 4.0, health, logistics, and smart residential campuses").</t>
        </is>
      </c>
      <c r="S571" s="69" t="n"/>
    </row>
    <row r="572" ht="23.25" customHeight="1" s="17">
      <c r="A572" s="26" t="inlineStr">
        <is>
          <t>R0571</t>
        </is>
      </c>
      <c r="B572" s="26" t="inlineStr">
        <is>
          <t>Scopus</t>
        </is>
      </c>
      <c r="C572" s="26" t="inlineStr">
        <is>
          <t>Fuchs B.; Heesen P.</t>
        </is>
      </c>
      <c r="D572" s="26" t="n">
        <v>2025</v>
      </c>
      <c r="E572" s="27" t="inlineStr">
        <is>
          <t>Data-Driven Defragmentation: Achieving Value-Based Sarcoma and Rare Cancer Care Through Integrated Care Pathway Mapping</t>
        </is>
      </c>
      <c r="F572" s="26" t="inlineStr">
        <is>
          <t>Journal of Personalized Medicine</t>
        </is>
      </c>
      <c r="G572" s="26" t="inlineStr">
        <is>
          <t>Review</t>
        </is>
      </c>
      <c r="H572" s="26" t="inlineStr">
        <is>
          <t>10.3390/jpm15050203</t>
        </is>
      </c>
      <c r="I572" s="26" t="inlineStr">
        <is>
          <t>TA</t>
        </is>
      </c>
      <c r="J572" s="37" t="inlineStr">
        <is>
          <t>Exclude</t>
        </is>
      </c>
      <c r="K572" s="37" t="inlineStr">
        <is>
          <t>Wrong publication type</t>
        </is>
      </c>
      <c r="L572" s="32" t="inlineStr">
        <is>
          <t>Check: AI terms only in keywords, verify substantive AI component</t>
        </is>
      </c>
      <c r="M572" s="37" t="inlineStr">
        <is>
          <t>Doc type Review sobre una plataforma de vias clinicas en sarcoma; el gemelo sólo como aplicacion futura ("including digital twin technology, to predict treatment responses") y la logistica sólo como simil ("akin to a logistics system tracking an item"). Valor para snowballing: bajo.</t>
        </is>
      </c>
      <c r="N572" s="69" t="inlineStr">
        <is>
          <t>E4</t>
        </is>
      </c>
      <c r="O572" s="69" t="n">
        <v>9</v>
      </c>
      <c r="P572" s="69" t="inlineStr">
        <is>
          <t>Exclude</t>
        </is>
      </c>
      <c r="Q572" s="69" t="inlineStr">
        <is>
          <t>E4</t>
        </is>
      </c>
      <c r="R572" s="69" t="inlineStr">
        <is>
          <t>Doc type Review sobre una plataforma de vias clinicas en sarcoma; el gemelo sólo como aplicacion futura ("including digital twin technology, to predict treatment responses") y la logistica sólo como simil ("akin to a logistics system tracking an item"). Valor para snowballing: bajo.</t>
        </is>
      </c>
      <c r="S572" s="69" t="n"/>
    </row>
    <row r="573" ht="23.25" customHeight="1" s="17">
      <c r="A573" s="26" t="inlineStr">
        <is>
          <t>R0572</t>
        </is>
      </c>
      <c r="B573" s="26" t="inlineStr">
        <is>
          <t>Scopus</t>
        </is>
      </c>
      <c r="C573" s="26" t="inlineStr">
        <is>
          <t>Mahapatra R.; Sethi D.; Mishra K.</t>
        </is>
      </c>
      <c r="D573" s="26" t="n">
        <v>2025</v>
      </c>
      <c r="E573" s="27" t="inlineStr">
        <is>
          <t>Enhancing Healthcare with WBAN and Digital Twins: A Machine Learning Approach for Predictive Health Monitoring</t>
        </is>
      </c>
      <c r="F573" s="26" t="inlineStr">
        <is>
          <t>IEEE Access</t>
        </is>
      </c>
      <c r="G573" s="26" t="inlineStr">
        <is>
          <t>Article</t>
        </is>
      </c>
      <c r="H573" s="26" t="inlineStr">
        <is>
          <t>10.1109/access.2025.3584103</t>
        </is>
      </c>
      <c r="I573" s="26" t="inlineStr">
        <is>
          <t>TA</t>
        </is>
      </c>
      <c r="J573" s="37" t="inlineStr">
        <is>
          <t>Exclude</t>
        </is>
      </c>
      <c r="K573" s="37" t="inlineStr">
        <is>
          <t>No supply chain scope</t>
        </is>
      </c>
      <c r="L573" s="32" t="inlineStr">
        <is>
          <t>Check: healthcare context, supply chain scope unclear</t>
        </is>
      </c>
      <c r="M573" s="37" t="inlineStr">
        <is>
          <t>Comparacion de modelos de ML sobre datos de redes corporales con gemelos del cuerpo ("digital twins - virtual representations of the physical body"); ambito clinico, fuera del alcance de operaciones (precedente R0216).</t>
        </is>
      </c>
      <c r="N573" s="69" t="inlineStr">
        <is>
          <t>E2</t>
        </is>
      </c>
      <c r="O573" s="69" t="n">
        <v>9</v>
      </c>
      <c r="P573" s="69" t="inlineStr">
        <is>
          <t>Exclude</t>
        </is>
      </c>
      <c r="Q573" s="69" t="inlineStr">
        <is>
          <t>E2</t>
        </is>
      </c>
      <c r="R573" s="69" t="inlineStr">
        <is>
          <t>Comparacion de modelos de ML sobre datos de redes corporales con gemelos del cuerpo ("digital twins - virtual representations of the physical body"); ambito clinico, fuera del alcance de operaciones (precedente R0216).</t>
        </is>
      </c>
      <c r="S573" s="69" t="n"/>
    </row>
    <row r="574" ht="23.25" customHeight="1" s="17">
      <c r="A574" s="26" t="inlineStr">
        <is>
          <t>R0573</t>
        </is>
      </c>
      <c r="B574" s="26" t="inlineStr">
        <is>
          <t>Scopus</t>
        </is>
      </c>
      <c r="C574" s="26" t="inlineStr">
        <is>
          <t>Polimetla J.; Sindhwani R.; Bag S.</t>
        </is>
      </c>
      <c r="D574" s="26" t="n">
        <v>2025</v>
      </c>
      <c r="E574" s="27" t="inlineStr">
        <is>
          <t>A Systematic Literature Review on Digital Twins in Circular Supply Chain Management</t>
        </is>
      </c>
      <c r="F574" s="26" t="inlineStr">
        <is>
          <t>Business Strategy and the Environment</t>
        </is>
      </c>
      <c r="G574" s="26" t="inlineStr">
        <is>
          <t>Article</t>
        </is>
      </c>
      <c r="H574" s="26" t="inlineStr">
        <is>
          <t>10.1002/bse.70038</t>
        </is>
      </c>
      <c r="I574" s="26" t="inlineStr">
        <is>
          <t>TA</t>
        </is>
      </c>
      <c r="J574" s="37" t="inlineStr">
        <is>
          <t>Exclude</t>
        </is>
      </c>
      <c r="K574" s="37" t="inlineStr">
        <is>
          <t>Wrong publication type</t>
        </is>
      </c>
      <c r="L574" s="32" t="inlineStr">
        <is>
          <t>Check: AI terms only in keywords, verify substantive AI component</t>
        </is>
      </c>
      <c r="M574" s="37" t="inlineStr">
        <is>
          <t>Revision sistematica PRISMA de 109 articulos: "This study presents a systematic literature review exploring the role of Digital Twins (DTs) in Circular Supply Chain Management (CSCM)", con grupo tematico "Big Data, AI, and Circular Economy". Valor para snowballing: alto.</t>
        </is>
      </c>
      <c r="N574" s="69" t="inlineStr">
        <is>
          <t>E4</t>
        </is>
      </c>
      <c r="O574" s="69" t="n">
        <v>9</v>
      </c>
      <c r="P574" s="69" t="inlineStr">
        <is>
          <t>Exclude</t>
        </is>
      </c>
      <c r="Q574" s="69" t="inlineStr">
        <is>
          <t>E4</t>
        </is>
      </c>
      <c r="R574" s="69" t="inlineStr">
        <is>
          <t>Revision sistematica PRISMA de 109 articulos: "This study presents a systematic literature review exploring the role of Digital Twins (DTs) in Circular Supply Chain Management (CSCM)", con grupo tematico "Big Data, AI, and Circular Economy". Valor para snowballing: alto.</t>
        </is>
      </c>
      <c r="S574" s="69" t="n"/>
    </row>
    <row r="575" ht="34.5" customHeight="1" s="17">
      <c r="A575" s="26" t="inlineStr">
        <is>
          <t>R0574</t>
        </is>
      </c>
      <c r="B575" s="26" t="inlineStr">
        <is>
          <t>Scopus</t>
        </is>
      </c>
      <c r="C575" s="26" t="inlineStr">
        <is>
          <t>Fuse Y.; Murphy S.N.; Ikari H.; Takahashi A.; Fuse K.; Kawakami E.</t>
        </is>
      </c>
      <c r="D575" s="26" t="n">
        <v>2025</v>
      </c>
      <c r="E575" s="27" t="inlineStr">
        <is>
          <t>Artificial intelligence in clinical data analysis: A review of large language models, foundation models, digital twins, and allergy applications</t>
        </is>
      </c>
      <c r="F575" s="26" t="inlineStr">
        <is>
          <t>Allergology International</t>
        </is>
      </c>
      <c r="G575" s="26" t="inlineStr">
        <is>
          <t>Review</t>
        </is>
      </c>
      <c r="H575" s="26" t="inlineStr">
        <is>
          <t>10.1016/j.alit.2025.06.005</t>
        </is>
      </c>
      <c r="I575" s="26" t="inlineStr">
        <is>
          <t>TA</t>
        </is>
      </c>
      <c r="J575" s="37" t="inlineStr">
        <is>
          <t>Exclude</t>
        </is>
      </c>
      <c r="K575" s="37" t="inlineStr">
        <is>
          <t>Wrong publication type</t>
        </is>
      </c>
      <c r="L575" s="32" t="inlineStr">
        <is>
          <t>Check: healthcare context, supply chain scope unclear</t>
        </is>
      </c>
      <c r="M575" s="37" t="inlineStr">
        <is>
          <t>Revision (Doc type Review) de IA en analisis de datos clinicos: "This review provides a comprehensive overview of current machine learning techniques"; el gemelo como concepto prometedor. Valor para snowballing: bajo.</t>
        </is>
      </c>
      <c r="N575" s="69" t="inlineStr">
        <is>
          <t>E4</t>
        </is>
      </c>
      <c r="O575" s="69" t="n">
        <v>9</v>
      </c>
      <c r="P575" s="69" t="inlineStr">
        <is>
          <t>Exclude</t>
        </is>
      </c>
      <c r="Q575" s="69" t="inlineStr">
        <is>
          <t>E4</t>
        </is>
      </c>
      <c r="R575" s="69" t="inlineStr">
        <is>
          <t>Revision (Doc type Review) de IA en analisis de datos clinicos: "This review provides a comprehensive overview of current machine learning techniques"; el gemelo como concepto prometedor. Valor para snowballing: bajo.</t>
        </is>
      </c>
      <c r="S575" s="69" t="n"/>
    </row>
    <row r="576" ht="45.75" customHeight="1" s="17">
      <c r="A576" s="26" t="inlineStr">
        <is>
          <t>R0575</t>
        </is>
      </c>
      <c r="B576" s="26" t="inlineStr">
        <is>
          <t>Scopus</t>
        </is>
      </c>
      <c r="C576" s="26" t="inlineStr">
        <is>
          <t>Casado-Suela M.Á.; Torres-Macho J.; Izquierdo-Martínez A.; Ancos-Aracil C.L.; Ferreira-Burguillos L.; Madroñal-Cerezo E.; Talaván-Zañón T.; Castañeda-Mata A.; Escobar-Curbelo L.; de la Casa-Muñoz A.M.; Ruiz-Navío E.; Bustamante-Fermosel A.; Franco-Moreno A.</t>
        </is>
      </c>
      <c r="D576" s="26" t="n">
        <v>2025</v>
      </c>
      <c r="E576" s="27" t="inlineStr">
        <is>
          <t>A Digital Twin Strategy to Predict Thrombotic Recurrence in Antiphospholipid Syndrome Patients Treated with Direct Oral Anticoagulants vs. Vitamin K Antagonists Using Data from Real-World Populations</t>
        </is>
      </c>
      <c r="F576" s="26" t="inlineStr">
        <is>
          <t>Journal of Clinical Medicine</t>
        </is>
      </c>
      <c r="G576" s="26" t="inlineStr">
        <is>
          <t>Article</t>
        </is>
      </c>
      <c r="H576" s="26" t="inlineStr">
        <is>
          <t>10.3390/jcm14165716</t>
        </is>
      </c>
      <c r="I576" s="26" t="inlineStr">
        <is>
          <t>TA</t>
        </is>
      </c>
      <c r="J576" s="37" t="inlineStr">
        <is>
          <t>Exclude</t>
        </is>
      </c>
      <c r="K576" s="37" t="inlineStr">
        <is>
          <t>No supply chain scope</t>
        </is>
      </c>
      <c r="L576" s="32" t="inlineStr">
        <is>
          <t>Check: AI terms only in keywords, verify substantive AI component</t>
        </is>
      </c>
      <c r="M576" s="37" t="inlineStr">
        <is>
          <t>Gemelos clinicos para recurrencia trombotica en sindrome antifosfolipido ("Clinical data were used to generate DT via conditional generative adversarial networks (CGANs)"); ambito clinico, fuera del alcance de operaciones (precedente R0216).</t>
        </is>
      </c>
      <c r="N576" s="69" t="inlineStr">
        <is>
          <t>E2</t>
        </is>
      </c>
      <c r="O576" s="69" t="n">
        <v>9</v>
      </c>
      <c r="P576" s="69" t="inlineStr">
        <is>
          <t>Exclude</t>
        </is>
      </c>
      <c r="Q576" s="69" t="inlineStr">
        <is>
          <t>E2</t>
        </is>
      </c>
      <c r="R576" s="69" t="inlineStr">
        <is>
          <t>Gemelos clinicos para recurrencia trombotica en sindrome antifosfolipido ("Clinical data were used to generate DT via conditional generative adversarial networks (CGANs)"); ambito clinico, fuera del alcance de operaciones (precedente R0216).</t>
        </is>
      </c>
      <c r="S576" s="69" t="n"/>
    </row>
    <row r="577" ht="23.25" customHeight="1" s="17">
      <c r="A577" s="26" t="inlineStr">
        <is>
          <t>R0576</t>
        </is>
      </c>
      <c r="B577" s="26" t="inlineStr">
        <is>
          <t>Scopus + WoS</t>
        </is>
      </c>
      <c r="C577" s="26" t="inlineStr">
        <is>
          <t>Zhang Y.; Zhao L.</t>
        </is>
      </c>
      <c r="D577" s="26" t="n">
        <v>2025</v>
      </c>
      <c r="E577" s="27" t="inlineStr">
        <is>
          <t>Resilient Multi-Layer LSTM Digital Twin Framework for Athlete Logistics and Safety in 6G</t>
        </is>
      </c>
      <c r="F577" s="26" t="inlineStr">
        <is>
          <t>IEEE Communications Standards Magazine</t>
        </is>
      </c>
      <c r="G577" s="26" t="inlineStr">
        <is>
          <t>Article</t>
        </is>
      </c>
      <c r="H577" s="26" t="inlineStr">
        <is>
          <t>10.1109/mcomstd.2025.3630497</t>
        </is>
      </c>
      <c r="I577" s="26" t="inlineStr">
        <is>
          <t>TA</t>
        </is>
      </c>
      <c r="J577" s="37" t="inlineStr">
        <is>
          <t>Exclude</t>
        </is>
      </c>
      <c r="K577" s="37" t="inlineStr">
        <is>
          <t>No supply chain scope</t>
        </is>
      </c>
      <c r="L577" s="32" t="inlineStr">
        <is>
          <t>Check: AI terms only in keywords, verify substantive AI component</t>
        </is>
      </c>
      <c r="M577" s="37" t="inlineStr">
        <is>
          <t>Gemelos del deportista con IA federada ("Dynamic virtual models of the athlete (digital twins) are used to gather physiological, environmental and logistical data"); el modelo es la persona y el ambito es la gestion deportiva, no las operaciones de una cadena (precedente R0216).</t>
        </is>
      </c>
      <c r="N577" s="69" t="inlineStr">
        <is>
          <t>E2</t>
        </is>
      </c>
      <c r="O577" s="69" t="n">
        <v>9</v>
      </c>
      <c r="P577" s="69" t="inlineStr">
        <is>
          <t>Exclude</t>
        </is>
      </c>
      <c r="Q577" s="69" t="inlineStr">
        <is>
          <t>E2</t>
        </is>
      </c>
      <c r="R577" s="69" t="inlineStr">
        <is>
          <t>Gemelos del deportista con IA federada ("Dynamic virtual models of the athlete (digital twins) are used to gather physiological, environmental and logistical data"); el modelo es la persona y el ambito es la gestion deportiva, no las operaciones de una cadena (precedente R0216).</t>
        </is>
      </c>
      <c r="S577" s="69" t="n"/>
    </row>
    <row r="578" ht="23.25" customHeight="1" s="17">
      <c r="A578" s="26" t="inlineStr">
        <is>
          <t>R0577</t>
        </is>
      </c>
      <c r="B578" s="26" t="inlineStr">
        <is>
          <t>Scopus</t>
        </is>
      </c>
      <c r="C578" s="26" t="inlineStr">
        <is>
          <t>Cantrell S.A.; Margolis C.H.; Krauss M.R.; Pinon Fischer O.J.; Mavris D.N.</t>
        </is>
      </c>
      <c r="D578" s="26" t="n">
        <v>2025</v>
      </c>
      <c r="E578" s="27" t="inlineStr">
        <is>
          <t>Digital Twins in Sustainment-Oriented Wargaming</t>
        </is>
      </c>
      <c r="F578" s="26" t="inlineStr">
        <is>
          <t>AIAA Science and Technology Forum and Exposition, AIAA SciTech Forum 2025</t>
        </is>
      </c>
      <c r="G578" s="26" t="inlineStr">
        <is>
          <t>Conference paper</t>
        </is>
      </c>
      <c r="H578" s="26" t="inlineStr">
        <is>
          <t>10.2514/6.2025-0706</t>
        </is>
      </c>
      <c r="I578" s="26" t="inlineStr">
        <is>
          <t>TA</t>
        </is>
      </c>
      <c r="J578" s="37" t="inlineStr">
        <is>
          <t>Exclude</t>
        </is>
      </c>
      <c r="K578" s="37" t="inlineStr">
        <is>
          <t>No AI/ML component</t>
        </is>
      </c>
      <c r="L578" s="32" t="inlineStr">
        <is>
          <t>Check: AI terms only in keywords, verify substantive AI component</t>
        </is>
      </c>
      <c r="M578" s="37" t="inlineStr">
        <is>
          <t>Gemelos de aeronaves para logistica militar sostenida, con entorno de modelado y simulacion y 16,000 casos ("The effects were evaluated over 16,000 cases in a Design of Experiments"); la IA sólo como palabra clave de indice y los "surrogate models" no se declaran de aprendizaje (C8). Los modelos sustitutos son ayuda de analisis de los investigadores, no componente del gemelo (como R0523). Antecedente C8: alto.</t>
        </is>
      </c>
      <c r="N578" s="69" t="inlineStr">
        <is>
          <t>E3</t>
        </is>
      </c>
      <c r="O578" s="69" t="n">
        <v>9</v>
      </c>
      <c r="P578" s="69" t="inlineStr">
        <is>
          <t>Exclude</t>
        </is>
      </c>
      <c r="Q578" s="69" t="inlineStr">
        <is>
          <t>E3</t>
        </is>
      </c>
      <c r="R578" s="69" t="inlineStr">
        <is>
          <t>Gemelos de aeronaves para logistica militar sostenida, con entorno de modelado y simulacion y 16,000 casos ("The effects were evaluated over 16,000 cases in a Design of Experiments"); la IA sólo como palabra clave de indice y los "surrogate models" no se declaran de aprendizaje (C8). Los modelos sustitutos son ayuda de analisis de los investigadores, no componente del gemelo (como R0523). Antecedente C8: alto.</t>
        </is>
      </c>
      <c r="S578" s="69" t="n"/>
    </row>
    <row r="579" ht="23.25" customHeight="1" s="17">
      <c r="A579" s="26" t="inlineStr">
        <is>
          <t>R0578</t>
        </is>
      </c>
      <c r="B579" s="26" t="inlineStr">
        <is>
          <t>Scopus + WoS</t>
        </is>
      </c>
      <c r="C579" s="26" t="inlineStr">
        <is>
          <t>B. A.; Joseph G.</t>
        </is>
      </c>
      <c r="D579" s="26" t="n">
        <v>2025</v>
      </c>
      <c r="E579" s="27" t="inlineStr">
        <is>
          <t>Embracing resilience in pharmaceutical manufacturing: “digital twins” – forging a resilient path in the VUCA maze</t>
        </is>
      </c>
      <c r="F579" s="26" t="inlineStr">
        <is>
          <t>International Journal of Pharmaceutical and Healthcare Marketing</t>
        </is>
      </c>
      <c r="G579" s="26" t="inlineStr">
        <is>
          <t>Conference paper</t>
        </is>
      </c>
      <c r="H579" s="26" t="inlineStr">
        <is>
          <t>10.1108/ijphm-03-2024-0024</t>
        </is>
      </c>
      <c r="I579" s="26" t="inlineStr">
        <is>
          <t>TA</t>
        </is>
      </c>
      <c r="J579" s="37" t="inlineStr">
        <is>
          <t>Exclude</t>
        </is>
      </c>
      <c r="K579" s="37" t="inlineStr">
        <is>
          <t>Wrong publication type</t>
        </is>
      </c>
      <c r="L579" s="32" t="inlineStr">
        <is>
          <t>Check: healthcare context, supply chain scope unclear</t>
        </is>
      </c>
      <c r="M579" s="37" t="inlineStr">
        <is>
          <t>Sintesis cualitativa basada en revision ("drawing insights from an extensive literature review on pharmaceutical manufacturing resilience"); gemelos en produccion de vacunas y diversificacion de cadena. Valor para snowballing: medio.</t>
        </is>
      </c>
      <c r="N579" s="69" t="inlineStr">
        <is>
          <t>E4</t>
        </is>
      </c>
      <c r="O579" s="69" t="n">
        <v>9</v>
      </c>
      <c r="P579" s="69" t="inlineStr">
        <is>
          <t>Exclude</t>
        </is>
      </c>
      <c r="Q579" s="69" t="inlineStr">
        <is>
          <t>E4</t>
        </is>
      </c>
      <c r="R579" s="69" t="inlineStr">
        <is>
          <t>Sintesis cualitativa basada en revision ("drawing insights from an extensive literature review on pharmaceutical manufacturing resilience"); gemelos en produccion de vacunas y diversificacion de cadena. Valor para snowballing: medio.</t>
        </is>
      </c>
      <c r="S579" s="69" t="n"/>
    </row>
    <row r="580" ht="23.25" customHeight="1" s="17">
      <c r="A580" s="26" t="inlineStr">
        <is>
          <t>R0579</t>
        </is>
      </c>
      <c r="B580" s="26" t="inlineStr">
        <is>
          <t>Scopus</t>
        </is>
      </c>
      <c r="C580" s="26" t="inlineStr">
        <is>
          <t>Rastogi S.; Shah R.; Kumar S.; Vijh S.</t>
        </is>
      </c>
      <c r="D580" s="26" t="n">
        <v>2025</v>
      </c>
      <c r="E580" s="27" t="inlineStr">
        <is>
          <t>Peer Matching for Patients Using Digital Twin-Inspired Live Programmable Interfaces</t>
        </is>
      </c>
      <c r="F580" s="26" t="inlineStr">
        <is>
          <t>2025 International Conference on Emerging Technologies and Innovation for Sustainability, EmergIN 2025</t>
        </is>
      </c>
      <c r="G580" s="26" t="inlineStr">
        <is>
          <t>Conference paper</t>
        </is>
      </c>
      <c r="H580" s="26" t="inlineStr">
        <is>
          <t>10.1109/emergin67762.2025.11450839</t>
        </is>
      </c>
      <c r="I580" s="26" t="inlineStr">
        <is>
          <t>TA</t>
        </is>
      </c>
      <c r="J580" s="37" t="inlineStr">
        <is>
          <t>Exclude</t>
        </is>
      </c>
      <c r="K580" s="37" t="inlineStr">
        <is>
          <t>No supply chain scope</t>
        </is>
      </c>
      <c r="L580" s="32" t="inlineStr">
        <is>
          <t>Check: healthcare context, supply chain scope unclear</t>
        </is>
      </c>
      <c r="M580" s="37" t="inlineStr">
        <is>
          <t>Emparejamiento de pacientes con "Personal Digital Twins (PDTs), explainable artificial intelligence, and intelligent peer matchmaking"; ambito clinico y de apoyo social (precedente R0216).</t>
        </is>
      </c>
      <c r="N580" s="69" t="inlineStr">
        <is>
          <t>E2</t>
        </is>
      </c>
      <c r="O580" s="69" t="n">
        <v>9</v>
      </c>
      <c r="P580" s="69" t="inlineStr">
        <is>
          <t>Exclude</t>
        </is>
      </c>
      <c r="Q580" s="69" t="inlineStr">
        <is>
          <t>E2</t>
        </is>
      </c>
      <c r="R580" s="69" t="inlineStr">
        <is>
          <t>Emparejamiento de pacientes con "Personal Digital Twins (PDTs), explainable artificial intelligence, and intelligent peer matchmaking"; ambito clinico y de apoyo social (precedente R0216).</t>
        </is>
      </c>
      <c r="S580" s="69" t="n"/>
    </row>
    <row r="581" ht="23.25" customHeight="1" s="17">
      <c r="A581" s="26" t="inlineStr">
        <is>
          <t>R0580</t>
        </is>
      </c>
      <c r="B581" s="26" t="inlineStr">
        <is>
          <t>Scopus</t>
        </is>
      </c>
      <c r="C581" s="26" t="inlineStr">
        <is>
          <t>Arora M.; Sethi S.; Ahluwalia A.; Udayai K.; Aggarwal N.; Ahmad V.</t>
        </is>
      </c>
      <c r="D581" s="26" t="n">
        <v>2025</v>
      </c>
      <c r="E581" s="27" t="inlineStr">
        <is>
          <t>A Multi-Objective Framework for Inventory Digitalization Using AI and IoT</t>
        </is>
      </c>
      <c r="F581" s="26" t="inlineStr">
        <is>
          <t>2025 IEEE 5th International Conference on ICT in Business Industry and Government, ICTBIG 2025</t>
        </is>
      </c>
      <c r="G581" s="26" t="inlineStr">
        <is>
          <t>Conference paper</t>
        </is>
      </c>
      <c r="H581" s="26" t="inlineStr">
        <is>
          <t>10.1109/ictbig68706.2025.11323600</t>
        </is>
      </c>
      <c r="I581" s="26" t="inlineStr">
        <is>
          <t>TA</t>
        </is>
      </c>
      <c r="J581" s="37" t="inlineStr">
        <is>
          <t>Exclude</t>
        </is>
      </c>
      <c r="K581" s="37" t="inlineStr">
        <is>
          <t>No digital twin/model</t>
        </is>
      </c>
      <c r="L581" s="32" t="inlineStr">
        <is>
          <t>Check: AI terms only in keywords, verify substantive AI component</t>
        </is>
      </c>
      <c r="M581" s="37" t="inlineStr">
        <is>
          <t>Marco multiobjetivo de digitalizacion de inventario con IA e IoT (algoritmos geneticos, NSGA-II); el gemelo sólo como combinacion futura ("potential future combinations of the proposed system with other emerging technologies that include blockchain, 5G, digital twins"), C1.</t>
        </is>
      </c>
      <c r="N581" s="69" t="inlineStr">
        <is>
          <t>E1</t>
        </is>
      </c>
      <c r="O581" s="69" t="n">
        <v>9</v>
      </c>
      <c r="P581" s="69" t="inlineStr">
        <is>
          <t>Exclude</t>
        </is>
      </c>
      <c r="Q581" s="69" t="inlineStr">
        <is>
          <t>E1</t>
        </is>
      </c>
      <c r="R581" s="69" t="inlineStr">
        <is>
          <t>Marco multiobjetivo de digitalizacion de inventario con IA e IoT (algoritmos geneticos, NSGA-II); el gemelo sólo como combinacion futura ("potential future combinations of the proposed system with other emerging technologies that include blockchain, 5G, digital twins"), C1.</t>
        </is>
      </c>
      <c r="S581" s="69" t="n"/>
    </row>
    <row r="582" ht="23.25" customHeight="1" s="17">
      <c r="A582" s="26" t="inlineStr">
        <is>
          <t>R0581</t>
        </is>
      </c>
      <c r="B582" s="26" t="inlineStr">
        <is>
          <t>Scopus</t>
        </is>
      </c>
      <c r="C582" s="26" t="inlineStr">
        <is>
          <t>Espinoza-Vinces C.; Martínez M.C.; Atorrasagasti-Villar A.; Rodríguez M.D.M.G.; Ezpeleta D.; Irimia P.</t>
        </is>
      </c>
      <c r="D582" s="26" t="n">
        <v>2025</v>
      </c>
      <c r="E582" s="27" t="inlineStr">
        <is>
          <t>Artificial intelligence in headache medicine: between automation and the doctor-patient relationship. A systematic review</t>
        </is>
      </c>
      <c r="F582" s="26" t="inlineStr">
        <is>
          <t>Journal of Headache and Pain</t>
        </is>
      </c>
      <c r="G582" s="26" t="inlineStr">
        <is>
          <t>Review</t>
        </is>
      </c>
      <c r="H582" s="26" t="inlineStr">
        <is>
          <t>10.1186/s10194-025-02143-8</t>
        </is>
      </c>
      <c r="I582" s="26" t="inlineStr">
        <is>
          <t>TA</t>
        </is>
      </c>
      <c r="J582" s="37" t="inlineStr">
        <is>
          <t>Exclude</t>
        </is>
      </c>
      <c r="K582" s="37" t="inlineStr">
        <is>
          <t>Wrong publication type</t>
        </is>
      </c>
      <c r="L582" s="32" t="inlineStr">
        <is>
          <t>Check: healthcare context, supply chain scope unclear</t>
        </is>
      </c>
      <c r="M582" s="37" t="inlineStr">
        <is>
          <t>Revision sistematica PRISMA de IA en cefaleas ("A systematic literature search was conducted"); gemelos entre las tecnologias emergentes. Valor para snowballing: bajo.</t>
        </is>
      </c>
      <c r="N582" s="69" t="inlineStr">
        <is>
          <t>E4</t>
        </is>
      </c>
      <c r="O582" s="69" t="n">
        <v>9</v>
      </c>
      <c r="P582" s="69" t="inlineStr">
        <is>
          <t>Exclude</t>
        </is>
      </c>
      <c r="Q582" s="69" t="inlineStr">
        <is>
          <t>E4</t>
        </is>
      </c>
      <c r="R582" s="69" t="inlineStr">
        <is>
          <t>Revision sistematica PRISMA de IA en cefaleas ("A systematic literature search was conducted"); gemelos entre las tecnologias emergentes. Valor para snowballing: bajo.</t>
        </is>
      </c>
      <c r="S582" s="69" t="n"/>
    </row>
    <row r="583" ht="23.25" customHeight="1" s="17">
      <c r="A583" s="26" t="inlineStr">
        <is>
          <t>R0582</t>
        </is>
      </c>
      <c r="B583" s="26" t="inlineStr">
        <is>
          <t>Scopus + WoS</t>
        </is>
      </c>
      <c r="C583" s="26" t="inlineStr">
        <is>
          <t>Boopathy P.; Deepa N.; Maddikunta P.K.R.; Victor N.; Gadekallu T.R.; Yenduri G.; Wang W.; Pham Q.-V.; Huynh-The T.; Liyanage M.</t>
        </is>
      </c>
      <c r="D583" s="26" t="n">
        <v>2025</v>
      </c>
      <c r="E583" s="27" t="inlineStr">
        <is>
          <t>The Metaverse for Industry 5.0 in NextG Communications: Potential Applications and Future Challenges</t>
        </is>
      </c>
      <c r="F583" s="26" t="inlineStr">
        <is>
          <t>IEEE Open Journal of the Computer Society</t>
        </is>
      </c>
      <c r="G583" s="26" t="inlineStr">
        <is>
          <t>Article</t>
        </is>
      </c>
      <c r="H583" s="26" t="inlineStr">
        <is>
          <t>10.1109/ojcs.2024.3497335</t>
        </is>
      </c>
      <c r="I583" s="26" t="inlineStr">
        <is>
          <t>TA</t>
        </is>
      </c>
      <c r="J583" s="37" t="inlineStr">
        <is>
          <t>Exclude</t>
        </is>
      </c>
      <c r="K583" s="37" t="inlineStr">
        <is>
          <t>Wrong publication type</t>
        </is>
      </c>
      <c r="L583" s="32" t="inlineStr">
        <is>
          <t>Check: healthcare context, supply chain scope unclear</t>
        </is>
      </c>
      <c r="M583" s="37" t="inlineStr">
        <is>
          <t>Revision del metaverso industrial: "In this review, we present an overview of the metaverse and Industry 5.0"; gemelos entre las tecnologias habilitadoras y la cadena como uno de los sectores. Valor para snowballing: medio (ajustado en la auditoría final 2026-09-06, antes bajo: Industria 5.0 con eje humano-máquina y cadena como sector nombrado).</t>
        </is>
      </c>
      <c r="N583" s="69" t="inlineStr">
        <is>
          <t>E4</t>
        </is>
      </c>
      <c r="O583" s="69" t="n">
        <v>9</v>
      </c>
      <c r="P583" s="69" t="inlineStr">
        <is>
          <t>Exclude</t>
        </is>
      </c>
      <c r="Q583" s="69" t="inlineStr">
        <is>
          <t>E4</t>
        </is>
      </c>
      <c r="R583" s="69" t="inlineStr">
        <is>
          <t>Revision del metaverso industrial: "In this review, we present an overview of the metaverse and Industry 5.0"; gemelos entre las tecnologias habilitadoras y la cadena como uno de los sectores. Valor para snowballing: bajo.</t>
        </is>
      </c>
      <c r="S583" s="69" t="n"/>
    </row>
    <row r="584" ht="34.5" customHeight="1" s="17">
      <c r="A584" s="26" t="inlineStr">
        <is>
          <t>R0583</t>
        </is>
      </c>
      <c r="B584" s="26" t="inlineStr">
        <is>
          <t>Scopus</t>
        </is>
      </c>
      <c r="C584" s="26" t="inlineStr">
        <is>
          <t>Giugliano S.; Basile I.; Sannino G.</t>
        </is>
      </c>
      <c r="D584" s="26" t="n">
        <v>2025</v>
      </c>
      <c r="E584" s="27" t="inlineStr">
        <is>
          <t>Interpretable vs. Post-Hoc Explained Models for Digital Twin Applications in Clinical Forecasting: A Multiple Sclerosis Case Study</t>
        </is>
      </c>
      <c r="F584" s="26" t="inlineStr">
        <is>
          <t>Procedia Computer Science</t>
        </is>
      </c>
      <c r="G584" s="26" t="inlineStr">
        <is>
          <t>Conference paper</t>
        </is>
      </c>
      <c r="H584" s="26" t="inlineStr">
        <is>
          <t>10.1016/j.procs.2025.10.070</t>
        </is>
      </c>
      <c r="I584" s="26" t="inlineStr">
        <is>
          <t>TA</t>
        </is>
      </c>
      <c r="J584" s="37" t="inlineStr">
        <is>
          <t>Exclude</t>
        </is>
      </c>
      <c r="K584" s="37" t="inlineStr">
        <is>
          <t>No supply chain scope</t>
        </is>
      </c>
      <c r="L584" s="32" t="inlineStr">
        <is>
          <t>Check: healthcare context, supply chain scope unclear</t>
        </is>
      </c>
      <c r="M584" s="37" t="inlineStr">
        <is>
          <t>Comparacion de modelos interpretables y explicaciones post-hoc para gemelos clinicos en esclerosis multiple ("aiming to improve the predictive capacity of DTs regarding the progression of Multiple Sclerosis"); ambito clinico (precedente R0216). Nota: metodologicamente relevante para explicabilidad.</t>
        </is>
      </c>
      <c r="N584" s="69" t="inlineStr">
        <is>
          <t>E2</t>
        </is>
      </c>
      <c r="O584" s="69" t="n">
        <v>9</v>
      </c>
      <c r="P584" s="69" t="inlineStr">
        <is>
          <t>Exclude</t>
        </is>
      </c>
      <c r="Q584" s="69" t="inlineStr">
        <is>
          <t>E2</t>
        </is>
      </c>
      <c r="R584" s="69" t="inlineStr">
        <is>
          <t>Comparacion de modelos interpretables y explicaciones post-hoc para gemelos clinicos en esclerosis multiple ("aiming to improve the predictive capacity of DTs regarding the progression of Multiple Sclerosis"); ambito clinico (precedente R0216). Nota: metodologicamente relevante para explicabilidad.</t>
        </is>
      </c>
      <c r="S584" s="69" t="n"/>
    </row>
    <row r="585" ht="23.25" customHeight="1" s="17">
      <c r="A585" s="26" t="inlineStr">
        <is>
          <t>R0584</t>
        </is>
      </c>
      <c r="B585" s="26" t="inlineStr">
        <is>
          <t>Scopus + WoS</t>
        </is>
      </c>
      <c r="C585" s="26" t="inlineStr">
        <is>
          <t>Abdelnabi A.B.; Rabadi G.</t>
        </is>
      </c>
      <c r="D585" s="26" t="n">
        <v>2025</v>
      </c>
      <c r="E585" s="27" t="inlineStr">
        <is>
          <t>Real-Time Medical Aid Delivery: A Digital Twin Approach with Dynamic Vehicle Routing Problem</t>
        </is>
      </c>
      <c r="F585" s="26" t="inlineStr">
        <is>
          <t>2025 IEEE 5th International Conference on Digital Twins and Parallel Intelligence, DTPI 2025</t>
        </is>
      </c>
      <c r="G585" s="26" t="inlineStr">
        <is>
          <t>Conference paper</t>
        </is>
      </c>
      <c r="H585" s="26" t="inlineStr">
        <is>
          <t>10.1109/dtpi65196.2025.11088823</t>
        </is>
      </c>
      <c r="I585" s="26" t="inlineStr">
        <is>
          <t>TA</t>
        </is>
      </c>
      <c r="J585" s="37" t="inlineStr">
        <is>
          <t>Include</t>
        </is>
      </c>
      <c r="K585" s="37" t="n"/>
      <c r="L585" s="32" t="inlineStr">
        <is>
          <t>Check: AI terms only in keywords, verify substantive AI component</t>
        </is>
      </c>
      <c r="M585" s="37" t="inlineStr">
        <is>
          <t>Gemelo con problema dinamico de ruteo para entrega de ayuda medica: "a novel framework that integrates Digital Twins (DTs) with Dynamic Vehicle Routing Problem (DVRP) models to enhance real-time medical aid delivery" donde "By integrating DTs, real-time data, and AI-driven optimization methods" describe el propio marco, con resultados de ejecucion ("request satisfaction rate, total distance, and vehicle utilization"); el modelo es el sistema de distribucion, no el paciente (regla R0521).</t>
        </is>
      </c>
      <c r="N585" s="69" t="inlineStr">
        <is>
          <t>I</t>
        </is>
      </c>
      <c r="O585" s="69" t="n">
        <v>9</v>
      </c>
      <c r="P585" s="69" t="inlineStr">
        <is>
          <t>Include</t>
        </is>
      </c>
      <c r="Q585" s="69" t="inlineStr">
        <is>
          <t>I</t>
        </is>
      </c>
      <c r="R585" s="69" t="inlineStr">
        <is>
          <t>Gemelo con problema dinamico de ruteo para entrega de ayuda medica: "a novel framework that integrates Digital Twins (DTs) with Dynamic Vehicle Routing Problem (DVRP) models to enhance real-time medical aid delivery" donde "By integrating DTs, real-time data, and AI-driven optimization methods" describe el propio marco, con resultados de ejecucion ("request satisfaction rate, total distance, and vehicle utilization"); el modelo es el sistema de distribucion, no el paciente (regla R0521).</t>
        </is>
      </c>
      <c r="S585" s="69" t="n"/>
    </row>
    <row r="586" ht="23.25" customHeight="1" s="17">
      <c r="A586" s="26" t="inlineStr">
        <is>
          <t>R0585</t>
        </is>
      </c>
      <c r="B586" s="26" t="inlineStr">
        <is>
          <t>Scopus</t>
        </is>
      </c>
      <c r="C586" s="26" t="inlineStr">
        <is>
          <t>Wu J.; Ren J.; Ravn O.; Nalpantidis L.</t>
        </is>
      </c>
      <c r="D586" s="26" t="n">
        <v>2025</v>
      </c>
      <c r="E586" s="27" t="inlineStr">
        <is>
          <t>Implications for Using Digital Twins to Enhance Safety in Warehouse 4.0 Design</t>
        </is>
      </c>
      <c r="F586" s="26" t="inlineStr">
        <is>
          <t>Chemical Engineering Transactions</t>
        </is>
      </c>
      <c r="G586" s="26" t="inlineStr">
        <is>
          <t>Article</t>
        </is>
      </c>
      <c r="H586" s="26" t="inlineStr">
        <is>
          <t>10.3303/cet25116001</t>
        </is>
      </c>
      <c r="I586" s="26" t="inlineStr">
        <is>
          <t>TA</t>
        </is>
      </c>
      <c r="J586" s="37" t="inlineStr">
        <is>
          <t>Exclude</t>
        </is>
      </c>
      <c r="K586" s="37" t="inlineStr">
        <is>
          <t>No AI/ML component</t>
        </is>
      </c>
      <c r="L586" s="32" t="inlineStr">
        <is>
          <t>Check: AI terms only in keywords, verify substantive AI component</t>
        </is>
      </c>
      <c r="M586" s="37" t="inlineStr">
        <is>
          <t>Articulo de posicion sobre gemelos y seguridad en almacenes ("Digital twin (DT) technology is one of the technologies that can be leveraged to enhance safety in warehouse 4.0 design"), con tres preguntas de investigacion y sin sistema aplicado; la IA sólo como palabra clave de autor (C8). Antecedente C8: medio (seguridad y colaboracion humano-robot en almacenes).</t>
        </is>
      </c>
      <c r="N586" s="69" t="inlineStr">
        <is>
          <t>E3</t>
        </is>
      </c>
      <c r="O586" s="69" t="n">
        <v>9</v>
      </c>
      <c r="P586" s="69" t="inlineStr">
        <is>
          <t>Exclude</t>
        </is>
      </c>
      <c r="Q586" s="69" t="inlineStr">
        <is>
          <t>E3</t>
        </is>
      </c>
      <c r="R586" s="69" t="inlineStr">
        <is>
          <t>Articulo de posicion sobre gemelos y seguridad en almacenes ("Digital twin (DT) technology is one of the technologies that can be leveraged to enhance safety in warehouse 4.0 design"), con tres preguntas de investigacion y sin sistema aplicado; la IA sólo como palabra clave de autor (C8). Antecedente C8: medio (seguridad y colaboracion humano-robot en almacenes).</t>
        </is>
      </c>
      <c r="S586" s="69" t="n"/>
    </row>
    <row r="587" ht="23.25" customHeight="1" s="17">
      <c r="A587" s="26" t="inlineStr">
        <is>
          <t>R0586</t>
        </is>
      </c>
      <c r="B587" s="26" t="inlineStr">
        <is>
          <t>Scopus</t>
        </is>
      </c>
      <c r="C587" s="26" t="inlineStr">
        <is>
          <t>Morgan K.R.; Guerra-Zubiaga D.A.; Richards G.</t>
        </is>
      </c>
      <c r="D587" s="26" t="n">
        <v>2025</v>
      </c>
      <c r="E587" s="27" t="inlineStr">
        <is>
          <t>Smart Packaging Optimization Using Digital Twins and Industrial 5.0 With Human Robot Interaction</t>
        </is>
      </c>
      <c r="F587" s="26" t="inlineStr">
        <is>
          <t>ASME International Mechanical Engineering Congress and Exposition, Proceedings (IMECE)</t>
        </is>
      </c>
      <c r="G587" s="26" t="inlineStr">
        <is>
          <t>Conference paper</t>
        </is>
      </c>
      <c r="H587" s="26" t="inlineStr">
        <is>
          <t>10.1115/imece2025-165682</t>
        </is>
      </c>
      <c r="I587" s="26" t="inlineStr">
        <is>
          <t>TA</t>
        </is>
      </c>
      <c r="J587" s="37" t="inlineStr">
        <is>
          <t>Exclude</t>
        </is>
      </c>
      <c r="K587" s="37" t="inlineStr">
        <is>
          <t>No supply chain scope</t>
        </is>
      </c>
      <c r="L587" s="32" t="inlineStr">
        <is>
          <t>Check: AI terms only in keywords, verify substantive AI component</t>
        </is>
      </c>
      <c r="M587" s="37" t="inlineStr">
        <is>
          <t>Optimizacion de una linea de empaque robotizada con gemelo y control por arbol de decision ("Human-in-the-loop strategies were integrated using IIoT sensor logic and decision-tree-based control"); el ambito es la celda de empaque y la logistica sólo aparece en la frase final (regla Make, C5). Notas: muy pertinente a HITL, y el texto completo podria cambiarlo porque hay "future deployment planned at Amazon", es decir un centro de distribucion.</t>
        </is>
      </c>
      <c r="N587" s="69" t="inlineStr">
        <is>
          <t>E2</t>
        </is>
      </c>
      <c r="O587" s="69" t="n">
        <v>9</v>
      </c>
      <c r="P587" s="69" t="inlineStr">
        <is>
          <t>Exclude</t>
        </is>
      </c>
      <c r="Q587" s="69" t="inlineStr">
        <is>
          <t>E2</t>
        </is>
      </c>
      <c r="R587" s="69" t="inlineStr">
        <is>
          <t>Optimizacion de una linea de empaque robotizada con gemelo y control por arbol de decision ("Human-in-the-loop strategies were integrated using IIoT sensor logic and decision-tree-based control"); el ambito es la celda de empaque y la logistica sólo aparece en la frase final (regla Make, C5). Notas: muy pertinente a HITL, y el texto completo podria cambiarlo porque hay "future deployment planned at Amazon", es decir un centro de distribucion.</t>
        </is>
      </c>
      <c r="S587" s="69" t="n"/>
    </row>
    <row r="588" ht="23.25" customHeight="1" s="17">
      <c r="A588" s="26" t="inlineStr">
        <is>
          <t>R0587</t>
        </is>
      </c>
      <c r="B588" s="26" t="inlineStr">
        <is>
          <t>Scopus</t>
        </is>
      </c>
      <c r="C588" s="26" t="inlineStr">
        <is>
          <t>Adam D.</t>
        </is>
      </c>
      <c r="D588" s="26" t="n">
        <v>2025</v>
      </c>
      <c r="E588" s="27" t="inlineStr">
        <is>
          <t>Digital twins come to the life sciences</t>
        </is>
      </c>
      <c r="F588" s="26" t="inlineStr">
        <is>
          <t>Proceedings of the National Academy of Sciences of the United States of America</t>
        </is>
      </c>
      <c r="G588" s="26" t="inlineStr">
        <is>
          <t>Article</t>
        </is>
      </c>
      <c r="H588" s="26" t="inlineStr">
        <is>
          <t>10.1073/pnas.2532645122</t>
        </is>
      </c>
      <c r="I588" s="26" t="inlineStr">
        <is>
          <t>TA</t>
        </is>
      </c>
      <c r="J588" s="37" t="inlineStr">
        <is>
          <t>Exclude</t>
        </is>
      </c>
      <c r="K588" s="37" t="inlineStr">
        <is>
          <t>No supply chain scope</t>
        </is>
      </c>
      <c r="L588" s="32" t="inlineStr">
        <is>
          <t>Check: AI terms only in keywords, verify substantive AI component</t>
        </is>
      </c>
      <c r="M588" s="37" t="inlineStr">
        <is>
          <t>Nota de PNAS sin resumen disponible ("[No abstract available]"); el titulo y las palabras clave de indice situan el trabajo en biomedicina ("electrocardiogram", "glucose metabolism"), fuera del alcance de operaciones; "supply chain" figura sólo como palabra clave de indice suelta (C1).</t>
        </is>
      </c>
      <c r="N588" s="69" t="inlineStr">
        <is>
          <t>E2</t>
        </is>
      </c>
      <c r="O588" s="69" t="n">
        <v>9</v>
      </c>
      <c r="P588" s="69" t="inlineStr">
        <is>
          <t>Exclude</t>
        </is>
      </c>
      <c r="Q588" s="69" t="inlineStr">
        <is>
          <t>E2</t>
        </is>
      </c>
      <c r="R588" s="69" t="inlineStr">
        <is>
          <t>Nota de PNAS sin resumen disponible ("[No abstract available]"); el titulo y las palabras clave de indice situan el trabajo en biomedicina ("electrocardiogram", "glucose metabolism"), fuera del alcance de operaciones; "supply chain" figura sólo como palabra clave de indice suelta (C1).</t>
        </is>
      </c>
      <c r="S588" s="69" t="n"/>
    </row>
    <row r="589" ht="23.25" customHeight="1" s="17">
      <c r="A589" s="26" t="inlineStr">
        <is>
          <t>R0588</t>
        </is>
      </c>
      <c r="B589" s="26" t="inlineStr">
        <is>
          <t>WoS</t>
        </is>
      </c>
      <c r="C589" s="26" t="inlineStr">
        <is>
          <t>Roman, EA; Stere, AS; Rosca, E; Radu, AV; Codroiu, D; Anamaria, I</t>
        </is>
      </c>
      <c r="D589" s="26" t="n">
        <v>2025</v>
      </c>
      <c r="E589" s="27" t="inlineStr">
        <is>
          <t>State of the Art of Digital Twins in Improving Supply Chain Resilience</t>
        </is>
      </c>
      <c r="F589" s="26" t="inlineStr">
        <is>
          <t>LOGISTICS-BASEL</t>
        </is>
      </c>
      <c r="G589" s="26" t="inlineStr">
        <is>
          <t>Article</t>
        </is>
      </c>
      <c r="H589" s="26" t="inlineStr">
        <is>
          <t>10.3390/logistics9010022</t>
        </is>
      </c>
      <c r="I589" s="26" t="inlineStr">
        <is>
          <t>TA</t>
        </is>
      </c>
      <c r="J589" s="37" t="inlineStr">
        <is>
          <t>Exclude</t>
        </is>
      </c>
      <c r="K589" s="37" t="inlineStr">
        <is>
          <t>Wrong publication type</t>
        </is>
      </c>
      <c r="L589" s="32" t="inlineStr">
        <is>
          <t>Check: AI terms only in keywords, verify substantive AI component</t>
        </is>
      </c>
      <c r="M589" s="37" t="inlineStr">
        <is>
          <t>Revision del estado del arte: "This paper aims to provide a comprehensive review of the state of the art in digital twin applications within supply chains", con palabra clave de autor "systematic literature review". Valor para snowballing: alto.</t>
        </is>
      </c>
      <c r="N589" s="69" t="inlineStr">
        <is>
          <t>E4</t>
        </is>
      </c>
      <c r="O589" s="69" t="n">
        <v>9</v>
      </c>
      <c r="P589" s="69" t="inlineStr">
        <is>
          <t>Exclude</t>
        </is>
      </c>
      <c r="Q589" s="69" t="inlineStr">
        <is>
          <t>E4</t>
        </is>
      </c>
      <c r="R589" s="69" t="inlineStr">
        <is>
          <t>Revision del estado del arte: "This paper aims to provide a comprehensive review of the state of the art in digital twin applications within supply chains", con palabra clave de autor "systematic literature review". Valor para snowballing: alto.</t>
        </is>
      </c>
      <c r="S589" s="69" t="n"/>
    </row>
    <row r="590" ht="34.5" customHeight="1" s="17">
      <c r="A590" s="26" t="inlineStr">
        <is>
          <t>R0589</t>
        </is>
      </c>
      <c r="B590" s="26" t="inlineStr">
        <is>
          <t>WoS</t>
        </is>
      </c>
      <c r="C590" s="26" t="inlineStr">
        <is>
          <t>Shang, W; Wang, YJ; Zhu, AD; Chen, Y; Fu, PH; Li, XL; Zhu, LF; Sheng, JQ; Zhang, B; Yue, J</t>
        </is>
      </c>
      <c r="D590" s="26" t="n">
        <v>2025</v>
      </c>
      <c r="E590" s="27" t="inlineStr">
        <is>
          <t>DigiPyramid: A Multiresolution Digital Twin Framework for Reliable Logistics Management-Conceptualization, Implementation, and Intelligentization</t>
        </is>
      </c>
      <c r="F590" s="26" t="inlineStr">
        <is>
          <t>IEEE ACCESS</t>
        </is>
      </c>
      <c r="G590" s="26" t="inlineStr">
        <is>
          <t>Article</t>
        </is>
      </c>
      <c r="H590" s="26" t="inlineStr">
        <is>
          <t>10.1109/access.2025.3606168</t>
        </is>
      </c>
      <c r="I590" s="26" t="inlineStr">
        <is>
          <t>TA</t>
        </is>
      </c>
      <c r="J590" s="37" t="inlineStr">
        <is>
          <t>Include</t>
        </is>
      </c>
      <c r="K590" s="37" t="n"/>
      <c r="L590" s="32" t="inlineStr">
        <is>
          <t>Check: AI terms only in keywords, verify substantive AI component</t>
        </is>
      </c>
      <c r="M590" s="37" t="inlineStr">
        <is>
          <t>Gemelo multirresolucion para gestion logistica fiable con IA implementada: "The framework employs Bayesian Networks to infer and mitigate ambiguities" y "The integration of AI technologies, including Computer Vision and Bayesian Networks"; caso de una empresa logistica nacional china y decisiones por nivel organizativo (gerentes, planificadores, programadores, operadores).</t>
        </is>
      </c>
      <c r="N590" s="69" t="inlineStr">
        <is>
          <t>I</t>
        </is>
      </c>
      <c r="O590" s="69" t="n">
        <v>9</v>
      </c>
      <c r="P590" s="69" t="inlineStr">
        <is>
          <t>Include</t>
        </is>
      </c>
      <c r="Q590" s="69" t="inlineStr">
        <is>
          <t>I</t>
        </is>
      </c>
      <c r="R590" s="69" t="inlineStr">
        <is>
          <t>Gemelo multirresolucion para gestion logistica fiable con IA implementada: "The framework employs Bayesian Networks to infer and mitigate ambiguities" y "The integration of AI technologies, including Computer Vision and Bayesian Networks"; caso de una empresa logistica nacional china y decisiones por nivel organizativo (gerentes, planificadores, programadores, operadores).</t>
        </is>
      </c>
      <c r="S590" s="69" t="n"/>
    </row>
    <row r="591" ht="34.5" customHeight="1" s="17">
      <c r="A591" s="26" t="inlineStr">
        <is>
          <t>R0590</t>
        </is>
      </c>
      <c r="B591" s="26" t="inlineStr">
        <is>
          <t>WoS</t>
        </is>
      </c>
      <c r="C591" s="26" t="inlineStr">
        <is>
          <t>Baniasadi, E; Esmaeilzadeh, A; Abadi, MKF; Rezk, A; Batista, L; Falcone, G; Bilesanmi, Y</t>
        </is>
      </c>
      <c r="D591" s="26" t="n">
        <v>2025</v>
      </c>
      <c r="E591" s="27" t="inlineStr">
        <is>
          <t>Digital-Twin-Enabled Design and Machine-Learning-Assisted Energy Management of a Solar Refrigerated Van with Phase-Change Thermal Storage</t>
        </is>
      </c>
      <c r="F591" s="26" t="inlineStr">
        <is>
          <t>1ST IIR INTERNATIONAL CONFERENCE ON REFRIGERATION ADAPTING TO RISING TEMPERATURES</t>
        </is>
      </c>
      <c r="G591" s="26" t="inlineStr">
        <is>
          <t>Proceedings Paper</t>
        </is>
      </c>
      <c r="H591" s="26" t="inlineStr">
        <is>
          <t>10.18462/iir.adaptation.2024.1181</t>
        </is>
      </c>
      <c r="I591" s="26" t="inlineStr">
        <is>
          <t>TA</t>
        </is>
      </c>
      <c r="J591" s="37" t="inlineStr">
        <is>
          <t>Exclude</t>
        </is>
      </c>
      <c r="K591" s="37" t="inlineStr">
        <is>
          <t>No supply chain scope</t>
        </is>
      </c>
      <c r="L591" s="32" t="inlineStr">
        <is>
          <t>Check: AI terms only in keywords, verify substantive AI component</t>
        </is>
      </c>
      <c r="M591" s="37" t="inlineStr">
        <is>
          <t>Gemelo de una furgoneta refrigerada solar con bosques aleatorios para predecir estado de carga y velocidad del compresor; el objeto es la gestion energetica del vehiculo y la logistica alimentaria sólo el contexto de aplicacion ("a practical pathway to extend BEV range and resilience in food logistics"), como los gemelos de energia de vehiculos ya excluidos.</t>
        </is>
      </c>
      <c r="N591" s="69" t="inlineStr">
        <is>
          <t>E2</t>
        </is>
      </c>
      <c r="O591" s="69" t="n">
        <v>9</v>
      </c>
      <c r="P591" s="69" t="inlineStr">
        <is>
          <t>Exclude</t>
        </is>
      </c>
      <c r="Q591" s="69" t="inlineStr">
        <is>
          <t>E2</t>
        </is>
      </c>
      <c r="R591" s="69" t="inlineStr">
        <is>
          <t>Gemelo de una furgoneta refrigerada solar con bosques aleatorios para predecir estado de carga y velocidad del compresor; el objeto es la gestion energetica del vehiculo y la logistica alimentaria sólo el contexto de aplicacion ("a practical pathway to extend BEV range and resilience in food logistics"), como los gemelos de energia de vehiculos ya excluidos.</t>
        </is>
      </c>
      <c r="S591" s="69" t="n"/>
    </row>
    <row r="592" ht="23.25" customHeight="1" s="17">
      <c r="A592" s="26" t="inlineStr">
        <is>
          <t>R0591</t>
        </is>
      </c>
      <c r="B592" s="26" t="inlineStr">
        <is>
          <t>WoS</t>
        </is>
      </c>
      <c r="C592" s="26" t="inlineStr">
        <is>
          <t>Zhou, LY; Leng, SP; Quek, TQS</t>
        </is>
      </c>
      <c r="D592" s="26" t="n">
        <v>2025</v>
      </c>
      <c r="E592" s="27" t="inlineStr">
        <is>
          <t>VerDT: A Versatile Digital Twins Framework for UAVs-Based Industrial Cyber-Physical Systems</t>
        </is>
      </c>
      <c r="F592" s="26" t="inlineStr">
        <is>
          <t>IEEE TRANSACTIONS ON MOBILE COMPUTING</t>
        </is>
      </c>
      <c r="G592" s="26" t="inlineStr">
        <is>
          <t>Article</t>
        </is>
      </c>
      <c r="H592" s="26" t="inlineStr">
        <is>
          <t>10.1109/tmc.2025.3567284</t>
        </is>
      </c>
      <c r="I592" s="26" t="inlineStr">
        <is>
          <t>TA</t>
        </is>
      </c>
      <c r="J592" s="37" t="inlineStr">
        <is>
          <t>Include</t>
        </is>
      </c>
      <c r="K592" s="37" t="n"/>
      <c r="L592" s="32" t="inlineStr">
        <is>
          <t>Check: AI terms only in keywords, verify substantive AI component</t>
        </is>
      </c>
      <c r="M592" s="37" t="inlineStr">
        <is>
          <t>Resuelto 2026-09-06 por Rodrigo: lo usan explicitamente, entra. Marco de gemelos en el borde para logistica con drones: "a resource scheduling model and a path planning model for real-time and accurate logistics distributions", con decisiones cooperativas de distribucion y resultados medidos ("reduces the distribution latency by 63.9%"); metodo implementado aunque no lo etiqueten como IA (C8 estricta, rama de uso).</t>
        </is>
      </c>
      <c r="N592" s="69" t="inlineStr">
        <is>
          <t>I</t>
        </is>
      </c>
      <c r="O592" s="69" t="n">
        <v>9</v>
      </c>
      <c r="P592" s="69" t="inlineStr">
        <is>
          <t>Include</t>
        </is>
      </c>
      <c r="Q592" s="69" t="inlineStr">
        <is>
          <t>I</t>
        </is>
      </c>
      <c r="R592" s="69" t="inlineStr">
        <is>
          <t>Resuelto 2026-09-06 por Rodrigo: lo usan explicitamente, entra. Marco de gemelos en el borde para logistica con drones: "a resource scheduling model and a path planning model for real-time and accurate logistics distributions", con decisiones cooperativas de distribucion y resultados medidos ("reduces the distribution latency by 63.9%"); metodo implementado aunque no lo etiqueten como IA (C8 estricta, rama de uso).</t>
        </is>
      </c>
      <c r="S592" s="69" t="n"/>
    </row>
    <row r="593" ht="23.25" customHeight="1" s="17">
      <c r="A593" s="26" t="inlineStr">
        <is>
          <t>R0592</t>
        </is>
      </c>
      <c r="B593" s="26" t="inlineStr">
        <is>
          <t>WoS</t>
        </is>
      </c>
      <c r="C593" s="26" t="inlineStr">
        <is>
          <t>Gupta, M; Jauhar, SK; Paul, SK; Pratap, S</t>
        </is>
      </c>
      <c r="D593" s="26" t="n">
        <v>2025</v>
      </c>
      <c r="E593" s="27" t="inlineStr">
        <is>
          <t>Relation between digital innovation and industry 4.0: existing themes and emerging research trends</t>
        </is>
      </c>
      <c r="F593" s="26" t="inlineStr">
        <is>
          <t>OPSEARCH</t>
        </is>
      </c>
      <c r="G593" s="26" t="inlineStr">
        <is>
          <t>Article</t>
        </is>
      </c>
      <c r="H593" s="26" t="inlineStr">
        <is>
          <t>10.1007/s12597-024-00865-y</t>
        </is>
      </c>
      <c r="I593" s="26" t="inlineStr">
        <is>
          <t>TA</t>
        </is>
      </c>
      <c r="J593" s="37" t="inlineStr">
        <is>
          <t>Exclude</t>
        </is>
      </c>
      <c r="K593" s="37" t="inlineStr">
        <is>
          <t>Wrong publication type</t>
        </is>
      </c>
      <c r="L593" s="32" t="inlineStr">
        <is>
          <t>Check: healthcare context, supply chain scope unclear</t>
        </is>
      </c>
      <c r="M593" s="37" t="inlineStr">
        <is>
          <t>Revision sistematica de 187 articulos ("This study utilizes a systematic literature review, employing keyword search criteria to examine 187 relevant articles"); gemelo entre las tecnologias evaluadas. Valor para snowballing: bajo.</t>
        </is>
      </c>
      <c r="N593" s="69" t="inlineStr">
        <is>
          <t>E4</t>
        </is>
      </c>
      <c r="O593" s="69" t="n">
        <v>9</v>
      </c>
      <c r="P593" s="69" t="inlineStr">
        <is>
          <t>Exclude</t>
        </is>
      </c>
      <c r="Q593" s="69" t="inlineStr">
        <is>
          <t>E4</t>
        </is>
      </c>
      <c r="R593" s="69" t="inlineStr">
        <is>
          <t>Revision sistematica de 187 articulos ("This study utilizes a systematic literature review, employing keyword search criteria to examine 187 relevant articles"); gemelo entre las tecnologias evaluadas. Valor para snowballing: bajo.</t>
        </is>
      </c>
      <c r="S593" s="69" t="n"/>
    </row>
    <row r="594" ht="23.25" customHeight="1" s="17">
      <c r="A594" s="26" t="inlineStr">
        <is>
          <t>R0593</t>
        </is>
      </c>
      <c r="B594" s="26" t="inlineStr">
        <is>
          <t>WoS</t>
        </is>
      </c>
      <c r="C594" s="26" t="inlineStr">
        <is>
          <t>Akhter, Z; Prabakar, S</t>
        </is>
      </c>
      <c r="D594" s="26" t="n">
        <v>2025</v>
      </c>
      <c r="E594" s="27" t="inlineStr">
        <is>
          <t>Artificial Intelligence in Collagen-based Biomaterials</t>
        </is>
      </c>
      <c r="F594" s="26" t="inlineStr">
        <is>
          <t>CHEMISTRYSELECT</t>
        </is>
      </c>
      <c r="G594" s="26" t="inlineStr">
        <is>
          <t>Review</t>
        </is>
      </c>
      <c r="H594" s="26" t="inlineStr">
        <is>
          <t>10.1002/slct.202504704</t>
        </is>
      </c>
      <c r="I594" s="26" t="inlineStr">
        <is>
          <t>TA</t>
        </is>
      </c>
      <c r="J594" s="37" t="inlineStr">
        <is>
          <t>Exclude</t>
        </is>
      </c>
      <c r="K594" s="37" t="inlineStr">
        <is>
          <t>Wrong publication type</t>
        </is>
      </c>
      <c r="L594" s="32" t="inlineStr">
        <is>
          <t>Check: healthcare context, supply chain scope unclear</t>
        </is>
      </c>
      <c r="M594" s="37" t="inlineStr">
        <is>
          <t>Revision (Doc type Review) de IA en biomateriales de colageno ("The review synthesises over 160 studies and technical reports"); gemelos sólo como direccion futura. Valor para snowballing: bajo.</t>
        </is>
      </c>
      <c r="N594" s="69" t="inlineStr">
        <is>
          <t>E4</t>
        </is>
      </c>
      <c r="O594" s="69" t="n">
        <v>9</v>
      </c>
      <c r="P594" s="69" t="inlineStr">
        <is>
          <t>Exclude</t>
        </is>
      </c>
      <c r="Q594" s="69" t="inlineStr">
        <is>
          <t>E4</t>
        </is>
      </c>
      <c r="R594" s="69" t="inlineStr">
        <is>
          <t>Revision (Doc type Review) de IA en biomateriales de colageno ("The review synthesises over 160 studies and technical reports"); gemelos sólo como direccion futura. Valor para snowballing: bajo.</t>
        </is>
      </c>
      <c r="S594" s="69" t="n"/>
    </row>
    <row r="595" ht="23.25" customHeight="1" s="17">
      <c r="A595" s="26" t="inlineStr">
        <is>
          <t>R0594</t>
        </is>
      </c>
      <c r="B595" s="26" t="inlineStr">
        <is>
          <t>Scopus + WoS</t>
        </is>
      </c>
      <c r="C595" s="26" t="inlineStr">
        <is>
          <t>Kabashkin I.</t>
        </is>
      </c>
      <c r="D595" s="26" t="n">
        <v>2024</v>
      </c>
      <c r="E595" s="27" t="inlineStr">
        <is>
          <t>NFT-Based Framework for Digital Twin Management in Aviation Component Lifecycle Tracking</t>
        </is>
      </c>
      <c r="F595" s="26" t="inlineStr">
        <is>
          <t>Algorithms</t>
        </is>
      </c>
      <c r="G595" s="26" t="inlineStr">
        <is>
          <t>Article</t>
        </is>
      </c>
      <c r="H595" s="26" t="inlineStr">
        <is>
          <t>10.3390/a17110494</t>
        </is>
      </c>
      <c r="I595" s="26" t="inlineStr">
        <is>
          <t>TA</t>
        </is>
      </c>
      <c r="J595" s="37" t="inlineStr">
        <is>
          <t>Exclude</t>
        </is>
      </c>
      <c r="K595" s="37" t="inlineStr">
        <is>
          <t>No digital twin/model</t>
        </is>
      </c>
      <c r="L595" s="32" t="inlineStr">
        <is>
          <t>Check: AI terms only in keywords, verify substantive AI component</t>
        </is>
      </c>
      <c r="M595" s="37" t="inlineStr">
        <is>
          <t>Recodificado 2026-09-06 en la auditoría final (E2→E1): Representaciones NFT de componentes ("uses NFTs to create unique, immutable digital representations of physical aviation components") = contenedores de datos (C6, como pasaportes de producto); la cadena es uno de los flujos listados ("part tracking, maintenance records, certification and compliance, supply chain management, flight logs") (E2 secundario); sin IA (E3 secundario). | Nota original (E2): Marco de tokens no fungibles para gestionar gemelos de componentes de aviacion; la cadena es uno de los flujos listados ("part tracking, maintenance records, certification and compliance, supply chain management, flight logs"), sin encuadre del estudio; el gemelo funciona como registro de ciclo de vida (C6) y la IA es sólo palabra clave (C8).</t>
        </is>
      </c>
      <c r="N595" s="69" t="inlineStr">
        <is>
          <t>E1</t>
        </is>
      </c>
      <c r="O595" s="69" t="n">
        <v>9</v>
      </c>
      <c r="P595" s="69" t="inlineStr">
        <is>
          <t>Exclude</t>
        </is>
      </c>
      <c r="Q595" s="69" t="inlineStr">
        <is>
          <t>E2</t>
        </is>
      </c>
      <c r="R595" s="69" t="inlineStr">
        <is>
          <t>Marco de tokens no fungibles para gestionar gemelos de componentes de aviacion; la cadena es uno de los flujos listados ("part tracking, maintenance records, certification and compliance, supply chain management, flight logs"), sin encuadre del estudio; el gemelo funciona como registro de ciclo de vida (C6) y la IA es sólo palabra clave (C8).</t>
        </is>
      </c>
      <c r="S595" s="69" t="n"/>
    </row>
    <row r="596" ht="23.25" customHeight="1" s="17">
      <c r="A596" s="26" t="inlineStr">
        <is>
          <t>R0595</t>
        </is>
      </c>
      <c r="B596" s="26" t="inlineStr">
        <is>
          <t>Scopus + WoS</t>
        </is>
      </c>
      <c r="C596" s="26" t="inlineStr">
        <is>
          <t>Muñoz-Díaz M.-L.; Escudero-Santana A.; Lorenzo-Espejo A.; Muñuzuri J.</t>
        </is>
      </c>
      <c r="D596" s="26" t="n">
        <v>2024</v>
      </c>
      <c r="E596" s="27" t="inlineStr">
        <is>
          <t>Improving Supply Chain and Manufacturing Process in Wind Turbine Tower Industry Through Digital Twins</t>
        </is>
      </c>
      <c r="F596" s="26" t="inlineStr">
        <is>
          <t>Proceedings of the I-ESA Conferences</t>
        </is>
      </c>
      <c r="G596" s="26" t="inlineStr">
        <is>
          <t>Conference paper</t>
        </is>
      </c>
      <c r="H596" s="26" t="inlineStr">
        <is>
          <t>10.1007/978-3-031-24771-2_14</t>
        </is>
      </c>
      <c r="I596" s="26" t="inlineStr">
        <is>
          <t>TA</t>
        </is>
      </c>
      <c r="J596" s="37" t="inlineStr">
        <is>
          <t>Exclude</t>
        </is>
      </c>
      <c r="K596" s="37" t="inlineStr">
        <is>
          <t>No supply chain scope</t>
        </is>
      </c>
      <c r="L596" s="32" t="inlineStr">
        <is>
          <t>Check: AI terms only in keywords, verify substantive AI component</t>
        </is>
      </c>
      <c r="M596" s="37" t="inlineStr">
        <is>
          <t>Marco conceptual en tres niveles para la produccion de torres eolicas apoyado en un gemelo ("the implementation of each level will be directly based on a digital twin"); el resumen encuadra la fabrica y el diseño dinamico de layouts, no la cadena (regla Make, C5, pese al titulo); también E3 (ML sólo como palabra clave, C8).</t>
        </is>
      </c>
      <c r="N596" s="69" t="inlineStr">
        <is>
          <t>E2</t>
        </is>
      </c>
      <c r="O596" s="69" t="n">
        <v>9</v>
      </c>
      <c r="P596" s="69" t="inlineStr">
        <is>
          <t>Exclude</t>
        </is>
      </c>
      <c r="Q596" s="69" t="inlineStr">
        <is>
          <t>E2</t>
        </is>
      </c>
      <c r="R596" s="69" t="inlineStr">
        <is>
          <t>Marco conceptual en tres niveles para la produccion de torres eolicas apoyado en un gemelo ("the implementation of each level will be directly based on a digital twin"); el resumen encuadra la fabrica y el diseño dinamico de layouts, no la cadena (regla Make, C5, pese al titulo); también E3 (ML sólo como palabra clave, C8).</t>
        </is>
      </c>
      <c r="S596" s="69" t="n"/>
    </row>
    <row r="597" ht="23.25" customHeight="1" s="17">
      <c r="A597" s="26" t="inlineStr">
        <is>
          <t>R0596</t>
        </is>
      </c>
      <c r="B597" s="26" t="inlineStr">
        <is>
          <t>Scopus + WoS</t>
        </is>
      </c>
      <c r="C597" s="26" t="inlineStr">
        <is>
          <t>Gao Y.; Xiong G.; Hu Z.; Chai C.; Li H.</t>
        </is>
      </c>
      <c r="D597" s="26" t="n">
        <v>2024</v>
      </c>
      <c r="E597" s="27" t="inlineStr">
        <is>
          <t>Bridge Digital Twin for Practical Bridge Operation and Maintenance by Integrating GIS and BIM</t>
        </is>
      </c>
      <c r="F597" s="26" t="inlineStr">
        <is>
          <t>Buildings</t>
        </is>
      </c>
      <c r="G597" s="26" t="inlineStr">
        <is>
          <t>Article</t>
        </is>
      </c>
      <c r="H597" s="26" t="inlineStr">
        <is>
          <t>10.3390/buildings14123731</t>
        </is>
      </c>
      <c r="I597" s="26" t="inlineStr">
        <is>
          <t>TA</t>
        </is>
      </c>
      <c r="J597" s="37" t="inlineStr">
        <is>
          <t>Exclude</t>
        </is>
      </c>
      <c r="K597" s="37" t="inlineStr">
        <is>
          <t>No supply chain scope</t>
        </is>
      </c>
      <c r="L597" s="32" t="inlineStr">
        <is>
          <t>Check: AI terms only in keywords, verify substantive AI component</t>
        </is>
      </c>
      <c r="M597" s="37" t="inlineStr">
        <is>
          <t>Gemelo de puente que integra GIS y BIM para operacion y mantenimiento; la logistica sólo como una funcion listada ("maintenance planning, traffic diversion, and logistics optimization"), ambito de infraestructura.</t>
        </is>
      </c>
      <c r="N597" s="69" t="inlineStr">
        <is>
          <t>E2</t>
        </is>
      </c>
      <c r="O597" s="69" t="n">
        <v>9</v>
      </c>
      <c r="P597" s="69" t="inlineStr">
        <is>
          <t>Exclude</t>
        </is>
      </c>
      <c r="Q597" s="69" t="inlineStr">
        <is>
          <t>E2</t>
        </is>
      </c>
      <c r="R597" s="69" t="inlineStr">
        <is>
          <t>Gemelo de puente que integra GIS y BIM para operacion y mantenimiento; la logistica sólo como una funcion listada ("maintenance planning, traffic diversion, and logistics optimization"), ambito de infraestructura.</t>
        </is>
      </c>
      <c r="S597" s="69" t="n"/>
    </row>
    <row r="598" ht="34.5" customHeight="1" s="17">
      <c r="A598" s="26" t="inlineStr">
        <is>
          <t>R0597</t>
        </is>
      </c>
      <c r="B598" s="26" t="inlineStr">
        <is>
          <t>Scopus</t>
        </is>
      </c>
      <c r="C598" s="26" t="inlineStr">
        <is>
          <t>Noonia A.; Singh N.; Abhishek K.; Kapila N.; Dubey N.; Singh S.P.</t>
        </is>
      </c>
      <c r="D598" s="26" t="n">
        <v>2024</v>
      </c>
      <c r="E598" s="27" t="inlineStr">
        <is>
          <t>An analysis framework for resource management in smart manufacturing the Industrial Internet of Things (IIoT) applications and taxonomy</t>
        </is>
      </c>
      <c r="F598" s="26" t="inlineStr">
        <is>
          <t>2024 International Conference on Augmented Reality, Intelligent Systems, and Industrial Automation, ARIIA 2024</t>
        </is>
      </c>
      <c r="G598" s="26" t="inlineStr">
        <is>
          <t>Conference paper</t>
        </is>
      </c>
      <c r="H598" s="26" t="inlineStr">
        <is>
          <t>10.1109/ariia63345.2024.11051437</t>
        </is>
      </c>
      <c r="I598" s="26" t="inlineStr">
        <is>
          <t>TA</t>
        </is>
      </c>
      <c r="J598" s="37" t="inlineStr">
        <is>
          <t>Exclude</t>
        </is>
      </c>
      <c r="K598" s="37" t="inlineStr">
        <is>
          <t>Wrong publication type</t>
        </is>
      </c>
      <c r="L598" s="32" t="inlineStr">
        <is>
          <t>Check: healthcare context, supply chain scope unclear</t>
        </is>
      </c>
      <c r="M598" s="37" t="inlineStr">
        <is>
          <t>Panorama declarado del IIoT ("An overview of the main elements of IIoT, its effects on many industries, and the potential and difficulties it poses are provided in this abstract") con taxonomia; el gemelo como capacidad del IIoT y la logistica como sector. C3 como en R0240. Valor para snowballing: bajo.</t>
        </is>
      </c>
      <c r="N598" s="69" t="inlineStr">
        <is>
          <t>E4</t>
        </is>
      </c>
      <c r="O598" s="69" t="n">
        <v>9</v>
      </c>
      <c r="P598" s="69" t="inlineStr">
        <is>
          <t>Exclude</t>
        </is>
      </c>
      <c r="Q598" s="69" t="inlineStr">
        <is>
          <t>E4</t>
        </is>
      </c>
      <c r="R598" s="69" t="inlineStr">
        <is>
          <t>Panorama declarado del IIoT ("An overview of the main elements of IIoT, its effects on many industries, and the potential and difficulties it poses are provided in this abstract") con taxonomia; el gemelo como capacidad del IIoT y la logistica como sector. C3 como en R0240. Valor para snowballing: bajo.</t>
        </is>
      </c>
      <c r="S598" s="69" t="n"/>
    </row>
    <row r="599" ht="23.25" customHeight="1" s="17">
      <c r="A599" s="26" t="inlineStr">
        <is>
          <t>R0598</t>
        </is>
      </c>
      <c r="B599" s="26" t="inlineStr">
        <is>
          <t>Scopus</t>
        </is>
      </c>
      <c r="C599" s="26" t="inlineStr">
        <is>
          <t>Eletter S.F.; Elrefae G.A.; Qasim A.; Houhamdi Z.</t>
        </is>
      </c>
      <c r="D599" s="26" t="n">
        <v>2024</v>
      </c>
      <c r="E599" s="27" t="inlineStr">
        <is>
          <t>Integrating Digital Twins in Supply Chain Management Education</t>
        </is>
      </c>
      <c r="F599" s="26" t="inlineStr">
        <is>
          <t>2024 11th International Conference on Software Defined Systems, SDS 2024</t>
        </is>
      </c>
      <c r="G599" s="26" t="inlineStr">
        <is>
          <t>Conference paper</t>
        </is>
      </c>
      <c r="H599" s="26" t="inlineStr">
        <is>
          <t>10.1109/sds64317.2024.10883925</t>
        </is>
      </c>
      <c r="I599" s="26" t="inlineStr">
        <is>
          <t>TA</t>
        </is>
      </c>
      <c r="J599" s="37" t="inlineStr">
        <is>
          <t>Exclude</t>
        </is>
      </c>
      <c r="K599" s="37" t="inlineStr">
        <is>
          <t>No supply chain scope</t>
        </is>
      </c>
      <c r="L599" s="32" t="inlineStr">
        <is>
          <t>Check: AI terms only in keywords, verify substantive AI component</t>
        </is>
      </c>
      <c r="M599" s="37" t="inlineStr">
        <is>
          <t>Gemelos para enseñanza de gestion de cadena ("It connects classroom teaching with real-world business and societal issues"); el ambito es la formacion, no las operaciones (precedente R0281, R0539).</t>
        </is>
      </c>
      <c r="N599" s="69" t="inlineStr">
        <is>
          <t>E2</t>
        </is>
      </c>
      <c r="O599" s="69" t="n">
        <v>9</v>
      </c>
      <c r="P599" s="69" t="inlineStr">
        <is>
          <t>Exclude</t>
        </is>
      </c>
      <c r="Q599" s="69" t="inlineStr">
        <is>
          <t>E2</t>
        </is>
      </c>
      <c r="R599" s="69" t="inlineStr">
        <is>
          <t>Gemelos para enseñanza de gestion de cadena ("It connects classroom teaching with real-world business and societal issues"); el ambito es la formacion, no las operaciones (precedente R0281, R0539).</t>
        </is>
      </c>
      <c r="S599" s="69" t="n"/>
    </row>
    <row r="600" ht="23.25" customHeight="1" s="17">
      <c r="A600" s="26" t="inlineStr">
        <is>
          <t>R0599</t>
        </is>
      </c>
      <c r="B600" s="26" t="inlineStr">
        <is>
          <t>Scopus</t>
        </is>
      </c>
      <c r="C600" s="26" t="inlineStr">
        <is>
          <t>Venkatesan R.; Benny B.; Shirley C.P.; Berin Jeba Jingle I.</t>
        </is>
      </c>
      <c r="D600" s="26" t="n">
        <v>2024</v>
      </c>
      <c r="E600" s="27" t="inlineStr">
        <is>
          <t>Role of Digital Twins in Promoting Sustainability in Commerce</t>
        </is>
      </c>
      <c r="F600" s="26" t="inlineStr">
        <is>
          <t>Proceedings - 2024 4th International Conference on Pervasive Computing and Social Networking, ICPCSN 2024</t>
        </is>
      </c>
      <c r="G600" s="26" t="inlineStr">
        <is>
          <t>Conference paper</t>
        </is>
      </c>
      <c r="H600" s="26" t="inlineStr">
        <is>
          <t>10.1109/icpcsn62568.2024.00166</t>
        </is>
      </c>
      <c r="I600" s="26" t="inlineStr">
        <is>
          <t>TA</t>
        </is>
      </c>
      <c r="J600" s="37" t="inlineStr">
        <is>
          <t>Exclude</t>
        </is>
      </c>
      <c r="K600" s="37" t="inlineStr">
        <is>
          <t>No supply chain scope</t>
        </is>
      </c>
      <c r="L600" s="32" t="inlineStr">
        <is>
          <t>Check: AI terms only in keywords, verify substantive AI component</t>
        </is>
      </c>
      <c r="M600" s="37" t="inlineStr">
        <is>
          <t>Panorama divulgativo sobre gemelos y sostenibilidad en el comercio; la cadena aparece sólo en la frase final de una lista ("improving efficiency in the management of supply chains, transportation, and crowds"), sin encuadre del estudio (C2 sitúa E2 antes que E3); la IA sólo como palabra clave de autor.</t>
        </is>
      </c>
      <c r="N600" s="69" t="inlineStr">
        <is>
          <t>E2</t>
        </is>
      </c>
      <c r="O600" s="69" t="n">
        <v>9</v>
      </c>
      <c r="P600" s="69" t="inlineStr">
        <is>
          <t>Exclude</t>
        </is>
      </c>
      <c r="Q600" s="69" t="inlineStr">
        <is>
          <t>E2</t>
        </is>
      </c>
      <c r="R600" s="69" t="inlineStr">
        <is>
          <t>Panorama divulgativo sobre gemelos y sostenibilidad en el comercio; la cadena aparece sólo en la frase final de una lista ("improving efficiency in the management of supply chains, transportation, and crowds"), sin encuadre del estudio (C2 sitúa E2 antes que E3); la IA sólo como palabra clave de autor.</t>
        </is>
      </c>
      <c r="S600" s="69" t="n"/>
    </row>
    <row r="601" ht="23.25" customHeight="1" s="17">
      <c r="A601" s="26" t="inlineStr">
        <is>
          <t>R0600</t>
        </is>
      </c>
      <c r="B601" s="26" t="inlineStr">
        <is>
          <t>Scopus + WoS</t>
        </is>
      </c>
      <c r="C601" s="26" t="inlineStr">
        <is>
          <t>Park J.; Kang D.</t>
        </is>
      </c>
      <c r="D601" s="26" t="n">
        <v>2024</v>
      </c>
      <c r="E601" s="27" t="inlineStr">
        <is>
          <t>Artificial Intelligence and Smart Technologies in Safety Management: A Comprehensive Analysis Across Multiple Industries</t>
        </is>
      </c>
      <c r="F601" s="26" t="inlineStr">
        <is>
          <t>Applied Sciences (Switzerland)</t>
        </is>
      </c>
      <c r="G601" s="26" t="inlineStr">
        <is>
          <t>Review</t>
        </is>
      </c>
      <c r="H601" s="26" t="inlineStr">
        <is>
          <t>10.3390/app142411934</t>
        </is>
      </c>
      <c r="I601" s="26" t="inlineStr">
        <is>
          <t>TA</t>
        </is>
      </c>
      <c r="J601" s="37" t="inlineStr">
        <is>
          <t>Exclude</t>
        </is>
      </c>
      <c r="K601" s="37" t="inlineStr">
        <is>
          <t>Wrong publication type</t>
        </is>
      </c>
      <c r="L601" s="32" t="inlineStr">
        <is>
          <t>Check: healthcare context, supply chain scope unclear</t>
        </is>
      </c>
      <c r="M601" s="37" t="inlineStr">
        <is>
          <t>Revision sistematica (Doc type Review): "This study conducts a systematic literature review to identify and analyze how AI and smart technologies enhance safety management"; gemelos entre las soluciones y la logistica como sector. Valor para snowballing: bajo.</t>
        </is>
      </c>
      <c r="N601" s="69" t="inlineStr">
        <is>
          <t>E4</t>
        </is>
      </c>
      <c r="O601" s="69" t="n">
        <v>10</v>
      </c>
      <c r="P601" s="69" t="inlineStr">
        <is>
          <t>Exclude</t>
        </is>
      </c>
      <c r="Q601" s="69" t="inlineStr">
        <is>
          <t>E4</t>
        </is>
      </c>
      <c r="R601" s="69" t="inlineStr">
        <is>
          <t>Revision sistematica (Doc type Review): "This study conducts a systematic literature review to identify and analyze how AI and smart technologies enhance safety management"; gemelos entre las soluciones y la logistica como sector. Valor para snowballing: bajo.</t>
        </is>
      </c>
      <c r="S601" s="69" t="n"/>
    </row>
    <row r="602" ht="34.5" customHeight="1" s="17">
      <c r="A602" s="26" t="inlineStr">
        <is>
          <t>R0601</t>
        </is>
      </c>
      <c r="B602" s="26" t="inlineStr">
        <is>
          <t>Scopus</t>
        </is>
      </c>
      <c r="C602" s="26" t="inlineStr">
        <is>
          <t>Maglogiannis I.; Trastelis F.; Kalogeropoulos M.; Khan A.; Gallos P.; Menychtas A.; Panagopoulos C.; Papachristou P.; Islam N.; Wolff A.; Soares S.; Hansen S.; Scholze S.</t>
        </is>
      </c>
      <c r="D602" s="26" t="n">
        <v>2024</v>
      </c>
      <c r="E602" s="27" t="inlineStr">
        <is>
          <t>AI4Work Project: Human-Centric Digital Twin Approaches to Trustworthy AI and Robotics for Improved Working Conditions in Healthcare and Education Sectors</t>
        </is>
      </c>
      <c r="F602" s="26" t="inlineStr">
        <is>
          <t>Studies in Health Technology and Informatics</t>
        </is>
      </c>
      <c r="G602" s="26" t="inlineStr">
        <is>
          <t>Conference paper</t>
        </is>
      </c>
      <c r="H602" s="26" t="inlineStr">
        <is>
          <t>10.3233/shti240581</t>
        </is>
      </c>
      <c r="I602" s="26" t="inlineStr">
        <is>
          <t>TA</t>
        </is>
      </c>
      <c r="J602" s="37" t="inlineStr">
        <is>
          <t>Exclude</t>
        </is>
      </c>
      <c r="K602" s="37" t="inlineStr">
        <is>
          <t>No supply chain scope</t>
        </is>
      </c>
      <c r="L602" s="32" t="inlineStr">
        <is>
          <t>Check: AI terms only in keywords, verify substantive AI component</t>
        </is>
      </c>
      <c r="M602" s="37" t="inlineStr">
        <is>
          <t>Proyecto AI4Work de gemelos humano-centricos para "Healthcare and Education Sectors" ("assist occupational doctors and psychologists in monitoring the physical and mental health of hospital personnel"); la logistica sólo en la lista de sectores y el modelo es la persona (precedente R0216).</t>
        </is>
      </c>
      <c r="N602" s="69" t="inlineStr">
        <is>
          <t>E2</t>
        </is>
      </c>
      <c r="O602" s="69" t="n">
        <v>10</v>
      </c>
      <c r="P602" s="69" t="inlineStr">
        <is>
          <t>Exclude</t>
        </is>
      </c>
      <c r="Q602" s="69" t="inlineStr">
        <is>
          <t>E2</t>
        </is>
      </c>
      <c r="R602" s="69" t="inlineStr">
        <is>
          <t>Proyecto AI4Work de gemelos humano-centricos para "Healthcare and Education Sectors" ("assist occupational doctors and psychologists in monitoring the physical and mental health of hospital personnel"); la logistica sólo en la lista de sectores y el modelo es la persona (precedente R0216).</t>
        </is>
      </c>
      <c r="S602" s="69" t="n"/>
    </row>
    <row r="603" ht="45.75" customHeight="1" s="17">
      <c r="A603" s="26" t="inlineStr">
        <is>
          <t>R0602</t>
        </is>
      </c>
      <c r="B603" s="26" t="inlineStr">
        <is>
          <t>Scopus + WoS</t>
        </is>
      </c>
      <c r="C603" s="26" t="inlineStr">
        <is>
          <t>Rowan N.J.</t>
        </is>
      </c>
      <c r="D603" s="26" t="n">
        <v>2024</v>
      </c>
      <c r="E603" s="27" t="inlineStr">
        <is>
          <t>Digital technologies to unlock safe and sustainable opportunities for medical device and healthcare sectors with a focus on the combined use of digital twin and extended reality applications: A review</t>
        </is>
      </c>
      <c r="F603" s="26" t="inlineStr">
        <is>
          <t>Science of the Total Environment</t>
        </is>
      </c>
      <c r="G603" s="26" t="inlineStr">
        <is>
          <t>Review</t>
        </is>
      </c>
      <c r="H603" s="26" t="inlineStr">
        <is>
          <t>10.1016/j.scitotenv.2024.171672</t>
        </is>
      </c>
      <c r="I603" s="26" t="inlineStr">
        <is>
          <t>TA</t>
        </is>
      </c>
      <c r="J603" s="37" t="inlineStr">
        <is>
          <t>Exclude</t>
        </is>
      </c>
      <c r="K603" s="37" t="inlineStr">
        <is>
          <t>Wrong publication type</t>
        </is>
      </c>
      <c r="L603" s="32" t="inlineStr">
        <is>
          <t>Check: healthcare context, supply chain scope unclear</t>
        </is>
      </c>
      <c r="M603" s="37" t="inlineStr">
        <is>
          <t>Revision (Doc type Review, "PRISMA review of best publications conducted between January 2010 and January 2024") sobre tecnologias digitales en dispositivos medicos; gemelo y realidad extendida para "supply chain and training". Valor para snowballing: bajo.</t>
        </is>
      </c>
      <c r="N603" s="69" t="inlineStr">
        <is>
          <t>E4</t>
        </is>
      </c>
      <c r="O603" s="69" t="n">
        <v>10</v>
      </c>
      <c r="P603" s="69" t="inlineStr">
        <is>
          <t>Exclude</t>
        </is>
      </c>
      <c r="Q603" s="69" t="inlineStr">
        <is>
          <t>E4</t>
        </is>
      </c>
      <c r="R603" s="69" t="inlineStr">
        <is>
          <t>Revision (Doc type Review, "PRISMA review of best publications conducted between January 2010 and January 2024") sobre tecnologias digitales en dispositivos medicos; gemelo y realidad extendida para "supply chain and training". Valor para snowballing: bajo.</t>
        </is>
      </c>
      <c r="S603" s="69" t="n"/>
    </row>
    <row r="604" ht="23.25" customHeight="1" s="17">
      <c r="A604" s="26" t="inlineStr">
        <is>
          <t>R0603</t>
        </is>
      </c>
      <c r="B604" s="26" t="inlineStr">
        <is>
          <t>Scopus + WoS</t>
        </is>
      </c>
      <c r="C604" s="26" t="inlineStr">
        <is>
          <t>Chang K.-H.; Chen T.-L.</t>
        </is>
      </c>
      <c r="D604" s="26" t="n">
        <v>2024</v>
      </c>
      <c r="E604" s="27" t="inlineStr">
        <is>
          <t>Simulation Learning and Optimization: Methodology and Applications</t>
        </is>
      </c>
      <c r="F604" s="26" t="inlineStr">
        <is>
          <t>Asia-Pacific Journal of Operational Research</t>
        </is>
      </c>
      <c r="G604" s="26" t="inlineStr">
        <is>
          <t>Article</t>
        </is>
      </c>
      <c r="H604" s="26" t="inlineStr">
        <is>
          <t>10.1142/s0217595924400086</t>
        </is>
      </c>
      <c r="I604" s="26" t="inlineStr">
        <is>
          <t>TA</t>
        </is>
      </c>
      <c r="J604" s="37" t="inlineStr">
        <is>
          <t>Exclude</t>
        </is>
      </c>
      <c r="K604" s="37" t="inlineStr">
        <is>
          <t>Wrong publication type</t>
        </is>
      </c>
      <c r="L604" s="32" t="inlineStr">
        <is>
          <t>Check: healthcare context, supply chain scope unclear</t>
        </is>
      </c>
      <c r="M604" s="37" t="inlineStr">
        <is>
          <t>Revision metodologica y de aplicaciones ("we conduct a literature review on a novel SLO methodology"; "we review the applications of SLO in various contexts"); logistica humanitaria entre los contextos y "data-driven digital twin capability" como meta. Valor para snowballing: medio.</t>
        </is>
      </c>
      <c r="N604" s="69" t="inlineStr">
        <is>
          <t>E4</t>
        </is>
      </c>
      <c r="O604" s="69" t="n">
        <v>10</v>
      </c>
      <c r="P604" s="69" t="inlineStr">
        <is>
          <t>Exclude</t>
        </is>
      </c>
      <c r="Q604" s="69" t="inlineStr">
        <is>
          <t>E4</t>
        </is>
      </c>
      <c r="R604" s="69" t="inlineStr">
        <is>
          <t>Revision metodologica y de aplicaciones ("we conduct a literature review on a novel SLO methodology"; "we review the applications of SLO in various contexts"); logistica humanitaria entre los contextos y "data-driven digital twin capability" como meta. Valor para snowballing: medio.</t>
        </is>
      </c>
      <c r="S604" s="69" t="n"/>
    </row>
    <row r="605" ht="23.25" customHeight="1" s="17">
      <c r="A605" s="26" t="inlineStr">
        <is>
          <t>R0604</t>
        </is>
      </c>
      <c r="B605" s="26" t="inlineStr">
        <is>
          <t>Scopus + WoS</t>
        </is>
      </c>
      <c r="C605" s="26" t="inlineStr">
        <is>
          <t>Nechesov A.; Goncharov S.</t>
        </is>
      </c>
      <c r="D605" s="26" t="n">
        <v>2024</v>
      </c>
      <c r="E605" s="27" t="inlineStr">
        <is>
          <t>Functional Variant of Polynomial Analogue of Gandy’s Fixed Point Theorem</t>
        </is>
      </c>
      <c r="F605" s="26" t="inlineStr">
        <is>
          <t>Mathematics</t>
        </is>
      </c>
      <c r="G605" s="26" t="inlineStr">
        <is>
          <t>Article</t>
        </is>
      </c>
      <c r="H605" s="26" t="inlineStr">
        <is>
          <t>10.3390/math12213429</t>
        </is>
      </c>
      <c r="I605" s="26" t="inlineStr">
        <is>
          <t>TA</t>
        </is>
      </c>
      <c r="J605" s="37" t="inlineStr">
        <is>
          <t>Exclude</t>
        </is>
      </c>
      <c r="K605" s="37" t="inlineStr">
        <is>
          <t>No digital twin/model</t>
        </is>
      </c>
      <c r="L605" s="32" t="inlineStr">
        <is>
          <t>Check: AI terms only in keywords, verify substantive AI component</t>
        </is>
      </c>
      <c r="M605" s="37" t="inlineStr">
        <is>
          <t>Teorema de punto fijo y computabilidad polinomial; los gemelos y la logistica sólo como areas de relevancia listadas ("AI-driven digital twins of smart cities and complex systems, trustworthy AI, blockchains and smart contracts, transportation, logistics, and aerospace"), C1.</t>
        </is>
      </c>
      <c r="N605" s="69" t="inlineStr">
        <is>
          <t>E1</t>
        </is>
      </c>
      <c r="O605" s="69" t="n">
        <v>10</v>
      </c>
      <c r="P605" s="69" t="inlineStr">
        <is>
          <t>Exclude</t>
        </is>
      </c>
      <c r="Q605" s="69" t="inlineStr">
        <is>
          <t>E1</t>
        </is>
      </c>
      <c r="R605" s="69" t="inlineStr">
        <is>
          <t>Teorema de punto fijo y computabilidad polinomial; los gemelos y la logistica sólo como areas de relevancia listadas ("AI-driven digital twins of smart cities and complex systems, trustworthy AI, blockchains and smart contracts, transportation, logistics, and aerospace"), C1.</t>
        </is>
      </c>
      <c r="S605" s="69" t="n"/>
    </row>
    <row r="606" ht="23.25" customHeight="1" s="17">
      <c r="A606" s="26" t="inlineStr">
        <is>
          <t>R0605</t>
        </is>
      </c>
      <c r="B606" s="26" t="inlineStr">
        <is>
          <t>Scopus + WoS</t>
        </is>
      </c>
      <c r="C606" s="26" t="inlineStr">
        <is>
          <t>Maheshwari P.; Kamble S.; Kumar S.; Belhadi A.; Gupta S.</t>
        </is>
      </c>
      <c r="D606" s="26" t="n">
        <v>2024</v>
      </c>
      <c r="E606" s="27" t="inlineStr">
        <is>
          <t>Digital twin-based warehouse management system: a theoretical toolbox for future research and applications</t>
        </is>
      </c>
      <c r="F606" s="26" t="inlineStr">
        <is>
          <t>International Journal of Logistics Management</t>
        </is>
      </c>
      <c r="G606" s="26" t="inlineStr">
        <is>
          <t>Review</t>
        </is>
      </c>
      <c r="H606" s="26" t="inlineStr">
        <is>
          <t>10.1108/ijlm-01-2023-0030</t>
        </is>
      </c>
      <c r="I606" s="26" t="inlineStr">
        <is>
          <t>TA</t>
        </is>
      </c>
      <c r="J606" s="37" t="inlineStr">
        <is>
          <t>Exclude</t>
        </is>
      </c>
      <c r="K606" s="37" t="inlineStr">
        <is>
          <t>Wrong publication type</t>
        </is>
      </c>
      <c r="L606" s="32" t="inlineStr">
        <is>
          <t>Check: AI terms only in keywords, verify substantive AI component</t>
        </is>
      </c>
      <c r="M606" s="37" t="inlineStr">
        <is>
          <t>Revision (Doc type Review) con "systematic literature analysis method" sobre el sistema de gestion de almacen basado en gemelo y la torre de control de cadena; propone caja de herramientas teorica. Valor para snowballing: alto.</t>
        </is>
      </c>
      <c r="N606" s="69" t="inlineStr">
        <is>
          <t>E4</t>
        </is>
      </c>
      <c r="O606" s="69" t="n">
        <v>10</v>
      </c>
      <c r="P606" s="69" t="inlineStr">
        <is>
          <t>Exclude</t>
        </is>
      </c>
      <c r="Q606" s="69" t="inlineStr">
        <is>
          <t>E4</t>
        </is>
      </c>
      <c r="R606" s="69" t="inlineStr">
        <is>
          <t>Revision (Doc type Review) con "systematic literature analysis method" sobre el sistema de gestion de almacen basado en gemelo y la torre de control de cadena; propone caja de herramientas teorica. Valor para snowballing: alto.</t>
        </is>
      </c>
      <c r="S606" s="69" t="n"/>
    </row>
    <row r="607" ht="23.25" customHeight="1" s="17">
      <c r="A607" s="26" t="inlineStr">
        <is>
          <t>R0606</t>
        </is>
      </c>
      <c r="B607" s="26" t="inlineStr">
        <is>
          <t>Scopus</t>
        </is>
      </c>
      <c r="C607" s="26" t="inlineStr">
        <is>
          <t>Pérez Carrasco F.; García García A.; Garrido Peñalver V.; Company Peris R.; Gimenez Salazar P.</t>
        </is>
      </c>
      <c r="D607" s="26" t="n">
        <v>2024</v>
      </c>
      <c r="E607" s="27" t="inlineStr">
        <is>
          <t>CONTINGENT: Advanced Solution to Enhance Cyber Resilience Through Machine Learning Techniques</t>
        </is>
      </c>
      <c r="F607" s="26" t="inlineStr">
        <is>
          <t>Communications in Computer and Information Science</t>
        </is>
      </c>
      <c r="G607" s="26" t="inlineStr">
        <is>
          <t>Conference paper</t>
        </is>
      </c>
      <c r="H607" s="26" t="inlineStr">
        <is>
          <t>10.1007/978-3-031-58950-8_19</t>
        </is>
      </c>
      <c r="I607" s="26" t="inlineStr">
        <is>
          <t>TA</t>
        </is>
      </c>
      <c r="J607" s="37" t="inlineStr">
        <is>
          <t>Exclude</t>
        </is>
      </c>
      <c r="K607" s="37" t="inlineStr">
        <is>
          <t>No digital twin/model</t>
        </is>
      </c>
      <c r="L607" s="32" t="inlineStr">
        <is>
          <t>Check: healthcare context, supply chain scope unclear</t>
        </is>
      </c>
      <c r="M607" s="37" t="inlineStr">
        <is>
          <t>Proyecto de ciberresiliencia con ML donde los gemelos y los honeypots son señuelos generadores de datos ("utilizing HoneyPots (HPs) and Digital Twins (DTs) [3] to gather rich, actionable data"; "These tools simulate vulnerable services"), no modelos de operaciones (C6); ambito de ciberdefensa como R0527.</t>
        </is>
      </c>
      <c r="N607" s="69" t="inlineStr">
        <is>
          <t>E1</t>
        </is>
      </c>
      <c r="O607" s="69" t="n">
        <v>10</v>
      </c>
      <c r="P607" s="69" t="inlineStr">
        <is>
          <t>Exclude</t>
        </is>
      </c>
      <c r="Q607" s="69" t="inlineStr">
        <is>
          <t>E1</t>
        </is>
      </c>
      <c r="R607" s="69" t="inlineStr">
        <is>
          <t>Proyecto de ciberresiliencia con ML donde los gemelos y los honeypots son señuelos generadores de datos ("utilizing HoneyPots (HPs) and Digital Twins (DTs) [3] to gather rich, actionable data"; "These tools simulate vulnerable services"), no modelos de operaciones (C6); ambito de ciberdefensa como R0527.</t>
        </is>
      </c>
      <c r="S607" s="69" t="n"/>
    </row>
    <row r="608" ht="23.25" customHeight="1" s="17">
      <c r="A608" s="26" t="inlineStr">
        <is>
          <t>R0607</t>
        </is>
      </c>
      <c r="B608" s="26" t="inlineStr">
        <is>
          <t>Scopus</t>
        </is>
      </c>
      <c r="C608" s="26" t="inlineStr">
        <is>
          <t>Roobini S.; Kavitha M.S.; Karthik S.</t>
        </is>
      </c>
      <c r="D608" s="26" t="n">
        <v>2024</v>
      </c>
      <c r="E608" s="27" t="inlineStr">
        <is>
          <t>A systematic review on Machine learning and Neural Network based models for disease prediction</t>
        </is>
      </c>
      <c r="F608" s="26" t="inlineStr">
        <is>
          <t>Journal of Integrated Science and Technology</t>
        </is>
      </c>
      <c r="G608" s="26" t="inlineStr">
        <is>
          <t>Review</t>
        </is>
      </c>
      <c r="H608" s="26" t="inlineStr">
        <is>
          <t>10.62110/sciencein.jist.2024.v12.787</t>
        </is>
      </c>
      <c r="I608" s="26" t="inlineStr">
        <is>
          <t>TA</t>
        </is>
      </c>
      <c r="J608" s="37" t="inlineStr">
        <is>
          <t>Exclude</t>
        </is>
      </c>
      <c r="K608" s="37" t="inlineStr">
        <is>
          <t>Wrong publication type</t>
        </is>
      </c>
      <c r="L608" s="32" t="inlineStr">
        <is>
          <t>Check: healthcare context, supply chain scope unclear</t>
        </is>
      </c>
      <c r="M608" s="37" t="inlineStr">
        <is>
          <t>Revision sistematica (Doc type Review) de modelos de ML para prediccion de enfermedades; gemelos sólo como via futura ("the integration of digital twins for predictive analytics"). Valor para snowballing: bajo.</t>
        </is>
      </c>
      <c r="N608" s="69" t="inlineStr">
        <is>
          <t>E4</t>
        </is>
      </c>
      <c r="O608" s="69" t="n">
        <v>10</v>
      </c>
      <c r="P608" s="69" t="inlineStr">
        <is>
          <t>Exclude</t>
        </is>
      </c>
      <c r="Q608" s="69" t="inlineStr">
        <is>
          <t>E4</t>
        </is>
      </c>
      <c r="R608" s="69" t="inlineStr">
        <is>
          <t>Revision sistematica (Doc type Review) de modelos de ML para prediccion de enfermedades; gemelos sólo como via futura ("the integration of digital twins for predictive analytics"). Valor para snowballing: bajo.</t>
        </is>
      </c>
      <c r="S608" s="69" t="n"/>
    </row>
    <row r="609" ht="23.25" customHeight="1" s="17">
      <c r="A609" s="26" t="inlineStr">
        <is>
          <t>R0608</t>
        </is>
      </c>
      <c r="B609" s="26" t="inlineStr">
        <is>
          <t>Scopus</t>
        </is>
      </c>
      <c r="C609" s="26" t="inlineStr">
        <is>
          <t>Trochoutsos C.; Kalafatelis A.S.; Trakadas P.</t>
        </is>
      </c>
      <c r="D609" s="26" t="n">
        <v>2024</v>
      </c>
      <c r="E609" s="27" t="inlineStr">
        <is>
          <t>TRANSFORMING OFFSET PRINTING WITH DIGITAL TWINS AND AI: INSIGHTS FROM RESEARCH INITIATIVES</t>
        </is>
      </c>
      <c r="F609" s="26" t="inlineStr">
        <is>
          <t>International Symposium on Graphic Engineering and Design</t>
        </is>
      </c>
      <c r="G609" s="26" t="inlineStr">
        <is>
          <t>Conference paper</t>
        </is>
      </c>
      <c r="H609" s="26" t="inlineStr">
        <is>
          <t>10.24867/grid-2024-p46</t>
        </is>
      </c>
      <c r="I609" s="26" t="inlineStr">
        <is>
          <t>TA</t>
        </is>
      </c>
      <c r="J609" s="37" t="inlineStr">
        <is>
          <t>Exclude</t>
        </is>
      </c>
      <c r="K609" s="37" t="inlineStr">
        <is>
          <t>No supply chain scope</t>
        </is>
      </c>
      <c r="L609" s="32" t="inlineStr">
        <is>
          <t>Check: AI terms only in keywords, verify substantive AI component</t>
        </is>
      </c>
      <c r="M609" s="37" t="inlineStr">
        <is>
          <t>Dos casos de uso de gemelos y la plataforma CyclOps en impresion offset hacia "Zero-Defect Manufacturing (ZDM)"; la cadena sólo como motivacion generica ("struggle to leverage this data for supply chain optimization"), sin encuadre del estudio (regla Make, C5); también C8 ("enabling AI-driven models" sin metodo).</t>
        </is>
      </c>
      <c r="N609" s="69" t="inlineStr">
        <is>
          <t>E2</t>
        </is>
      </c>
      <c r="O609" s="69" t="n">
        <v>10</v>
      </c>
      <c r="P609" s="69" t="inlineStr">
        <is>
          <t>Exclude</t>
        </is>
      </c>
      <c r="Q609" s="69" t="inlineStr">
        <is>
          <t>E2</t>
        </is>
      </c>
      <c r="R609" s="69" t="inlineStr">
        <is>
          <t>Dos casos de uso de gemelos y la plataforma CyclOps en impresion offset hacia "Zero-Defect Manufacturing (ZDM)"; la cadena sólo como motivacion generica ("struggle to leverage this data for supply chain optimization"), sin encuadre del estudio (regla Make, C5); también C8 ("enabling AI-driven models" sin metodo).</t>
        </is>
      </c>
      <c r="S609" s="69" t="n"/>
    </row>
    <row r="610" ht="23.25" customHeight="1" s="17">
      <c r="A610" s="26" t="inlineStr">
        <is>
          <t>R0609</t>
        </is>
      </c>
      <c r="B610" s="26" t="inlineStr">
        <is>
          <t>WoS</t>
        </is>
      </c>
      <c r="C610" s="26" t="inlineStr">
        <is>
          <t>Escribà-Gelonch, M; Liang, S; van Schalkwyk, P; Fisk, I; Long, NVD; Hessel, V</t>
        </is>
      </c>
      <c r="D610" s="26" t="n">
        <v>2024</v>
      </c>
      <c r="E610" s="27" t="inlineStr">
        <is>
          <t>Digital Twins in Agriculture: Orchestration and Applications</t>
        </is>
      </c>
      <c r="F610" s="26" t="inlineStr">
        <is>
          <t>JOURNAL OF AGRICULTURAL AND FOOD CHEMISTRY</t>
        </is>
      </c>
      <c r="G610" s="26" t="inlineStr">
        <is>
          <t>Review</t>
        </is>
      </c>
      <c r="H610" s="26" t="inlineStr">
        <is>
          <t>10.1021/acs.jafc.4c01934</t>
        </is>
      </c>
      <c r="I610" s="26" t="inlineStr">
        <is>
          <t>TA</t>
        </is>
      </c>
      <c r="J610" s="37" t="inlineStr">
        <is>
          <t>Exclude</t>
        </is>
      </c>
      <c r="K610" s="37" t="inlineStr">
        <is>
          <t>Wrong publication type</t>
        </is>
      </c>
      <c r="L610" s="32" t="inlineStr">
        <is>
          <t>Check: AI terms only in keywords, verify substantive AI component</t>
        </is>
      </c>
      <c r="M610" s="37" t="inlineStr">
        <is>
          <t>Revision (Doc type Review): "In this review, Digital Twin technology is critically reviewed and framed in the context of recent advances in precision agriculture"; incluye poscosecha y cadena de suministro con casos. Valor para snowballing: medio.</t>
        </is>
      </c>
      <c r="N610" s="69" t="inlineStr">
        <is>
          <t>E4</t>
        </is>
      </c>
      <c r="O610" s="69" t="n">
        <v>10</v>
      </c>
      <c r="P610" s="69" t="inlineStr">
        <is>
          <t>Exclude</t>
        </is>
      </c>
      <c r="Q610" s="69" t="inlineStr">
        <is>
          <t>E4</t>
        </is>
      </c>
      <c r="R610" s="69" t="inlineStr">
        <is>
          <t>Revision (Doc type Review): "In this review, Digital Twin technology is critically reviewed and framed in the context of recent advances in precision agriculture"; incluye poscosecha y cadena de suministro con casos. Valor para snowballing: medio.</t>
        </is>
      </c>
      <c r="S610" s="69" t="n"/>
    </row>
    <row r="611" ht="23.25" customHeight="1" s="17">
      <c r="A611" s="26" t="inlineStr">
        <is>
          <t>R0610</t>
        </is>
      </c>
      <c r="B611" s="26" t="inlineStr">
        <is>
          <t>Scopus + WoS</t>
        </is>
      </c>
      <c r="C611" s="26" t="inlineStr">
        <is>
          <t>Ghaboura S.; Ferdousi R.; Laamarti F.; Yang C.; Saddik A.E.</t>
        </is>
      </c>
      <c r="D611" s="26" t="n">
        <v>2023</v>
      </c>
      <c r="E611" s="27" t="inlineStr">
        <is>
          <t>Digital Twin for Railway: A Comprehensive Survey</t>
        </is>
      </c>
      <c r="F611" s="26" t="inlineStr">
        <is>
          <t>IEEE Access</t>
        </is>
      </c>
      <c r="G611" s="26" t="inlineStr">
        <is>
          <t>Article</t>
        </is>
      </c>
      <c r="H611" s="26" t="inlineStr">
        <is>
          <t>10.1109/access.2023.3327042</t>
        </is>
      </c>
      <c r="I611" s="26" t="inlineStr">
        <is>
          <t>TA</t>
        </is>
      </c>
      <c r="J611" s="37" t="inlineStr">
        <is>
          <t>Exclude</t>
        </is>
      </c>
      <c r="K611" s="37" t="inlineStr">
        <is>
          <t>Wrong publication type</t>
        </is>
      </c>
      <c r="L611" s="32" t="inlineStr">
        <is>
          <t>Check: AI terms only in keywords, verify substantive AI component</t>
        </is>
      </c>
      <c r="M611" s="37" t="inlineStr">
        <is>
          <t>Encuesta de literatura declarada ("Digital Twin for Railway: A Comprehensive Survey"; "this survey clarifies how DT can serve the railway twin system designers and developers"); logistica de manufactura ferroviaria sólo mencionada. Valor para snowballing: bajo.</t>
        </is>
      </c>
      <c r="N611" s="69" t="inlineStr">
        <is>
          <t>E4</t>
        </is>
      </c>
      <c r="O611" s="69" t="n">
        <v>10</v>
      </c>
      <c r="P611" s="69" t="inlineStr">
        <is>
          <t>Exclude</t>
        </is>
      </c>
      <c r="Q611" s="69" t="inlineStr">
        <is>
          <t>E4</t>
        </is>
      </c>
      <c r="R611" s="69" t="inlineStr">
        <is>
          <t>Encuesta de literatura declarada ("Digital Twin for Railway: A Comprehensive Survey"; "this survey clarifies how DT can serve the railway twin system designers and developers"); logistica de manufactura ferroviaria sólo mencionada. Valor para snowballing: bajo.</t>
        </is>
      </c>
      <c r="S611" s="69" t="n"/>
    </row>
    <row r="612" ht="23.25" customHeight="1" s="17">
      <c r="A612" s="26" t="inlineStr">
        <is>
          <t>R0611</t>
        </is>
      </c>
      <c r="B612" s="26" t="inlineStr">
        <is>
          <t>Scopus</t>
        </is>
      </c>
      <c r="C612" s="26" t="inlineStr">
        <is>
          <t>Sharma B.; Kaushal D.; Joshi S.; Sharma M.; Bafila S.</t>
        </is>
      </c>
      <c r="D612" s="26" t="n">
        <v>2023</v>
      </c>
      <c r="E612" s="27" t="inlineStr">
        <is>
          <t>Transforming Healthcare: Exploring the Impact and Potential of Digital Twin Technology</t>
        </is>
      </c>
      <c r="F612" s="26" t="inlineStr">
        <is>
          <t>2023 1st DMIHER International Conference on Artificial Intelligence in Education and Industry 4.0, IDICAIEI 2023</t>
        </is>
      </c>
      <c r="G612" s="26" t="inlineStr">
        <is>
          <t>Conference paper</t>
        </is>
      </c>
      <c r="H612" s="26" t="inlineStr">
        <is>
          <t>10.1109/idicaiei58380.2023.10406632</t>
        </is>
      </c>
      <c r="I612" s="26" t="inlineStr">
        <is>
          <t>TA</t>
        </is>
      </c>
      <c r="J612" s="37" t="inlineStr">
        <is>
          <t>Exclude</t>
        </is>
      </c>
      <c r="K612" s="37" t="inlineStr">
        <is>
          <t>No supply chain scope</t>
        </is>
      </c>
      <c r="L612" s="32" t="inlineStr">
        <is>
          <t>Check: healthcare context, supply chain scope unclear</t>
        </is>
      </c>
      <c r="M612" s="37" t="inlineStr">
        <is>
          <t>Panorama de gemelos en salud ("Digital reproductions of human organs, bodily systems, and processes"); la cadena aparece sólo como palabra clave de autor ("Vaccine Supply Chain") sin rastro en el resumen (precedente R0216).</t>
        </is>
      </c>
      <c r="N612" s="69" t="inlineStr">
        <is>
          <t>E2</t>
        </is>
      </c>
      <c r="O612" s="69" t="n">
        <v>10</v>
      </c>
      <c r="P612" s="69" t="inlineStr">
        <is>
          <t>Exclude</t>
        </is>
      </c>
      <c r="Q612" s="69" t="inlineStr">
        <is>
          <t>E2</t>
        </is>
      </c>
      <c r="R612" s="69" t="inlineStr">
        <is>
          <t>Panorama de gemelos en salud ("Digital reproductions of human organs, bodily systems, and processes"); la cadena aparece sólo como palabra clave de autor ("Vaccine Supply Chain") sin rastro en el resumen (precedente R0216).</t>
        </is>
      </c>
      <c r="S612" s="69" t="n"/>
    </row>
    <row r="613" ht="23.25" customHeight="1" s="17">
      <c r="A613" s="26" t="inlineStr">
        <is>
          <t>R0612</t>
        </is>
      </c>
      <c r="B613" s="26" t="inlineStr">
        <is>
          <t>Scopus + WoS</t>
        </is>
      </c>
      <c r="C613" s="26" t="inlineStr">
        <is>
          <t>Liebenberg M.; Jarke M.</t>
        </is>
      </c>
      <c r="D613" s="26" t="n">
        <v>2023</v>
      </c>
      <c r="E613" s="27" t="inlineStr">
        <is>
          <t>Information systems engineering with Digital Shadows: Concept and use cases in the Internet of Production</t>
        </is>
      </c>
      <c r="F613" s="26" t="inlineStr">
        <is>
          <t>Information Systems</t>
        </is>
      </c>
      <c r="G613" s="26" t="inlineStr">
        <is>
          <t>Article</t>
        </is>
      </c>
      <c r="H613" s="26" t="inlineStr">
        <is>
          <t>10.1016/j.is.2023.102182</t>
        </is>
      </c>
      <c r="I613" s="26" t="inlineStr">
        <is>
          <t>TA</t>
        </is>
      </c>
      <c r="J613" s="37" t="inlineStr">
        <is>
          <t>Exclude</t>
        </is>
      </c>
      <c r="K613" s="37" t="inlineStr">
        <is>
          <t>No supply chain scope</t>
        </is>
      </c>
      <c r="L613" s="32" t="inlineStr">
        <is>
          <t>Check: AI terms only in keywords, verify substantive AI component</t>
        </is>
      </c>
      <c r="M613" s="37" t="inlineStr">
        <is>
          <t>Concepto de sombras digitales del Internet of Production con dos casos de produccion ("Two production use case experiences demonstrate that Digital Shadows can be valuable carriers"); la logistica de cadena sólo en el recorrido introductorio de modelos ("from molecular materials modeling to production control to supply chain logistics"), sin encuadre (regla Make, C5).</t>
        </is>
      </c>
      <c r="N613" s="69" t="inlineStr">
        <is>
          <t>E2</t>
        </is>
      </c>
      <c r="O613" s="69" t="n">
        <v>10</v>
      </c>
      <c r="P613" s="69" t="inlineStr">
        <is>
          <t>Exclude</t>
        </is>
      </c>
      <c r="Q613" s="69" t="inlineStr">
        <is>
          <t>E2</t>
        </is>
      </c>
      <c r="R613" s="69" t="inlineStr">
        <is>
          <t>Concepto de sombras digitales del Internet of Production con dos casos de produccion ("Two production use case experiences demonstrate that Digital Shadows can be valuable carriers"); la logistica de cadena sólo en el recorrido introductorio de modelos ("from molecular materials modeling to production control to supply chain logistics"), sin encuadre (regla Make, C5).</t>
        </is>
      </c>
      <c r="S613" s="69" t="n"/>
    </row>
    <row r="614" ht="23.25" customHeight="1" s="17">
      <c r="A614" s="26" t="inlineStr">
        <is>
          <t>R0613</t>
        </is>
      </c>
      <c r="B614" s="26" t="inlineStr">
        <is>
          <t>Scopus</t>
        </is>
      </c>
      <c r="C614" s="26" t="inlineStr">
        <is>
          <t>Sneps-Sneppe M.; Namiot D.</t>
        </is>
      </c>
      <c r="D614" s="26" t="n">
        <v>2023</v>
      </c>
      <c r="E614" s="27" t="inlineStr">
        <is>
          <t>On Digital Twin Software and Cyber Threats</t>
        </is>
      </c>
      <c r="F614" s="26" t="inlineStr">
        <is>
          <t>Lecture Notes in Computer Science (including subseries Lecture Notes in Artificial Intelligence and Lecture Notes in Bioinformatics)</t>
        </is>
      </c>
      <c r="G614" s="26" t="inlineStr">
        <is>
          <t>Conference paper</t>
        </is>
      </c>
      <c r="H614" s="26" t="inlineStr">
        <is>
          <t>10.1007/978-3-031-30258-9_43</t>
        </is>
      </c>
      <c r="I614" s="26" t="inlineStr">
        <is>
          <t>TA</t>
        </is>
      </c>
      <c r="J614" s="37" t="inlineStr">
        <is>
          <t>Exclude</t>
        </is>
      </c>
      <c r="K614" s="37" t="inlineStr">
        <is>
          <t>No digital twin/model</t>
        </is>
      </c>
      <c r="L614" s="32" t="inlineStr">
        <is>
          <t>Check: AI terms only in keywords, verify substantive AI component</t>
        </is>
      </c>
      <c r="M614" s="37" t="inlineStr">
        <is>
          <t>Ensayo sobre ciberguerra y complejidad del software (F-35, Colonial Pipeline); el gemelo sólo en el titulo y las palabras clave, sin aparecer en el resumen ("software products are becoming overly complex, practically exceeding the resources of mankind"), C1; también E2 y E3.</t>
        </is>
      </c>
      <c r="N614" s="69" t="inlineStr">
        <is>
          <t>E1</t>
        </is>
      </c>
      <c r="O614" s="69" t="n">
        <v>10</v>
      </c>
      <c r="P614" s="69" t="inlineStr">
        <is>
          <t>Exclude</t>
        </is>
      </c>
      <c r="Q614" s="69" t="inlineStr">
        <is>
          <t>E1</t>
        </is>
      </c>
      <c r="R614" s="69" t="inlineStr">
        <is>
          <t>Ensayo sobre ciberguerra y complejidad del software (F-35, Colonial Pipeline); el gemelo sólo en el titulo y las palabras clave, sin aparecer en el resumen ("software products are becoming overly complex, practically exceeding the resources of mankind"), C1; también E2 y E3.</t>
        </is>
      </c>
      <c r="S614" s="69" t="n"/>
    </row>
    <row r="615" ht="23.25" customHeight="1" s="17">
      <c r="A615" s="26" t="inlineStr">
        <is>
          <t>R0614</t>
        </is>
      </c>
      <c r="B615" s="26" t="inlineStr">
        <is>
          <t>Scopus + WoS</t>
        </is>
      </c>
      <c r="C615" s="26" t="inlineStr">
        <is>
          <t>Biller B.; Biller S.</t>
        </is>
      </c>
      <c r="D615" s="26" t="n">
        <v>2023</v>
      </c>
      <c r="E615" s="27" t="inlineStr">
        <is>
          <t>Implementing Digital Twins That Learn: AI and Simulation Are at the Core</t>
        </is>
      </c>
      <c r="F615" s="26" t="inlineStr">
        <is>
          <t>Machines</t>
        </is>
      </c>
      <c r="G615" s="26" t="inlineStr">
        <is>
          <t>Article</t>
        </is>
      </c>
      <c r="H615" s="26" t="inlineStr">
        <is>
          <t>10.3390/machines11040425</t>
        </is>
      </c>
      <c r="I615" s="26" t="inlineStr">
        <is>
          <t>TA</t>
        </is>
      </c>
      <c r="J615" s="37" t="inlineStr">
        <is>
          <t>Include</t>
        </is>
      </c>
      <c r="K615" s="37" t="n"/>
      <c r="L615" s="32" t="inlineStr">
        <is>
          <t>Check: AI terms only in keywords, verify substantive AI component</t>
        </is>
      </c>
      <c r="M615" s="37" t="inlineStr">
        <is>
          <t>Articulo conceptual sobre gemelos de proceso para cadenas resilientes con la IA como nucleo: "We discuss how key digital twin functions and enabling AI and simulation technologies integrate to describe, predict, and optimize supply chains for Industry 4.0 implementations"; conceptual tipo Ivanov (C3), la IA es componente definitorio del gemelo propuesto, no una mencion.</t>
        </is>
      </c>
      <c r="N615" s="69" t="inlineStr">
        <is>
          <t>I</t>
        </is>
      </c>
      <c r="O615" s="69" t="n">
        <v>10</v>
      </c>
      <c r="P615" s="69" t="inlineStr">
        <is>
          <t>Include</t>
        </is>
      </c>
      <c r="Q615" s="69" t="inlineStr">
        <is>
          <t>I</t>
        </is>
      </c>
      <c r="R615" s="69" t="inlineStr">
        <is>
          <t>Articulo conceptual sobre gemelos de proceso para cadenas resilientes con la IA como nucleo: "We discuss how key digital twin functions and enabling AI and simulation technologies integrate to describe, predict, and optimize supply chains for Industry 4.0 implementations"; conceptual tipo Ivanov (C3), la IA es componente definitorio del gemelo propuesto, no una mencion.</t>
        </is>
      </c>
      <c r="S615" s="69" t="n"/>
    </row>
    <row r="616" ht="23.25" customHeight="1" s="17">
      <c r="A616" s="26" t="inlineStr">
        <is>
          <t>R0615</t>
        </is>
      </c>
      <c r="B616" s="26" t="inlineStr">
        <is>
          <t>Scopus + WoS</t>
        </is>
      </c>
      <c r="C616" s="26" t="inlineStr">
        <is>
          <t>Sommer M.; Stjepandić J.; Stobrawa S.; Soden M.V.</t>
        </is>
      </c>
      <c r="D616" s="26" t="n">
        <v>2023</v>
      </c>
      <c r="E616" s="27" t="inlineStr">
        <is>
          <t>Automated generation of digital twin for a built environment using scan and object detection as input for production planning</t>
        </is>
      </c>
      <c r="F616" s="26" t="inlineStr">
        <is>
          <t>Journal of Industrial Information Integration</t>
        </is>
      </c>
      <c r="G616" s="26" t="inlineStr">
        <is>
          <t>Article</t>
        </is>
      </c>
      <c r="H616" s="26" t="inlineStr">
        <is>
          <t>10.1016/j.jii.2023.100462</t>
        </is>
      </c>
      <c r="I616" s="26" t="inlineStr">
        <is>
          <t>TA</t>
        </is>
      </c>
      <c r="J616" s="37" t="inlineStr">
        <is>
          <t>Exclude</t>
        </is>
      </c>
      <c r="K616" s="37" t="inlineStr">
        <is>
          <t>No supply chain scope</t>
        </is>
      </c>
      <c r="L616" s="32" t="inlineStr">
        <is>
          <t>Check: AI terms only in keywords, verify substantive AI component</t>
        </is>
      </c>
      <c r="M616" s="37" t="inlineStr">
        <is>
          <t>Generacion automatica del gemelo de fabrica por escaneo y reconocimiento de objetos para planeacion de produccion; la logistica sólo como beneficio generico ("room for improvement in production and logistics processes"), sin encuadre de flujo de materiales (regla Make, C5).</t>
        </is>
      </c>
      <c r="N616" s="69" t="inlineStr">
        <is>
          <t>E2</t>
        </is>
      </c>
      <c r="O616" s="69" t="n">
        <v>10</v>
      </c>
      <c r="P616" s="69" t="inlineStr">
        <is>
          <t>Exclude</t>
        </is>
      </c>
      <c r="Q616" s="69" t="inlineStr">
        <is>
          <t>E2</t>
        </is>
      </c>
      <c r="R616" s="69" t="inlineStr">
        <is>
          <t>Generacion automatica del gemelo de fabrica por escaneo y reconocimiento de objetos para planeacion de produccion; la logistica sólo como beneficio generico ("room for improvement in production and logistics processes"), sin encuadre de flujo de materiales (regla Make, C5).</t>
        </is>
      </c>
      <c r="S616" s="69" t="n"/>
    </row>
    <row r="617" ht="23.25" customHeight="1" s="17">
      <c r="A617" s="26" t="inlineStr">
        <is>
          <t>R0616</t>
        </is>
      </c>
      <c r="B617" s="26" t="inlineStr">
        <is>
          <t>Scopus + WoS</t>
        </is>
      </c>
      <c r="C617" s="26" t="inlineStr">
        <is>
          <t>Abouelrous A.; Bliek L.; Zhang Y.</t>
        </is>
      </c>
      <c r="D617" s="26" t="n">
        <v>2023</v>
      </c>
      <c r="E617" s="27" t="inlineStr">
        <is>
          <t>Digital twin applications in urban logistics: an overview</t>
        </is>
      </c>
      <c r="F617" s="26" t="inlineStr">
        <is>
          <t>Urban, Planning and Transport Research</t>
        </is>
      </c>
      <c r="G617" s="26" t="inlineStr">
        <is>
          <t>Review</t>
        </is>
      </c>
      <c r="H617" s="26" t="inlineStr">
        <is>
          <t>10.1080/21650020.2023.2216768</t>
        </is>
      </c>
      <c r="I617" s="26" t="inlineStr">
        <is>
          <t>TA</t>
        </is>
      </c>
      <c r="J617" s="37" t="inlineStr">
        <is>
          <t>Exclude</t>
        </is>
      </c>
      <c r="K617" s="37" t="inlineStr">
        <is>
          <t>Wrong publication type</t>
        </is>
      </c>
      <c r="L617" s="32" t="inlineStr">
        <is>
          <t>Check: AI terms only in keywords, verify substantive AI component</t>
        </is>
      </c>
      <c r="M617" s="37" t="inlineStr">
        <is>
          <t>Revision (Doc type Review) con modelo conceptual: "we survey previous research on DT applications in urban logistics as we found that a holistic overview is lacking"; palabras clave de IA y ML y metodos DDO. Valor para snowballing: alto.</t>
        </is>
      </c>
      <c r="N617" s="69" t="inlineStr">
        <is>
          <t>E4</t>
        </is>
      </c>
      <c r="O617" s="69" t="n">
        <v>10</v>
      </c>
      <c r="P617" s="69" t="inlineStr">
        <is>
          <t>Exclude</t>
        </is>
      </c>
      <c r="Q617" s="69" t="inlineStr">
        <is>
          <t>E4</t>
        </is>
      </c>
      <c r="R617" s="69" t="inlineStr">
        <is>
          <t>Revision (Doc type Review) con modelo conceptual: "we survey previous research on DT applications in urban logistics as we found that a holistic overview is lacking"; palabras clave de IA y ML y metodos DDO. Valor para snowballing: alto.</t>
        </is>
      </c>
      <c r="S617" s="69" t="n"/>
    </row>
    <row r="618" ht="23.25" customHeight="1" s="17">
      <c r="A618" s="26" t="inlineStr">
        <is>
          <t>R0617</t>
        </is>
      </c>
      <c r="B618" s="26" t="inlineStr">
        <is>
          <t>Scopus</t>
        </is>
      </c>
      <c r="C618" s="26" t="inlineStr">
        <is>
          <t>Margaria T.; Schieweck A.</t>
        </is>
      </c>
      <c r="D618" s="26" t="n">
        <v>2022</v>
      </c>
      <c r="E618" s="27" t="inlineStr">
        <is>
          <t>Active Behavior Mining for Digital Twins Extraction</t>
        </is>
      </c>
      <c r="F618" s="26" t="inlineStr">
        <is>
          <t>IT Professional</t>
        </is>
      </c>
      <c r="G618" s="26" t="inlineStr">
        <is>
          <t>Article</t>
        </is>
      </c>
      <c r="H618" s="26" t="inlineStr">
        <is>
          <t>10.1109/mitp.2022.3193044</t>
        </is>
      </c>
      <c r="I618" s="26" t="inlineStr">
        <is>
          <t>TA</t>
        </is>
      </c>
      <c r="J618" s="37" t="inlineStr">
        <is>
          <t>Exclude</t>
        </is>
      </c>
      <c r="K618" s="37" t="inlineStr">
        <is>
          <t>Wrong publication type</t>
        </is>
      </c>
      <c r="L618" s="32" t="inlineStr">
        <is>
          <t>Check: healthcare context, supply chain scope unclear</t>
        </is>
      </c>
      <c r="M618" s="37" t="inlineStr">
        <is>
          <t>Recodificado 2026-09-06 en la auditoría final (E2→E4): Columna editorial (C3): texto de opinión sobre extracción de gemelos para sistemas ciberfísicos; la cadena sólo como ejemplo de uso ("they are used to figure out supply chains8 disruptions for manufacturing"), sin estudio. Valor para snowballing: bajo. | Nota original (E2): Columna editorial sobre extraccion de gemelos para sistemas ciberfisicos; la cadena sólo como ejemplo de uso ("they are used to figure out supply chains8 disruptions for manufacturing"), sin estudio ni encuadre.</t>
        </is>
      </c>
      <c r="N618" s="69" t="inlineStr">
        <is>
          <t>E4</t>
        </is>
      </c>
      <c r="O618" s="69" t="n">
        <v>10</v>
      </c>
      <c r="P618" s="69" t="inlineStr">
        <is>
          <t>Exclude</t>
        </is>
      </c>
      <c r="Q618" s="69" t="inlineStr">
        <is>
          <t>E2</t>
        </is>
      </c>
      <c r="R618" s="69" t="inlineStr">
        <is>
          <t>Columna editorial sobre extraccion de gemelos para sistemas ciberfisicos; la cadena sólo como ejemplo de uso ("they are used to figure out supply chains8 disruptions for manufacturing"), sin estudio ni encuadre.</t>
        </is>
      </c>
      <c r="S618" s="69" t="n"/>
    </row>
    <row r="619" ht="23.25" customHeight="1" s="17">
      <c r="A619" s="26" t="inlineStr">
        <is>
          <t>R0618</t>
        </is>
      </c>
      <c r="B619" s="26" t="inlineStr">
        <is>
          <t>Scopus</t>
        </is>
      </c>
      <c r="C619" s="26" t="inlineStr">
        <is>
          <t>Alves L.; Ferreira Cruz E.; Lopes S.I.; Faria P.M.; Rosado da Cruz A.M.</t>
        </is>
      </c>
      <c r="D619" s="26" t="n">
        <v>2022</v>
      </c>
      <c r="E619" s="27" t="inlineStr">
        <is>
          <t>Towards circular economy in the textiles and clothing value chain through blockchain technology and IoT: A review</t>
        </is>
      </c>
      <c r="F619" s="26" t="inlineStr">
        <is>
          <t>Waste Management and Research</t>
        </is>
      </c>
      <c r="G619" s="26" t="inlineStr">
        <is>
          <t>Review</t>
        </is>
      </c>
      <c r="H619" s="26" t="inlineStr">
        <is>
          <t>10.1177/0734242x211052858</t>
        </is>
      </c>
      <c r="I619" s="26" t="inlineStr">
        <is>
          <t>TA</t>
        </is>
      </c>
      <c r="J619" s="37" t="inlineStr">
        <is>
          <t>Exclude</t>
        </is>
      </c>
      <c r="K619" s="37" t="inlineStr">
        <is>
          <t>Wrong publication type</t>
        </is>
      </c>
      <c r="L619" s="32" t="inlineStr">
        <is>
          <t>Check: AI terms only in keywords, verify substantive AI component</t>
        </is>
      </c>
      <c r="M619" s="37" t="inlineStr">
        <is>
          <t>Revision (Doc type Review): "we review the current approaches for traceability in the textile and clothing value chain"; gemelos como identidades de articulos trazables (C6). Valor para snowballing: bajo.</t>
        </is>
      </c>
      <c r="N619" s="69" t="inlineStr">
        <is>
          <t>E4</t>
        </is>
      </c>
      <c r="O619" s="69" t="n">
        <v>10</v>
      </c>
      <c r="P619" s="69" t="inlineStr">
        <is>
          <t>Exclude</t>
        </is>
      </c>
      <c r="Q619" s="69" t="inlineStr">
        <is>
          <t>E4</t>
        </is>
      </c>
      <c r="R619" s="69" t="inlineStr">
        <is>
          <t>Revision (Doc type Review): "we review the current approaches for traceability in the textile and clothing value chain"; gemelos como identidades de articulos trazables (C6). Valor para snowballing: bajo.</t>
        </is>
      </c>
      <c r="S619" s="69" t="n"/>
    </row>
    <row r="620" ht="23.25" customHeight="1" s="17">
      <c r="A620" s="26" t="inlineStr">
        <is>
          <t>R0619</t>
        </is>
      </c>
      <c r="B620" s="26" t="inlineStr">
        <is>
          <t>Scopus</t>
        </is>
      </c>
      <c r="C620" s="26" t="inlineStr">
        <is>
          <t>Salis A.; Marguglio A.; De Luca G.; Razzetti S.; Quadrini W.; Gusmeroli S.</t>
        </is>
      </c>
      <c r="D620" s="26" t="n">
        <v>2022</v>
      </c>
      <c r="E620" s="27" t="inlineStr">
        <is>
          <t>An Edge-Cloud based Reference Architecture to support cognitive solutions in Process Industry</t>
        </is>
      </c>
      <c r="F620" s="26" t="inlineStr">
        <is>
          <t>Procedia Computer Science</t>
        </is>
      </c>
      <c r="G620" s="26" t="inlineStr">
        <is>
          <t>Conference paper</t>
        </is>
      </c>
      <c r="H620" s="26" t="inlineStr">
        <is>
          <t>10.1016/j.procs.2022.12.198</t>
        </is>
      </c>
      <c r="I620" s="26" t="inlineStr">
        <is>
          <t>TA</t>
        </is>
      </c>
      <c r="J620" s="37" t="inlineStr">
        <is>
          <t>Exclude</t>
        </is>
      </c>
      <c r="K620" s="37" t="inlineStr">
        <is>
          <t>No digital twin/model</t>
        </is>
      </c>
      <c r="L620" s="32" t="inlineStr">
        <is>
          <t>Check: AI terms only in keywords, verify substantive AI component</t>
        </is>
      </c>
      <c r="M620" s="37" t="inlineStr">
        <is>
          <t>Arquitectura de referencia borde-nube para la industria de proceso validada en tres plantas piloto; el gemelo sólo como tecnologia habilitadora generica ("process modelling-simulation via digital twins, can build a bridge") y la cadena sólo como resultado esperado ("optimizing the efficiency and reliability of the supply chain"), C1.</t>
        </is>
      </c>
      <c r="N620" s="69" t="inlineStr">
        <is>
          <t>E1</t>
        </is>
      </c>
      <c r="O620" s="69" t="n">
        <v>10</v>
      </c>
      <c r="P620" s="69" t="inlineStr">
        <is>
          <t>Exclude</t>
        </is>
      </c>
      <c r="Q620" s="69" t="inlineStr">
        <is>
          <t>E1</t>
        </is>
      </c>
      <c r="R620" s="69" t="inlineStr">
        <is>
          <t>Arquitectura de referencia borde-nube para la industria de proceso validada en tres plantas piloto; el gemelo sólo como tecnologia habilitadora generica ("process modelling-simulation via digital twins, can build a bridge") y la cadena sólo como resultado esperado ("optimizing the efficiency and reliability of the supply chain"), C1.</t>
        </is>
      </c>
      <c r="S620" s="69" t="n"/>
    </row>
    <row r="621" ht="23.25" customHeight="1" s="17">
      <c r="A621" s="26" t="inlineStr">
        <is>
          <t>R0620</t>
        </is>
      </c>
      <c r="B621" s="26" t="inlineStr">
        <is>
          <t>Scopus + WoS</t>
        </is>
      </c>
      <c r="C621" s="26" t="inlineStr">
        <is>
          <t>Kamble S.S.; Gunasekaran A.; Parekh H.; Mani V.; Belhadi A.; Sharma R.</t>
        </is>
      </c>
      <c r="D621" s="26" t="n">
        <v>2022</v>
      </c>
      <c r="E621" s="27" t="inlineStr">
        <is>
          <t>Digital twin for sustainable manufacturing supply chains: Current trends, future perspectives, and an implementation framework</t>
        </is>
      </c>
      <c r="F621" s="26" t="inlineStr">
        <is>
          <t>Technological Forecasting and Social Change</t>
        </is>
      </c>
      <c r="G621" s="26" t="inlineStr">
        <is>
          <t>Article</t>
        </is>
      </c>
      <c r="H621" s="26" t="inlineStr">
        <is>
          <t>10.1016/j.techfore.2021.121448</t>
        </is>
      </c>
      <c r="I621" s="26" t="inlineStr">
        <is>
          <t>TA</t>
        </is>
      </c>
      <c r="J621" s="37" t="inlineStr">
        <is>
          <t>Exclude</t>
        </is>
      </c>
      <c r="K621" s="37" t="inlineStr">
        <is>
          <t>Wrong publication type</t>
        </is>
      </c>
      <c r="L621" s="32" t="inlineStr">
        <is>
          <t>Check: AI terms only in keywords, verify substantive AI component</t>
        </is>
      </c>
      <c r="M621" s="37" t="inlineStr">
        <is>
          <t>Revision sistematica de 98 articulos ("This paper presents a systematic literature review of 98 research papers on various digital supply chain twin dimensions") con marco de implementacion; palabra clave de IA. Valor para snowballing: alto.</t>
        </is>
      </c>
      <c r="N621" s="69" t="inlineStr">
        <is>
          <t>E4</t>
        </is>
      </c>
      <c r="O621" s="69" t="n">
        <v>10</v>
      </c>
      <c r="P621" s="69" t="inlineStr">
        <is>
          <t>Exclude</t>
        </is>
      </c>
      <c r="Q621" s="69" t="inlineStr">
        <is>
          <t>E4</t>
        </is>
      </c>
      <c r="R621" s="69" t="inlineStr">
        <is>
          <t>Revision sistematica de 98 articulos ("This paper presents a systematic literature review of 98 research papers on various digital supply chain twin dimensions") con marco de implementacion; palabra clave de IA. Valor para snowballing: alto.</t>
        </is>
      </c>
      <c r="S621" s="69" t="n"/>
    </row>
    <row r="622" ht="23.25" customHeight="1" s="17">
      <c r="A622" s="26" t="inlineStr">
        <is>
          <t>R0621</t>
        </is>
      </c>
      <c r="B622" s="26" t="inlineStr">
        <is>
          <t>Scopus</t>
        </is>
      </c>
      <c r="C622" s="26" t="inlineStr">
        <is>
          <t>Melesse T.Y.; Bollo M.; Di Pasquale V.; Riemma S.</t>
        </is>
      </c>
      <c r="D622" s="26" t="n">
        <v>2022</v>
      </c>
      <c r="E622" s="27" t="inlineStr">
        <is>
          <t>Digital Twin for Inventory Planning of Fresh Produce</t>
        </is>
      </c>
      <c r="F622" s="26" t="inlineStr">
        <is>
          <t>IFAC-PapersOnLine</t>
        </is>
      </c>
      <c r="G622" s="26" t="inlineStr">
        <is>
          <t>Conference paper</t>
        </is>
      </c>
      <c r="H622" s="26" t="inlineStr">
        <is>
          <t>10.1016/j.ifacol.2022.10.134</t>
        </is>
      </c>
      <c r="I622" s="26" t="inlineStr">
        <is>
          <t>TA</t>
        </is>
      </c>
      <c r="J622" s="37" t="inlineStr">
        <is>
          <t>Include</t>
        </is>
      </c>
      <c r="K622" s="37" t="n"/>
      <c r="L622" s="32" t="inlineStr">
        <is>
          <t>Check: AI terms only in keywords, verify substantive AI component</t>
        </is>
      </c>
      <c r="M622" s="37" t="inlineStr">
        <is>
          <t>Resuelto 2026-09-06 por Rodrigo: el pronostico de SAP Analytics Cloud sí cuenta. Gemelo para planeacion de inventario de fruta fresca en el banco de alimentos italiano ("the use of historical time-series data to create a digital twin that can anticipate future events"), con pronostico predictivo ejecutado en la herramienta ("The SAP Analytics Cloud was used to create a solution"; palabra clave "Predictive Forecast"); analitica predictiva operando en el gemelo (C8, tercera precision).</t>
        </is>
      </c>
      <c r="N622" s="69" t="inlineStr">
        <is>
          <t>I</t>
        </is>
      </c>
      <c r="O622" s="69" t="n">
        <v>10</v>
      </c>
      <c r="P622" s="69" t="inlineStr">
        <is>
          <t>Exclude</t>
        </is>
      </c>
      <c r="Q622" s="69" t="inlineStr">
        <is>
          <t>E3</t>
        </is>
      </c>
      <c r="R622" s="69" t="inlineStr">
        <is>
          <t>Gemelo para planeacion de inventario de fruta fresca en el banco de alimentos italiano ("the use of historical time-series data to create a digital twin that can anticipate future events"); el pronostico es una capacidad de una herramienta comercial ("The SAP Analytics Cloud was used to create a solution") sin clase de modelo nombrada, misma forma que R0631 (C8: herramienta, no metodo). Antecedente C8: alto (cadena alimentaria perecedera).</t>
        </is>
      </c>
      <c r="S622" s="69" t="n"/>
    </row>
    <row r="623" ht="23.25" customHeight="1" s="17">
      <c r="A623" s="26" t="inlineStr">
        <is>
          <t>R0622</t>
        </is>
      </c>
      <c r="B623" s="26" t="inlineStr">
        <is>
          <t>Scopus + WoS</t>
        </is>
      </c>
      <c r="C623" s="26" t="inlineStr">
        <is>
          <t>Jeong D.-Y.; Baek M.-S.; Lim T.-B.; Kim Y.-W.; Kim S.-H.; Lee Y.-T.; Jung W.-S.; Lee I.-B.</t>
        </is>
      </c>
      <c r="D623" s="26" t="n">
        <v>2022</v>
      </c>
      <c r="E623" s="27" t="inlineStr">
        <is>
          <t>Digital Twin: Technology Evolution Stages and Implementation Layers with Technology Elements</t>
        </is>
      </c>
      <c r="F623" s="26" t="inlineStr">
        <is>
          <t>IEEE Access</t>
        </is>
      </c>
      <c r="G623" s="26" t="inlineStr">
        <is>
          <t>Article</t>
        </is>
      </c>
      <c r="H623" s="26" t="inlineStr">
        <is>
          <t>10.1109/access.2022.3174220</t>
        </is>
      </c>
      <c r="I623" s="26" t="inlineStr">
        <is>
          <t>TA</t>
        </is>
      </c>
      <c r="J623" s="37" t="inlineStr">
        <is>
          <t>Exclude</t>
        </is>
      </c>
      <c r="K623" s="37" t="inlineStr">
        <is>
          <t>No supply chain scope</t>
        </is>
      </c>
      <c r="L623" s="32" t="inlineStr">
        <is>
          <t>Check: AI terms only in keywords, verify substantive AI component</t>
        </is>
      </c>
      <c r="M623" s="37" t="inlineStr">
        <is>
          <t>Capas de implementacion y etapas de evolucion del gemelo como tecnologia; la logistica sólo entre los dominios de aplicacion listados ("energy, transportation, logistics, environment, manufacturing, and smart cities"), sin encuadre.</t>
        </is>
      </c>
      <c r="N623" s="69" t="inlineStr">
        <is>
          <t>E2</t>
        </is>
      </c>
      <c r="O623" s="69" t="n">
        <v>10</v>
      </c>
      <c r="P623" s="69" t="inlineStr">
        <is>
          <t>Exclude</t>
        </is>
      </c>
      <c r="Q623" s="69" t="inlineStr">
        <is>
          <t>E2</t>
        </is>
      </c>
      <c r="R623" s="69" t="inlineStr">
        <is>
          <t>Capas de implementacion y etapas de evolucion del gemelo como tecnologia; la logistica sólo entre los dominios de aplicacion listados ("energy, transportation, logistics, environment, manufacturing, and smart cities"), sin encuadre.</t>
        </is>
      </c>
      <c r="S623" s="69" t="n"/>
    </row>
    <row r="624" ht="23.25" customHeight="1" s="17">
      <c r="A624" s="26" t="inlineStr">
        <is>
          <t>R0623</t>
        </is>
      </c>
      <c r="B624" s="26" t="inlineStr">
        <is>
          <t>Scopus</t>
        </is>
      </c>
      <c r="C624" s="26" t="inlineStr">
        <is>
          <t>Yu H.</t>
        </is>
      </c>
      <c r="D624" s="26" t="n">
        <v>2022</v>
      </c>
      <c r="E624" s="27" t="inlineStr">
        <is>
          <t>Modeling a remanufacturing reverse logistics planning problem: some insights into disruptive technology adoption</t>
        </is>
      </c>
      <c r="F624" s="26" t="inlineStr">
        <is>
          <t>International Journal of Advanced Manufacturing Technology</t>
        </is>
      </c>
      <c r="G624" s="26" t="inlineStr">
        <is>
          <t>Article</t>
        </is>
      </c>
      <c r="H624" s="26" t="inlineStr">
        <is>
          <t>10.1007/s00170-022-10387-w</t>
        </is>
      </c>
      <c r="I624" s="26" t="inlineStr">
        <is>
          <t>TA</t>
        </is>
      </c>
      <c r="J624" s="37" t="inlineStr">
        <is>
          <t>Exclude</t>
        </is>
      </c>
      <c r="K624" s="37" t="inlineStr">
        <is>
          <t>No digital twin/model</t>
        </is>
      </c>
      <c r="L624" s="32" t="inlineStr">
        <is>
          <t>Check: AI terms only in keywords, verify substantive AI component</t>
        </is>
      </c>
      <c r="M624" s="37" t="inlineStr">
        <is>
          <t>Programa entero mixto para logistica inversa de remanufactura; los gemelos sólo en la lista de tecnologias disruptivas discutidas ("the Internet of things (IoT), smart robots, cloud-based digital twins, and additive manufacturing"), C1; también E3.</t>
        </is>
      </c>
      <c r="N624" s="69" t="inlineStr">
        <is>
          <t>E1</t>
        </is>
      </c>
      <c r="O624" s="69" t="n">
        <v>10</v>
      </c>
      <c r="P624" s="69" t="inlineStr">
        <is>
          <t>Exclude</t>
        </is>
      </c>
      <c r="Q624" s="69" t="inlineStr">
        <is>
          <t>E1</t>
        </is>
      </c>
      <c r="R624" s="69" t="inlineStr">
        <is>
          <t>Programa entero mixto para logistica inversa de remanufactura; los gemelos sólo en la lista de tecnologias disruptivas discutidas ("the Internet of things (IoT), smart robots, cloud-based digital twins, and additive manufacturing"), C1; también E3.</t>
        </is>
      </c>
      <c r="S624" s="69" t="n"/>
    </row>
    <row r="625" ht="23.25" customHeight="1" s="17">
      <c r="A625" s="26" t="inlineStr">
        <is>
          <t>R0624</t>
        </is>
      </c>
      <c r="B625" s="26" t="inlineStr">
        <is>
          <t>WoS</t>
        </is>
      </c>
      <c r="C625" s="26" t="inlineStr">
        <is>
          <t>Maddikunta, PKR; Pham, QV; Prabadevi; Deepa, N; Dev, K; Gadekallu, TR; Ruby, R; Liyanage, M</t>
        </is>
      </c>
      <c r="D625" s="26" t="n">
        <v>2022</v>
      </c>
      <c r="E625" s="27" t="inlineStr">
        <is>
          <t>Industry 5.0: A survey on enabling technologies and potential applications</t>
        </is>
      </c>
      <c r="F625" s="26" t="inlineStr">
        <is>
          <t>JOURNAL OF INDUSTRIAL INFORMATION INTEGRATION</t>
        </is>
      </c>
      <c r="G625" s="26" t="inlineStr">
        <is>
          <t>Article</t>
        </is>
      </c>
      <c r="H625" s="26" t="inlineStr">
        <is>
          <t>10.1016/j.jii.2021.100257</t>
        </is>
      </c>
      <c r="I625" s="26" t="inlineStr">
        <is>
          <t>TA</t>
        </is>
      </c>
      <c r="J625" s="37" t="inlineStr">
        <is>
          <t>Exclude</t>
        </is>
      </c>
      <c r="K625" s="37" t="inlineStr">
        <is>
          <t>Wrong publication type</t>
        </is>
      </c>
      <c r="L625" s="32" t="inlineStr">
        <is>
          <t>Check: AI terms only in keywords, verify substantive AI component</t>
        </is>
      </c>
      <c r="M625" s="37" t="inlineStr">
        <is>
          <t>Tutorial tipo encuesta ("we aim to provide a survey-based tutorial on potential applications and supporting technologies of Industry 5.0"); gemelos y gestion de cadena entre los temas; eje humano-maquina de la Industria 5.0. Valor para snowballing: medio.</t>
        </is>
      </c>
      <c r="N625" s="69" t="inlineStr">
        <is>
          <t>E4</t>
        </is>
      </c>
      <c r="O625" s="69" t="n">
        <v>10</v>
      </c>
      <c r="P625" s="69" t="inlineStr">
        <is>
          <t>Exclude</t>
        </is>
      </c>
      <c r="Q625" s="69" t="inlineStr">
        <is>
          <t>E4</t>
        </is>
      </c>
      <c r="R625" s="69" t="inlineStr">
        <is>
          <t>Tutorial tipo encuesta ("we aim to provide a survey-based tutorial on potential applications and supporting technologies of Industry 5.0"); gemelos y gestion de cadena entre los temas; eje humano-maquina de la Industria 5.0. Valor para snowballing: medio.</t>
        </is>
      </c>
      <c r="S625" s="69" t="n"/>
    </row>
    <row r="626" ht="34.5" customHeight="1" s="17">
      <c r="A626" s="26" t="inlineStr">
        <is>
          <t>R0625</t>
        </is>
      </c>
      <c r="B626" s="26" t="inlineStr">
        <is>
          <t>WoS</t>
        </is>
      </c>
      <c r="C626" s="26" t="inlineStr">
        <is>
          <t>Sun, X; Yu, H; Solvang, WD; Wang, Y; Wang, KS</t>
        </is>
      </c>
      <c r="D626" s="26" t="n">
        <v>2022</v>
      </c>
      <c r="E626" s="27" t="inlineStr">
        <is>
          <t>The application of Industry 4.0 technologies in sustainable logistics: a systematic literature review (2012-2020) to explore future research opportunities</t>
        </is>
      </c>
      <c r="F626" s="26" t="inlineStr">
        <is>
          <t>ENVIRONMENTAL SCIENCE AND POLLUTION RESEARCH</t>
        </is>
      </c>
      <c r="G626" s="26" t="inlineStr">
        <is>
          <t>Review</t>
        </is>
      </c>
      <c r="H626" s="26" t="inlineStr">
        <is>
          <t>10.1007/s11356-021-17693-y</t>
        </is>
      </c>
      <c r="I626" s="26" t="inlineStr">
        <is>
          <t>TA</t>
        </is>
      </c>
      <c r="J626" s="37" t="inlineStr">
        <is>
          <t>Exclude</t>
        </is>
      </c>
      <c r="K626" s="37" t="inlineStr">
        <is>
          <t>Wrong publication type</t>
        </is>
      </c>
      <c r="L626" s="32" t="inlineStr">
        <is>
          <t>Check: AI terms only in keywords, verify substantive AI component</t>
        </is>
      </c>
      <c r="M626" s="37" t="inlineStr">
        <is>
          <t>Revision sistematica (Doc type Review) de 115 articulos sobre logistica sostenible en Industria 4.0; gemelo y transformacion humano-centrica como sugerencias futuras ("human-centric technological transformation, system integration and digital twin"). Valor para snowballing: medio.</t>
        </is>
      </c>
      <c r="N626" s="69" t="inlineStr">
        <is>
          <t>E4</t>
        </is>
      </c>
      <c r="O626" s="69" t="n">
        <v>10</v>
      </c>
      <c r="P626" s="69" t="inlineStr">
        <is>
          <t>Exclude</t>
        </is>
      </c>
      <c r="Q626" s="69" t="inlineStr">
        <is>
          <t>E4</t>
        </is>
      </c>
      <c r="R626" s="69" t="inlineStr">
        <is>
          <t>Revision sistematica (Doc type Review) de 115 articulos sobre logistica sostenible en Industria 4.0; gemelo y transformacion humano-centrica como sugerencias futuras ("human-centric technological transformation, system integration and digital twin"). Valor para snowballing: medio.</t>
        </is>
      </c>
      <c r="S626" s="69" t="n"/>
    </row>
    <row r="627" ht="23.25" customHeight="1" s="17">
      <c r="A627" s="26" t="inlineStr">
        <is>
          <t>R0626</t>
        </is>
      </c>
      <c r="B627" s="26" t="inlineStr">
        <is>
          <t>WoS</t>
        </is>
      </c>
      <c r="C627" s="26" t="inlineStr">
        <is>
          <t>Adel, A</t>
        </is>
      </c>
      <c r="D627" s="26" t="n">
        <v>2022</v>
      </c>
      <c r="E627" s="27" t="inlineStr">
        <is>
          <t>Future of industry 5.0 in society: human-centric solutions, challenges and prospective research areas</t>
        </is>
      </c>
      <c r="F627" s="26" t="inlineStr">
        <is>
          <t>JOURNAL OF CLOUD COMPUTING-ADVANCES SYSTEMS AND APPLICATIONS</t>
        </is>
      </c>
      <c r="G627" s="26" t="inlineStr">
        <is>
          <t>Review</t>
        </is>
      </c>
      <c r="H627" s="26" t="inlineStr">
        <is>
          <t>10.1186/s13677-022-00314-5</t>
        </is>
      </c>
      <c r="I627" s="26" t="inlineStr">
        <is>
          <t>TA</t>
        </is>
      </c>
      <c r="J627" s="37" t="inlineStr">
        <is>
          <t>Exclude</t>
        </is>
      </c>
      <c r="K627" s="37" t="inlineStr">
        <is>
          <t>Wrong publication type</t>
        </is>
      </c>
      <c r="L627" s="32" t="inlineStr">
        <is>
          <t>Check: AI terms only in keywords, verify substantive AI component</t>
        </is>
      </c>
      <c r="M627" s="37" t="inlineStr">
        <is>
          <t>Revision (Doc type Review) sobre Industria 5.0 en la sociedad; gemelos y cadena entre las tecnologias y aplicaciones discutidas ("The technologies discussed in this paper are big data analytics, Internet of Things, collaborative robots, Blockchain, digital twins and future 6G systems"); colaboracion humano-maquina como eje. Valor para snowballing: medio.</t>
        </is>
      </c>
      <c r="N627" s="69" t="inlineStr">
        <is>
          <t>E4</t>
        </is>
      </c>
      <c r="O627" s="69" t="n">
        <v>10</v>
      </c>
      <c r="P627" s="69" t="inlineStr">
        <is>
          <t>Exclude</t>
        </is>
      </c>
      <c r="Q627" s="69" t="inlineStr">
        <is>
          <t>E4</t>
        </is>
      </c>
      <c r="R627" s="69" t="inlineStr">
        <is>
          <t>Revision (Doc type Review) sobre Industria 5.0 en la sociedad; gemelos y cadena entre las tecnologias y aplicaciones discutidas ("The technologies discussed in this paper are big data analytics, Internet of Things, collaborative robots, Blockchain, digital twins and future 6G systems"); colaboracion humano-maquina como eje. Valor para snowballing: medio.</t>
        </is>
      </c>
      <c r="S627" s="69" t="n"/>
    </row>
    <row r="628" ht="23.25" customHeight="1" s="17">
      <c r="A628" s="26" t="inlineStr">
        <is>
          <t>R0627</t>
        </is>
      </c>
      <c r="B628" s="26" t="inlineStr">
        <is>
          <t>Scopus</t>
        </is>
      </c>
      <c r="C628" s="26" t="inlineStr">
        <is>
          <t>Liu Y.; Folz P.; Pan S.; Ramparany F.; Bolle S.; Ballot E.; Coupaye T.</t>
        </is>
      </c>
      <c r="D628" s="26" t="n">
        <v>2021</v>
      </c>
      <c r="E628" s="27" t="inlineStr">
        <is>
          <t>Digital Twin-Driven Approach for Smart City Logistics: The Case of Freight Parking Management</t>
        </is>
      </c>
      <c r="F628" s="26" t="inlineStr">
        <is>
          <t>IFIP Advances in Information and Communication Technology</t>
        </is>
      </c>
      <c r="G628" s="26" t="inlineStr">
        <is>
          <t>Conference paper</t>
        </is>
      </c>
      <c r="H628" s="26" t="inlineStr">
        <is>
          <t>10.1007/978-3-030-85910-7_25</t>
        </is>
      </c>
      <c r="I628" s="26" t="inlineStr">
        <is>
          <t>TA</t>
        </is>
      </c>
      <c r="J628" s="37" t="inlineStr">
        <is>
          <t>Exclude</t>
        </is>
      </c>
      <c r="K628" s="37" t="inlineStr">
        <is>
          <t>No AI/ML component</t>
        </is>
      </c>
      <c r="L628" s="32" t="inlineStr">
        <is>
          <t>Check: AI terms only in keywords, verify substantive AI component</t>
        </is>
      </c>
      <c r="M628" s="37" t="inlineStr">
        <is>
          <t>Gemelo de la infraestructura de estacionamiento de carga para logistica urbana implementado en la plataforma de Orange ("The built model is then implemented into a Digital Twin experimental platform"), con grafo de propiedades y ontologias; ningun metodo de IA usado y la toma de decisiones sólo como trabajo futuro ("encourages future works on simulation of the decision-making processes"), C8. Pregunta de regla: si la representacion del conocimiento (ontologias, grafos) contara como IA, pasaria a I. Antecedente C8: alto (logistica urbana de ultima milla).</t>
        </is>
      </c>
      <c r="N628" s="69" t="inlineStr">
        <is>
          <t>E3</t>
        </is>
      </c>
      <c r="O628" s="69" t="n">
        <v>10</v>
      </c>
      <c r="P628" s="69" t="inlineStr">
        <is>
          <t>Exclude</t>
        </is>
      </c>
      <c r="Q628" s="69" t="inlineStr">
        <is>
          <t>E3</t>
        </is>
      </c>
      <c r="R628" s="69" t="inlineStr">
        <is>
          <t>Gemelo de la infraestructura de estacionamiento de carga para logistica urbana implementado en la plataforma de Orange ("The built model is then implemented into a Digital Twin experimental platform"), con grafo de propiedades y ontologias; ningun metodo de IA usado y la toma de decisiones sólo como trabajo futuro ("encourages future works on simulation of the decision-making processes"), C8. Pregunta de regla: si la representacion del conocimiento (ontologias, grafos) contara como IA, pasaria a I. Antecedente C8: alto (logistica urbana de ultima milla).</t>
        </is>
      </c>
      <c r="S628" s="69" t="n"/>
    </row>
    <row r="629" ht="23.25" customHeight="1" s="17">
      <c r="A629" s="26" t="inlineStr">
        <is>
          <t>R0628</t>
        </is>
      </c>
      <c r="B629" s="26" t="inlineStr">
        <is>
          <t>Scopus</t>
        </is>
      </c>
      <c r="C629" s="26" t="inlineStr">
        <is>
          <t>Allen A.; Siefkas A.; Pellegrini E.; Burdick H.; Barnes G.; Calvert J.; Mao Q.; Das R.</t>
        </is>
      </c>
      <c r="D629" s="26" t="n">
        <v>2021</v>
      </c>
      <c r="E629" s="27" t="inlineStr">
        <is>
          <t>A digital twins machine learning model for forecasting disease progression in stroke patients</t>
        </is>
      </c>
      <c r="F629" s="26" t="inlineStr">
        <is>
          <t>Applied Sciences (Switzerland)</t>
        </is>
      </c>
      <c r="G629" s="26" t="inlineStr">
        <is>
          <t>Article</t>
        </is>
      </c>
      <c r="H629" s="26" t="inlineStr">
        <is>
          <t>10.3390/app11125576</t>
        </is>
      </c>
      <c r="I629" s="26" t="inlineStr">
        <is>
          <t>TA</t>
        </is>
      </c>
      <c r="J629" s="37" t="inlineStr">
        <is>
          <t>Exclude</t>
        </is>
      </c>
      <c r="K629" s="37" t="inlineStr">
        <is>
          <t>No supply chain scope</t>
        </is>
      </c>
      <c r="L629" s="32" t="inlineStr">
        <is>
          <t>Check: healthcare context, supply chain scope unclear</t>
        </is>
      </c>
      <c r="M629" s="37" t="inlineStr">
        <is>
          <t>Gemelo de pacientes con autocodificador variacional ("we apply a digital twin model based on a variational autoencoder to a population of patients"); ambito clinico, fuera del alcance de operaciones (precedente R0216).</t>
        </is>
      </c>
      <c r="N629" s="69" t="inlineStr">
        <is>
          <t>E2</t>
        </is>
      </c>
      <c r="O629" s="69" t="n">
        <v>10</v>
      </c>
      <c r="P629" s="69" t="inlineStr">
        <is>
          <t>Exclude</t>
        </is>
      </c>
      <c r="Q629" s="69" t="inlineStr">
        <is>
          <t>E2</t>
        </is>
      </c>
      <c r="R629" s="69" t="inlineStr">
        <is>
          <t>Gemelo de pacientes con autocodificador variacional ("we apply a digital twin model based on a variational autoencoder to a population of patients"); ambito clinico, fuera del alcance de operaciones (precedente R0216).</t>
        </is>
      </c>
      <c r="S629" s="69" t="n"/>
    </row>
    <row r="630" ht="23.25" customHeight="1" s="17">
      <c r="A630" s="26" t="inlineStr">
        <is>
          <t>R0629</t>
        </is>
      </c>
      <c r="B630" s="26" t="inlineStr">
        <is>
          <t>Scopus</t>
        </is>
      </c>
      <c r="C630" s="26" t="inlineStr">
        <is>
          <t>Shi L.; Yan L.; Shuqing B.; Cuobo Z.; Yuanchong C.</t>
        </is>
      </c>
      <c r="D630" s="26" t="n">
        <v>2021</v>
      </c>
      <c r="E630" s="27" t="inlineStr">
        <is>
          <t>Research on Intelligent Assembly Modes of Aerospace Products Based on Digital Twin</t>
        </is>
      </c>
      <c r="F630" s="26" t="inlineStr">
        <is>
          <t>Journal of Physics: Conference Series</t>
        </is>
      </c>
      <c r="G630" s="26" t="inlineStr">
        <is>
          <t>Conference paper</t>
        </is>
      </c>
      <c r="H630" s="26" t="inlineStr">
        <is>
          <t>10.1088/1742-6596/1756/1/012011</t>
        </is>
      </c>
      <c r="I630" s="26" t="inlineStr">
        <is>
          <t>TA</t>
        </is>
      </c>
      <c r="J630" s="37" t="inlineStr">
        <is>
          <t>Include</t>
        </is>
      </c>
      <c r="K630" s="37" t="n"/>
      <c r="L630" s="32" t="inlineStr">
        <is>
          <t>Check: AI terms only in keywords, verify substantive AI component</t>
        </is>
      </c>
      <c r="M630" s="37" t="inlineStr">
        <is>
          <t>[Make] Plataforma de ensamblaje aeroespacial basada en gemelo de taller con un metodo de decision embebido y verificado ("an intelligent control mode based on two-layer optimization"; "verify its application in aerospace product assembly") que produce "plan optimization information, logistics optimization information and quality optimization information"; rama de uso de C8 como R0591. Make: logistica intra-planta nombrada como salida del gemelo. Calidad dudosa; el texto completo decide.</t>
        </is>
      </c>
      <c r="N630" s="69" t="inlineStr">
        <is>
          <t>I</t>
        </is>
      </c>
      <c r="O630" s="69" t="n">
        <v>10</v>
      </c>
      <c r="P630" s="69" t="inlineStr">
        <is>
          <t>Include</t>
        </is>
      </c>
      <c r="Q630" s="69" t="inlineStr">
        <is>
          <t>I</t>
        </is>
      </c>
      <c r="R630" s="69" t="inlineStr">
        <is>
          <t>Plataforma de ensamblaje aeroespacial basada en gemelo de taller con un metodo de decision embebido y verificado ("an intelligent control mode based on two-layer optimization"; "verify its application in aerospace product assembly") que produce "plan optimization information, logistics optimization information and quality optimization information"; rama de uso de C8 como R0591. Make: logistica intra-planta nombrada como salida del gemelo. Calidad dudosa; el texto completo decide.</t>
        </is>
      </c>
      <c r="S630" s="69" t="inlineStr">
        <is>
          <t>Make</t>
        </is>
      </c>
    </row>
    <row r="631" ht="23.25" customHeight="1" s="17">
      <c r="A631" s="26" t="inlineStr">
        <is>
          <t>R0630</t>
        </is>
      </c>
      <c r="B631" s="26" t="inlineStr">
        <is>
          <t>Scopus</t>
        </is>
      </c>
      <c r="C631" s="26" t="inlineStr">
        <is>
          <t>Tebaldi L.; Vignali G.; Bottani E.</t>
        </is>
      </c>
      <c r="D631" s="26" t="n">
        <v>2021</v>
      </c>
      <c r="E631" s="27" t="inlineStr">
        <is>
          <t>Digital Twin in the Agri-Food Supply Chain: A Literature Review</t>
        </is>
      </c>
      <c r="F631" s="26" t="inlineStr">
        <is>
          <t>IFIP Advances in Information and Communication Technology</t>
        </is>
      </c>
      <c r="G631" s="26" t="inlineStr">
        <is>
          <t>Conference paper</t>
        </is>
      </c>
      <c r="H631" s="26" t="inlineStr">
        <is>
          <t>10.1007/978-3-030-85910-7_29</t>
        </is>
      </c>
      <c r="I631" s="26" t="inlineStr">
        <is>
          <t>TA</t>
        </is>
      </c>
      <c r="J631" s="37" t="inlineStr">
        <is>
          <t>Exclude</t>
        </is>
      </c>
      <c r="K631" s="37" t="inlineStr">
        <is>
          <t>Wrong publication type</t>
        </is>
      </c>
      <c r="L631" s="32" t="inlineStr">
        <is>
          <t>Check: AI terms only in keywords, verify substantive AI component</t>
        </is>
      </c>
      <c r="M631" s="37" t="inlineStr">
        <is>
          <t>Revision de literatura declarada ("Digital Twin in the Agri-Food Supply Chain: A Literature Review") con clasificacion por fase de la cadena y modelado basado en datos o en fisica. Valor para snowballing: alto.</t>
        </is>
      </c>
      <c r="N631" s="69" t="inlineStr">
        <is>
          <t>E4</t>
        </is>
      </c>
      <c r="O631" s="69" t="n">
        <v>10</v>
      </c>
      <c r="P631" s="69" t="inlineStr">
        <is>
          <t>Exclude</t>
        </is>
      </c>
      <c r="Q631" s="69" t="inlineStr">
        <is>
          <t>E4</t>
        </is>
      </c>
      <c r="R631" s="69" t="inlineStr">
        <is>
          <t>Revision de literatura declarada ("Digital Twin in the Agri-Food Supply Chain: A Literature Review") con clasificacion por fase de la cadena y modelado basado en datos o en fisica. Valor para snowballing: alto.</t>
        </is>
      </c>
      <c r="S631" s="69" t="n"/>
    </row>
    <row r="632" ht="23.25" customHeight="1" s="17">
      <c r="A632" s="26" t="inlineStr">
        <is>
          <t>R0631</t>
        </is>
      </c>
      <c r="B632" s="26" t="inlineStr">
        <is>
          <t>Scopus</t>
        </is>
      </c>
      <c r="C632" s="26" t="inlineStr">
        <is>
          <t>Greif T.; Stein N.; Flath C.M.</t>
        </is>
      </c>
      <c r="D632" s="26" t="n">
        <v>2020</v>
      </c>
      <c r="E632" s="27" t="inlineStr">
        <is>
          <t>Peeking into the void: Digital twins for construction site logistics</t>
        </is>
      </c>
      <c r="F632" s="26" t="inlineStr">
        <is>
          <t>Computers in Industry</t>
        </is>
      </c>
      <c r="G632" s="26" t="inlineStr">
        <is>
          <t>Article</t>
        </is>
      </c>
      <c r="H632" s="26" t="inlineStr">
        <is>
          <t>10.1016/j.compind.2020.103264</t>
        </is>
      </c>
      <c r="I632" s="26" t="inlineStr">
        <is>
          <t>TA</t>
        </is>
      </c>
      <c r="J632" s="37" t="inlineStr">
        <is>
          <t>Exclude</t>
        </is>
      </c>
      <c r="K632" s="37" t="inlineStr">
        <is>
          <t>No AI/ML component</t>
        </is>
      </c>
      <c r="L632" s="32" t="inlineStr">
        <is>
          <t>Check: AI terms only in keywords, verify substantive AI component</t>
        </is>
      </c>
      <c r="M632" s="37" t="inlineStr">
        <is>
          <t>Gemelo ligero de silos para la logistica de obra con un proveedor de materiales ("we design and implement a decision support system for silo dispatch and replenishment activity"); el sistema de decision no declara ningun metodo de IA y la IA es sólo palabra clave de indice (C8: herramienta implementada, metodo no nombrado). Antecedente C8: alto.</t>
        </is>
      </c>
      <c r="N632" s="69" t="inlineStr">
        <is>
          <t>E3</t>
        </is>
      </c>
      <c r="O632" s="69" t="n">
        <v>10</v>
      </c>
      <c r="P632" s="69" t="inlineStr">
        <is>
          <t>Exclude</t>
        </is>
      </c>
      <c r="Q632" s="69" t="inlineStr">
        <is>
          <t>E3</t>
        </is>
      </c>
      <c r="R632" s="69" t="inlineStr">
        <is>
          <t>Gemelo ligero de silos para la logistica de obra con un proveedor de materiales ("we design and implement a decision support system for silo dispatch and replenishment activity"); el sistema de decision no declara ningun metodo de IA y la IA es sólo palabra clave de indice (C8: herramienta implementada, metodo no nombrado). Antecedente C8: alto.</t>
        </is>
      </c>
      <c r="S632" s="69" t="n"/>
    </row>
    <row r="633" ht="23.25" customHeight="1" s="17">
      <c r="A633" s="26" t="inlineStr">
        <is>
          <t>R0632</t>
        </is>
      </c>
      <c r="B633" s="26" t="inlineStr">
        <is>
          <t>WoS</t>
        </is>
      </c>
      <c r="C633" s="26" t="inlineStr">
        <is>
          <t>Ferreira, WD; Armellini, F; De Santa-Eulalia, LA</t>
        </is>
      </c>
      <c r="D633" s="26" t="n">
        <v>2020</v>
      </c>
      <c r="E633" s="27" t="inlineStr">
        <is>
          <t>Simulation in industry 4.0: A state-of-the-art review</t>
        </is>
      </c>
      <c r="F633" s="26" t="inlineStr">
        <is>
          <t>COMPUTERS &amp; INDUSTRIAL ENGINEERING</t>
        </is>
      </c>
      <c r="G633" s="26" t="inlineStr">
        <is>
          <t>Review</t>
        </is>
      </c>
      <c r="H633" s="26" t="inlineStr">
        <is>
          <t>10.1016/j.cie.2020.106868</t>
        </is>
      </c>
      <c r="I633" s="26" t="inlineStr">
        <is>
          <t>TA</t>
        </is>
      </c>
      <c r="J633" s="37" t="inlineStr">
        <is>
          <t>Exclude</t>
        </is>
      </c>
      <c r="K633" s="37" t="inlineStr">
        <is>
          <t>Wrong publication type</t>
        </is>
      </c>
      <c r="L633" s="32" t="inlineStr">
        <is>
          <t>Check: AI terms only in keywords, verify substantive AI component</t>
        </is>
      </c>
      <c r="M633" s="37" t="inlineStr">
        <is>
          <t>Revision PRISMA del estado del arte ("literature on simulation technologies and Industry 4.0 design principles is systematically reviewed using the preferred reporting items for systematic reviews and meta-analyses (PRISMA) methodology"); gemelo como enfoque principal de simulacion. Valor para snowballing: bajo (ajustado en la auditoría final 2026-09-06, antes medio: la cadena no aparece en el alcance declarado).</t>
        </is>
      </c>
      <c r="N633" s="69" t="inlineStr">
        <is>
          <t>E4</t>
        </is>
      </c>
      <c r="O633" s="69" t="n">
        <v>10</v>
      </c>
      <c r="P633" s="69" t="inlineStr">
        <is>
          <t>Exclude</t>
        </is>
      </c>
      <c r="Q633" s="69" t="inlineStr">
        <is>
          <t>E4</t>
        </is>
      </c>
      <c r="R633" s="69" t="inlineStr">
        <is>
          <t>Revision PRISMA del estado del arte ("literature on simulation technologies and Industry 4.0 design principles is systematically reviewed using the preferred reporting items for systematic reviews and meta-analyses (PRISMA) methodology"); gemelo como enfoque principal de simulacion. Valor para snowballing: medio.</t>
        </is>
      </c>
      <c r="S633" s="69" t="n"/>
    </row>
    <row r="634" ht="23.25" customHeight="1" s="17">
      <c r="A634" s="26" t="inlineStr">
        <is>
          <t>R0633</t>
        </is>
      </c>
      <c r="B634" s="26" t="inlineStr">
        <is>
          <t>Scopus</t>
        </is>
      </c>
      <c r="C634" s="26" t="inlineStr">
        <is>
          <t>Ashrafian A.; Pettersen O.-G.; Kuntze K.N.; Franke J.; Alfnes E.; Henriksen K.F.; Spone J.</t>
        </is>
      </c>
      <c r="D634" s="26" t="n">
        <v>2019</v>
      </c>
      <c r="E634" s="27" t="inlineStr">
        <is>
          <t>Full-Scale Discrete Event Simulation of an Automated Modular Conveyor System for Warehouse Logistics</t>
        </is>
      </c>
      <c r="F634" s="26" t="inlineStr">
        <is>
          <t>IFIP Advances in Information and Communication Technology</t>
        </is>
      </c>
      <c r="G634" s="26" t="inlineStr">
        <is>
          <t>Conference paper</t>
        </is>
      </c>
      <c r="H634" s="26" t="inlineStr">
        <is>
          <t>10.1007/978-3-030-29996-5_4</t>
        </is>
      </c>
      <c r="I634" s="26" t="inlineStr">
        <is>
          <t>TA</t>
        </is>
      </c>
      <c r="J634" s="37" t="inlineStr">
        <is>
          <t>Exclude</t>
        </is>
      </c>
      <c r="K634" s="37" t="inlineStr">
        <is>
          <t>No digital twin/model</t>
        </is>
      </c>
      <c r="L634" s="32" t="inlineStr">
        <is>
          <t>Check: AI terms only in keywords, verify substantive AI component</t>
        </is>
      </c>
      <c r="M634" s="37" t="inlineStr">
        <is>
          <t>Simulacion de eventos discretos a escala real de un sistema de transportadores de almacen; el gemelo sólo como paso pendiente ("the identified key steps that are yet to be taken from dynamical modelling towards a Digital Twin"), C1 (como R0340); también E3.</t>
        </is>
      </c>
      <c r="N634" s="69" t="inlineStr">
        <is>
          <t>E1</t>
        </is>
      </c>
      <c r="O634" s="69" t="n">
        <v>10</v>
      </c>
      <c r="P634" s="69" t="inlineStr">
        <is>
          <t>Exclude</t>
        </is>
      </c>
      <c r="Q634" s="69" t="inlineStr">
        <is>
          <t>E1</t>
        </is>
      </c>
      <c r="R634" s="69" t="inlineStr">
        <is>
          <t>Simulacion de eventos discretos a escala real de un sistema de transportadores de almacen; el gemelo sólo como paso pendiente ("the identified key steps that are yet to be taken from dynamical modelling towards a Digital Twin"), C1 (como R0340); también E3.</t>
        </is>
      </c>
      <c r="S634" s="69" t="n"/>
    </row>
    <row r="635" ht="23.25" customHeight="1" s="17">
      <c r="A635" s="26" t="inlineStr">
        <is>
          <t>R0634</t>
        </is>
      </c>
      <c r="B635" s="26" t="inlineStr">
        <is>
          <t>Scopus</t>
        </is>
      </c>
      <c r="C635" s="26" t="inlineStr">
        <is>
          <t>Byfield R.</t>
        </is>
      </c>
      <c r="D635" s="26" t="n">
        <v>2019</v>
      </c>
      <c r="E635" s="27" t="inlineStr">
        <is>
          <t>Smart midstream integration for CSG to LNG</t>
        </is>
      </c>
      <c r="F635" s="26" t="inlineStr">
        <is>
          <t>SPE/AAPG/SEG Asia Pacific Unconventional Resources Technology Conference 2019, APUR 2019</t>
        </is>
      </c>
      <c r="G635" s="26" t="inlineStr">
        <is>
          <t>Conference paper</t>
        </is>
      </c>
      <c r="H635" s="26" t="inlineStr">
        <is>
          <t>10.15530/ap-urtec-2019-198272</t>
        </is>
      </c>
      <c r="I635" s="26" t="inlineStr">
        <is>
          <t>TA</t>
        </is>
      </c>
      <c r="J635" s="37" t="inlineStr">
        <is>
          <t>Exclude</t>
        </is>
      </c>
      <c r="K635" s="37" t="inlineStr">
        <is>
          <t>No digital twin/model</t>
        </is>
      </c>
      <c r="L635" s="32" t="inlineStr">
        <is>
          <t>Check: AI terms only in keywords, verify substantive AI component</t>
        </is>
      </c>
      <c r="M635" s="37" t="inlineStr">
        <is>
          <t>Resumen de soluciones industriales, no revision de literatura ("This paper summarizes the current state of the art solutions, with examples"); el gemelo sólo como termino de moda ("The terms Digital Oil Field/Digital Gas Field/Digital Twin are being utilized to extol the virtue"), C1; el ML sólo como palabra clave.</t>
        </is>
      </c>
      <c r="N635" s="69" t="inlineStr">
        <is>
          <t>E1</t>
        </is>
      </c>
      <c r="O635" s="69" t="n">
        <v>10</v>
      </c>
      <c r="P635" s="69" t="inlineStr">
        <is>
          <t>Exclude</t>
        </is>
      </c>
      <c r="Q635" s="69" t="inlineStr">
        <is>
          <t>E1</t>
        </is>
      </c>
      <c r="R635" s="69" t="inlineStr">
        <is>
          <t>Resumen de soluciones industriales, no revision de literatura ("This paper summarizes the current state of the art solutions, with examples"); el gemelo sólo como termino de moda ("The terms Digital Oil Field/Digital Gas Field/Digital Twin are being utilized to extol the virtue"), C1; el ML sólo como palabra clave.</t>
        </is>
      </c>
      <c r="S635" s="69" t="n"/>
    </row>
    <row r="636" ht="23.25" customHeight="1" s="17">
      <c r="A636" s="26" t="inlineStr">
        <is>
          <t>R0635</t>
        </is>
      </c>
      <c r="B636" s="26" t="inlineStr">
        <is>
          <t>Scopus</t>
        </is>
      </c>
      <c r="C636" s="26" t="inlineStr">
        <is>
          <t>Korth B.; Schwede C.; Zajac M.</t>
        </is>
      </c>
      <c r="D636" s="26" t="n">
        <v>2018</v>
      </c>
      <c r="E636" s="27" t="inlineStr">
        <is>
          <t>Simulation-ready digital twin for realtime management of logistics systems</t>
        </is>
      </c>
      <c r="F636" s="26" t="inlineStr">
        <is>
          <t>Proceedings - 2018 IEEE International Conference on Big Data, Big Data 2018</t>
        </is>
      </c>
      <c r="G636" s="26" t="inlineStr">
        <is>
          <t>Conference paper</t>
        </is>
      </c>
      <c r="H636" s="26" t="inlineStr">
        <is>
          <t>10.1109/bigdata.2018.8622160</t>
        </is>
      </c>
      <c r="I636" s="26" t="inlineStr">
        <is>
          <t>TA</t>
        </is>
      </c>
      <c r="J636" s="37" t="inlineStr">
        <is>
          <t>Exclude</t>
        </is>
      </c>
      <c r="K636" s="37" t="inlineStr">
        <is>
          <t>No AI/ML component</t>
        </is>
      </c>
      <c r="L636" s="32" t="inlineStr">
        <is>
          <t>Check: AI terms only in keywords, verify substantive AI component</t>
        </is>
      </c>
      <c r="M636" s="37" t="inlineStr">
        <is>
          <t>Arquitectura que combina "a real-time digital twin of logistics systems with simulation logic in a single (modularized) model", demostrada en dos casos industriales; el metodo es simulacion de eventos discretos y la IA sólo palabra clave de indice (C8). Antecedente C8: alto.</t>
        </is>
      </c>
      <c r="N636" s="69" t="inlineStr">
        <is>
          <t>E3</t>
        </is>
      </c>
      <c r="O636" s="69" t="n">
        <v>10</v>
      </c>
      <c r="P636" s="69" t="inlineStr">
        <is>
          <t>Exclude</t>
        </is>
      </c>
      <c r="Q636" s="69" t="inlineStr">
        <is>
          <t>E3</t>
        </is>
      </c>
      <c r="R636" s="69" t="inlineStr">
        <is>
          <t>Arquitectura que combina "a real-time digital twin of logistics systems with simulation logic in a single (modularized) model", demostrada en dos casos industriales; el metodo es simulacion de eventos discretos y la IA sólo palabra clave de indice (C8). Antecedente C8: alto.</t>
        </is>
      </c>
      <c r="S636" s="69" t="n"/>
    </row>
    <row r="637" ht="23.25" customHeight="1" s="17">
      <c r="A637" s="26" t="inlineStr">
        <is>
          <t>R0636</t>
        </is>
      </c>
      <c r="B637" s="26" t="inlineStr">
        <is>
          <t>Scopus</t>
        </is>
      </c>
      <c r="C637" s="26" t="inlineStr">
        <is>
          <t>Avventuroso G.; Silvestri M.; Pedrazzoli P.</t>
        </is>
      </c>
      <c r="D637" s="26" t="n">
        <v>2017</v>
      </c>
      <c r="E637" s="27" t="inlineStr">
        <is>
          <t>A Networked Production System to Implement Virtual Enterprise and Product Lifecycle Information Loops</t>
        </is>
      </c>
      <c r="F637" s="26" t="inlineStr">
        <is>
          <t>IFAC-PapersOnLine</t>
        </is>
      </c>
      <c r="G637" s="26" t="inlineStr">
        <is>
          <t>Conference paper</t>
        </is>
      </c>
      <c r="H637" s="26" t="inlineStr">
        <is>
          <t>10.1016/j.ifacol.2017.08.902</t>
        </is>
      </c>
      <c r="I637" s="26" t="inlineStr">
        <is>
          <t>TA</t>
        </is>
      </c>
      <c r="J637" s="37" t="inlineStr">
        <is>
          <t>Exclude</t>
        </is>
      </c>
      <c r="K637" s="37" t="inlineStr">
        <is>
          <t>No AI/ML component</t>
        </is>
      </c>
      <c r="L637" s="32" t="inlineStr">
        <is>
          <t>Check: AI terms only in keywords, verify substantive AI component</t>
        </is>
      </c>
      <c r="M637" s="37" t="inlineStr">
        <is>
          <t>Arquitectura de sistema de produccion en red con gemelos de maquina y de producto por escaner 3D, con la cadena como eje declarado ("considering supply chain and related data management within an integrated vision of the product lifecycle management"); sin metodo de IA, sólo palabras clave ("Intelligent decision support systems"), C8. Antecedente C8: medio.</t>
        </is>
      </c>
      <c r="N637" s="69" t="inlineStr">
        <is>
          <t>E3</t>
        </is>
      </c>
      <c r="O637" s="69" t="n">
        <v>10</v>
      </c>
      <c r="P637" s="69" t="inlineStr">
        <is>
          <t>Exclude</t>
        </is>
      </c>
      <c r="Q637" s="69" t="inlineStr">
        <is>
          <t>E3</t>
        </is>
      </c>
      <c r="R637" s="69" t="inlineStr">
        <is>
          <t>Arquitectura de sistema de produccion en red con gemelos de maquina y de producto por escaner 3D, con la cadena como eje declarado ("considering supply chain and related data management within an integrated vision of the product lifecycle management"); sin metodo de IA, sólo palabras clave ("Intelligent decision support systems"), C8. Antecedente C8: medio.</t>
        </is>
      </c>
      <c r="S637" s="69" t="n"/>
    </row>
    <row r="638" ht="23.25" customHeight="1" s="17">
      <c r="A638" s="26" t="inlineStr">
        <is>
          <t>R0637</t>
        </is>
      </c>
      <c r="B638" s="26" t="inlineStr">
        <is>
          <t>Scopus + WoS</t>
        </is>
      </c>
      <c r="C638" s="26" t="inlineStr">
        <is>
          <t>Smina N.; Gahi Y.; Gharib J.</t>
        </is>
      </c>
      <c r="D638" s="26" t="n">
        <v>2026</v>
      </c>
      <c r="E638" s="27" t="inlineStr">
        <is>
          <t>Data Management in Smart Manufacturing Supply Chains: A Systematic Review of Practices and Applications (2020–2025)</t>
        </is>
      </c>
      <c r="F638" s="26" t="inlineStr">
        <is>
          <t>Information (Switzerland)</t>
        </is>
      </c>
      <c r="G638" s="26" t="inlineStr">
        <is>
          <t>Review</t>
        </is>
      </c>
      <c r="H638" s="26" t="inlineStr">
        <is>
          <t>10.3390/info17010019</t>
        </is>
      </c>
      <c r="I638" s="26" t="inlineStr">
        <is>
          <t>TA</t>
        </is>
      </c>
      <c r="J638" s="37" t="inlineStr">
        <is>
          <t>Exclude</t>
        </is>
      </c>
      <c r="K638" s="37" t="inlineStr">
        <is>
          <t>Wrong publication type</t>
        </is>
      </c>
      <c r="L638" s="33" t="inlineStr">
        <is>
          <t>Likely exclude: twin/model terms only in keywords, not in title or abstract</t>
        </is>
      </c>
      <c r="M638" s="37" t="inlineStr">
        <is>
          <t>Revision sistematica PRISMA de gestion de datos en cadenas de manufactura inteligente ("a systematic literature review of 55 peer-reviewed studies published between 2020 and 2025"); gemelo e IA como palabras clave de autor en la interseccion exacta de la revision. Valor para snowballing: medio.</t>
        </is>
      </c>
      <c r="N638" s="69" t="inlineStr">
        <is>
          <t>E4</t>
        </is>
      </c>
      <c r="O638" s="69" t="n">
        <v>13</v>
      </c>
      <c r="P638" s="69" t="inlineStr">
        <is>
          <t>Exclude</t>
        </is>
      </c>
      <c r="Q638" s="69" t="inlineStr">
        <is>
          <t>E4</t>
        </is>
      </c>
      <c r="R638" s="69" t="inlineStr">
        <is>
          <t>Revision sistematica PRISMA de gestion de datos en cadenas de manufactura inteligente ("a systematic literature review of 55 peer-reviewed studies published between 2020 and 2025"); gemelo e IA como palabras clave de autor en la interseccion exacta de la revision. Valor para snowballing: medio.</t>
        </is>
      </c>
      <c r="S638" s="69" t="n"/>
    </row>
    <row r="639" ht="23.25" customHeight="1" s="17">
      <c r="A639" s="26" t="inlineStr">
        <is>
          <t>R0638</t>
        </is>
      </c>
      <c r="B639" s="26" t="inlineStr">
        <is>
          <t>Scopus</t>
        </is>
      </c>
      <c r="C639" s="26" t="inlineStr">
        <is>
          <t>D’Elia R.; Termine A.; Flammini F.</t>
        </is>
      </c>
      <c r="D639" s="26" t="n">
        <v>2026</v>
      </c>
      <c r="E639" s="27" t="inlineStr">
        <is>
          <t>Towards Explainable Decision Support Using Hybrid Neural Models for Logistic Terminal Automation</t>
        </is>
      </c>
      <c r="F639" s="26" t="inlineStr">
        <is>
          <t>Lecture Notes in Computer Science</t>
        </is>
      </c>
      <c r="G639" s="26" t="inlineStr">
        <is>
          <t>Conference paper</t>
        </is>
      </c>
      <c r="H639" s="26" t="inlineStr">
        <is>
          <t>10.1007/978-3-032-21811-7_6</t>
        </is>
      </c>
      <c r="I639" s="26" t="inlineStr">
        <is>
          <t>TA</t>
        </is>
      </c>
      <c r="J639" s="37" t="inlineStr">
        <is>
          <t>Exclude</t>
        </is>
      </c>
      <c r="K639" s="37" t="inlineStr">
        <is>
          <t>No digital twin/model</t>
        </is>
      </c>
      <c r="L639" s="33" t="inlineStr">
        <is>
          <t>Likely exclude: twin/model terms only in keywords, not in title or abstract</t>
        </is>
      </c>
      <c r="M639" s="37" t="inlineStr">
        <is>
          <t>Modelado neuronal de dinamica de sistemas interpretable para terminales logisticas (proyecto AutoMoTIF); el gemelo sólo como palabra clave de autor ("cognitive digital twins"), sin aparecer en el resumen ("interpretable-by-design neural system dynamics modeling"), C1. Nota: XAI en logistica, util como contexto.</t>
        </is>
      </c>
      <c r="N639" s="69" t="inlineStr">
        <is>
          <t>E1</t>
        </is>
      </c>
      <c r="O639" s="69" t="n">
        <v>13</v>
      </c>
      <c r="P639" s="69" t="inlineStr">
        <is>
          <t>Exclude</t>
        </is>
      </c>
      <c r="Q639" s="69" t="inlineStr">
        <is>
          <t>E1</t>
        </is>
      </c>
      <c r="R639" s="69" t="inlineStr">
        <is>
          <t>Modelado neuronal de dinamica de sistemas interpretable para terminales logisticas (proyecto AutoMoTIF); el gemelo sólo como palabra clave de autor ("cognitive digital twins"), sin aparecer en el resumen ("interpretable-by-design neural system dynamics modeling"), C1. Nota: XAI en logistica, util como contexto.</t>
        </is>
      </c>
      <c r="S639" s="69" t="n"/>
    </row>
    <row r="640" ht="34.5" customHeight="1" s="17">
      <c r="A640" s="26" t="inlineStr">
        <is>
          <t>R0639</t>
        </is>
      </c>
      <c r="B640" s="26" t="inlineStr">
        <is>
          <t>Scopus + WoS</t>
        </is>
      </c>
      <c r="C640" s="26" t="inlineStr">
        <is>
          <t>Gao D.; Zhao H.</t>
        </is>
      </c>
      <c r="D640" s="26" t="n">
        <v>2026</v>
      </c>
      <c r="E640" s="27" t="inlineStr">
        <is>
          <t>A Big Data-Driven Knowledge Framework for Supply Chain Risk Prediction and Performance Optimization in Multinational Corporations</t>
        </is>
      </c>
      <c r="F640" s="26" t="inlineStr">
        <is>
          <t>International Journal of Knowledge Management</t>
        </is>
      </c>
      <c r="G640" s="26" t="inlineStr">
        <is>
          <t>Article</t>
        </is>
      </c>
      <c r="H640" s="26" t="inlineStr">
        <is>
          <t>10.4018/ijkm.402393</t>
        </is>
      </c>
      <c r="I640" s="26" t="inlineStr">
        <is>
          <t>TA</t>
        </is>
      </c>
      <c r="J640" s="37" t="inlineStr">
        <is>
          <t>Include</t>
        </is>
      </c>
      <c r="K640" s="37" t="n"/>
      <c r="L640" s="33" t="inlineStr">
        <is>
          <t>Likely exclude: twin/model terms only in keywords, not in title or abstract</t>
        </is>
      </c>
      <c r="M640" s="37" t="inlineStr">
        <is>
          <t>Marco de conocimiento para riesgo de cadena en multinacionales con ML y aprendizaje profundo ("Random Forest, XGBoost, LSTM, and Federated GCN") cuyas probabilidades de disrupcion "are translated into resilience strategies through optimization and digital-twin simulations"; gemelo enunciado como mecanismo del marco sobre datos simulados. Incluido por sensibilidad; el texto completo decide si el gemelo existe. | Auditoría final 2026-09-06: se mantiene I; gemelo enunciado como mecanismo ("translated into resilience strategies through optimization and digital-twin simulations") sobre datos simulados; el texto completo decide.</t>
        </is>
      </c>
      <c r="N640" s="69" t="inlineStr">
        <is>
          <t>I</t>
        </is>
      </c>
      <c r="O640" s="69" t="n">
        <v>13</v>
      </c>
      <c r="P640" s="69" t="inlineStr">
        <is>
          <t>Include</t>
        </is>
      </c>
      <c r="Q640" s="69" t="inlineStr">
        <is>
          <t>I</t>
        </is>
      </c>
      <c r="R640" s="69" t="inlineStr">
        <is>
          <t>Marco de conocimiento para riesgo de cadena en multinacionales con ML y aprendizaje profundo ("Random Forest, XGBoost, LSTM, and Federated GCN") cuyas probabilidades de disrupcion "are translated into resilience strategies through optimization and digital-twin simulations"; gemelo enunciado como mecanismo del marco sobre datos simulados. Incluido por sensibilidad; el texto completo decide si el gemelo existe.</t>
        </is>
      </c>
      <c r="S640" s="69" t="n"/>
    </row>
    <row r="641" ht="23.25" customHeight="1" s="17">
      <c r="A641" s="26" t="inlineStr">
        <is>
          <t>R0640</t>
        </is>
      </c>
      <c r="B641" s="26" t="inlineStr">
        <is>
          <t>Scopus + WoS</t>
        </is>
      </c>
      <c r="C641" s="26" t="inlineStr">
        <is>
          <t>Karkadakattil A.</t>
        </is>
      </c>
      <c r="D641" s="26" t="n">
        <v>2026</v>
      </c>
      <c r="E641" s="27" t="inlineStr">
        <is>
          <t>Nuclear Electric Propulsion for Deep-Space Missions: Technologies, Challenges, and Future Outlook</t>
        </is>
      </c>
      <c r="F641" s="26" t="inlineStr">
        <is>
          <t>Nuclear Science and Engineering</t>
        </is>
      </c>
      <c r="G641" s="26" t="inlineStr">
        <is>
          <t>Review</t>
        </is>
      </c>
      <c r="H641" s="26" t="inlineStr">
        <is>
          <t>10.1080/00295639.2025.2607945</t>
        </is>
      </c>
      <c r="I641" s="26" t="inlineStr">
        <is>
          <t>TA</t>
        </is>
      </c>
      <c r="J641" s="37" t="inlineStr">
        <is>
          <t>Exclude</t>
        </is>
      </c>
      <c r="K641" s="37" t="inlineStr">
        <is>
          <t>Wrong publication type</t>
        </is>
      </c>
      <c r="L641" s="33" t="inlineStr">
        <is>
          <t>Likely exclude: twin/model terms only in keywords, not in title or abstract</t>
        </is>
      </c>
      <c r="M641" s="37" t="inlineStr">
        <is>
          <t>Revision de propulsion nuclear electrica ("This review consolidates recent progress in NEP system architectures"); gemelos e IA como soluciones emergentes y logistica espacial. Valor para snowballing: bajo.</t>
        </is>
      </c>
      <c r="N641" s="69" t="inlineStr">
        <is>
          <t>E4</t>
        </is>
      </c>
      <c r="O641" s="69" t="n">
        <v>13</v>
      </c>
      <c r="P641" s="69" t="inlineStr">
        <is>
          <t>Exclude</t>
        </is>
      </c>
      <c r="Q641" s="69" t="inlineStr">
        <is>
          <t>E4</t>
        </is>
      </c>
      <c r="R641" s="69" t="inlineStr">
        <is>
          <t>Revision de propulsion nuclear electrica ("This review consolidates recent progress in NEP system architectures"); gemelos e IA como soluciones emergentes y logistica espacial. Valor para snowballing: bajo.</t>
        </is>
      </c>
      <c r="S641" s="69" t="n"/>
    </row>
    <row r="642" ht="34.5" customHeight="1" s="17">
      <c r="A642" s="26" t="inlineStr">
        <is>
          <t>R0641</t>
        </is>
      </c>
      <c r="B642" s="26" t="inlineStr">
        <is>
          <t>Scopus</t>
        </is>
      </c>
      <c r="C642" s="26" t="inlineStr">
        <is>
          <t>Ratra K.K.; Saikia P.; Nadaf L.</t>
        </is>
      </c>
      <c r="D642" s="26" t="n">
        <v>2026</v>
      </c>
      <c r="E642" s="27" t="inlineStr">
        <is>
          <t>Risk Management in AI-Driven Sustainable E-Commerce Transformations: A Comprehensive Framework for Digital Business Resilience</t>
        </is>
      </c>
      <c r="F642" s="26" t="inlineStr">
        <is>
          <t>2026 IEEE 16th Annual Computing and Communication Workshop and Conference, CCWC 2026</t>
        </is>
      </c>
      <c r="G642" s="26" t="inlineStr">
        <is>
          <t>Conference paper</t>
        </is>
      </c>
      <c r="H642" s="26" t="inlineStr">
        <is>
          <t>10.1109/ccwc67433.2026.11393855</t>
        </is>
      </c>
      <c r="I642" s="26" t="inlineStr">
        <is>
          <t>TA</t>
        </is>
      </c>
      <c r="J642" s="37" t="inlineStr">
        <is>
          <t>Exclude</t>
        </is>
      </c>
      <c r="K642" s="37" t="inlineStr">
        <is>
          <t>Wrong publication type</t>
        </is>
      </c>
      <c r="L642" s="33" t="inlineStr">
        <is>
          <t>Likely exclude: twin/model terms only in keywords, not in title or abstract</t>
        </is>
      </c>
      <c r="M642" s="37" t="inlineStr">
        <is>
          <t>Marco de gestion de riesgos derivado de literatura ("Informed by the recent literature and current practices in the respective realms, we construct an inclusive framework for risk management"), C3 como R0190; el gemelo sólo como palabra clave de autor. Valor para snowballing: bajo.</t>
        </is>
      </c>
      <c r="N642" s="69" t="inlineStr">
        <is>
          <t>E4</t>
        </is>
      </c>
      <c r="O642" s="69" t="n">
        <v>13</v>
      </c>
      <c r="P642" s="69" t="inlineStr">
        <is>
          <t>Exclude</t>
        </is>
      </c>
      <c r="Q642" s="69" t="inlineStr">
        <is>
          <t>E4</t>
        </is>
      </c>
      <c r="R642" s="69" t="inlineStr">
        <is>
          <t>Marco de gestion de riesgos derivado de literatura ("Informed by the recent literature and current practices in the respective realms, we construct an inclusive framework for risk management"), C3 como R0190; el gemelo sólo como palabra clave de autor. Valor para snowballing: bajo.</t>
        </is>
      </c>
      <c r="S642" s="69" t="n"/>
    </row>
    <row r="643" ht="23.25" customHeight="1" s="17">
      <c r="A643" s="26" t="inlineStr">
        <is>
          <t>R0642</t>
        </is>
      </c>
      <c r="B643" s="26" t="inlineStr">
        <is>
          <t>Scopus</t>
        </is>
      </c>
      <c r="C643" s="26" t="inlineStr">
        <is>
          <t>Alam A.</t>
        </is>
      </c>
      <c r="D643" s="26" t="n">
        <v>2026</v>
      </c>
      <c r="E643" s="27" t="inlineStr">
        <is>
          <t>Internet of Things (IoT) in Education</t>
        </is>
      </c>
      <c r="F643" s="26" t="inlineStr">
        <is>
          <t>Proceedings of the IEEE International Conference on AI Engineering and Innovations, AIEI 2026</t>
        </is>
      </c>
      <c r="G643" s="26" t="inlineStr">
        <is>
          <t>Conference paper</t>
        </is>
      </c>
      <c r="H643" s="26" t="inlineStr">
        <is>
          <t>10.1109/aiei69164.2026.11497934</t>
        </is>
      </c>
      <c r="I643" s="26" t="inlineStr">
        <is>
          <t>TA</t>
        </is>
      </c>
      <c r="J643" s="37" t="inlineStr">
        <is>
          <t>Exclude</t>
        </is>
      </c>
      <c r="K643" s="37" t="inlineStr">
        <is>
          <t>No digital twin/model</t>
        </is>
      </c>
      <c r="L643" s="33" t="inlineStr">
        <is>
          <t>Likely exclude: twin/model terms only in keywords, not in title or abstract</t>
        </is>
      </c>
      <c r="M643" s="37" t="inlineStr">
        <is>
          <t>Arquitectura de IoT para educacion ("treating classrooms and laboratories as mixed criticality cyber physical estates"); el gemelo sólo como palabra clave, C1; también E2.</t>
        </is>
      </c>
      <c r="N643" s="69" t="inlineStr">
        <is>
          <t>E1</t>
        </is>
      </c>
      <c r="O643" s="69" t="n">
        <v>13</v>
      </c>
      <c r="P643" s="69" t="inlineStr">
        <is>
          <t>Exclude</t>
        </is>
      </c>
      <c r="Q643" s="69" t="inlineStr">
        <is>
          <t>E1</t>
        </is>
      </c>
      <c r="R643" s="69" t="inlineStr">
        <is>
          <t>Arquitectura de IoT para educacion ("treating classrooms and laboratories as mixed criticality cyber physical estates"); el gemelo sólo como palabra clave, C1; también E2.</t>
        </is>
      </c>
      <c r="S643" s="69" t="n"/>
    </row>
    <row r="644" ht="23.25" customHeight="1" s="17">
      <c r="A644" s="26" t="inlineStr">
        <is>
          <t>R0643</t>
        </is>
      </c>
      <c r="B644" s="26" t="inlineStr">
        <is>
          <t>Scopus</t>
        </is>
      </c>
      <c r="C644" s="26" t="inlineStr">
        <is>
          <t>Sontakke P.; Chandre P.; Dhotre P.; Pathak G.</t>
        </is>
      </c>
      <c r="D644" s="26" t="n">
        <v>2026</v>
      </c>
      <c r="E644" s="27" t="inlineStr">
        <is>
          <t>Enhancing Resource Management in Dyeing Industry Supply Chain Using Artificial Intelligence</t>
        </is>
      </c>
      <c r="F644" s="26" t="inlineStr">
        <is>
          <t>Lecture Notes in Networks and Systems</t>
        </is>
      </c>
      <c r="G644" s="26" t="inlineStr">
        <is>
          <t>Conference paper</t>
        </is>
      </c>
      <c r="H644" s="26" t="inlineStr">
        <is>
          <t>10.1007/978-3-032-13003-7_15</t>
        </is>
      </c>
      <c r="I644" s="26" t="inlineStr">
        <is>
          <t>TA</t>
        </is>
      </c>
      <c r="J644" s="37" t="inlineStr">
        <is>
          <t>Include</t>
        </is>
      </c>
      <c r="K644" s="37" t="n"/>
      <c r="L644" s="33" t="inlineStr">
        <is>
          <t>Likely exclude: twin/model terms only in keywords, not in title or abstract</t>
        </is>
      </c>
      <c r="M644" s="37" t="inlineStr">
        <is>
          <t>[Make] Arquitectura borde-nube para la cadena de tenido textil con gemelo implementado ("A digital-twin simulation engine mirrors every dye bath and tank") y agentes de aprendizaje por refuerzo "trained against the twin" que generan programas "while respecting delivery constraints", con modulo de IA explicable para "operator trust" y prueba de concepto en una tintoreria. Make: produccion encuadrada en la cadena de suministro del estudio (titulo y resumen). Relevante para HITL.</t>
        </is>
      </c>
      <c r="N644" s="69" t="inlineStr">
        <is>
          <t>I</t>
        </is>
      </c>
      <c r="O644" s="69" t="n">
        <v>13</v>
      </c>
      <c r="P644" s="69" t="inlineStr">
        <is>
          <t>Include</t>
        </is>
      </c>
      <c r="Q644" s="69" t="inlineStr">
        <is>
          <t>I</t>
        </is>
      </c>
      <c r="R644" s="69" t="inlineStr">
        <is>
          <t>Arquitectura borde-nube para la cadena de tenido textil con gemelo implementado ("A digital-twin simulation engine mirrors every dye bath and tank") y agentes de aprendizaje por refuerzo "trained against the twin" que generan programas "while respecting delivery constraints", con modulo de IA explicable para "operator trust" y prueba de concepto en una tintoreria. Make: produccion encuadrada en la cadena de suministro del estudio (titulo y resumen). Relevante para HITL.</t>
        </is>
      </c>
      <c r="S644" s="69" t="inlineStr">
        <is>
          <t>Make</t>
        </is>
      </c>
    </row>
    <row r="645" ht="34.5" customHeight="1" s="17">
      <c r="A645" s="26" t="inlineStr">
        <is>
          <t>R0644</t>
        </is>
      </c>
      <c r="B645" s="26" t="inlineStr">
        <is>
          <t>Scopus</t>
        </is>
      </c>
      <c r="C645" s="26" t="inlineStr">
        <is>
          <t>Fomenko A.A.; Panilov P.A.; Tsibizova T.Y.</t>
        </is>
      </c>
      <c r="D645" s="26" t="n">
        <v>2026</v>
      </c>
      <c r="E645" s="27" t="inlineStr">
        <is>
          <t>Development of an Architecture for an Intelligent Plant Logistics Management System Based on the Integration of ERP Systems, MES, and Industrial Robots in the Context of Industry 4.0/5.0</t>
        </is>
      </c>
      <c r="F645" s="26" t="inlineStr">
        <is>
          <t>Proceedings - 2026 International Russian Smart Industry Conference, SmartIndustryCon 2026</t>
        </is>
      </c>
      <c r="G645" s="26" t="inlineStr">
        <is>
          <t>Conference paper</t>
        </is>
      </c>
      <c r="H645" s="26" t="inlineStr">
        <is>
          <t>10.1109/smartindustrycon68821.2026.11492957</t>
        </is>
      </c>
      <c r="I645" s="26" t="inlineStr">
        <is>
          <t>TA</t>
        </is>
      </c>
      <c r="J645" s="37" t="inlineStr">
        <is>
          <t>Exclude</t>
        </is>
      </c>
      <c r="K645" s="37" t="inlineStr">
        <is>
          <t>No digital twin/model</t>
        </is>
      </c>
      <c r="L645" s="33" t="inlineStr">
        <is>
          <t>Likely exclude: twin/model terms only in keywords, not in title or abstract</t>
        </is>
      </c>
      <c r="M645" s="37" t="inlineStr">
        <is>
          <t>Arquitectura de sistema inteligente de logistica de planta con motor de IA, planificador y despachador ("modular subcomponents - Planner, Dispatcher, and Real-Time Analyzer"); el gemelo sólo como palabra clave de autor, sin aparecer en el resumen, C1. Nota: logistica de planta con equilibrio humano-IA, util como contexto.</t>
        </is>
      </c>
      <c r="N645" s="69" t="inlineStr">
        <is>
          <t>E1</t>
        </is>
      </c>
      <c r="O645" s="69" t="n">
        <v>13</v>
      </c>
      <c r="P645" s="69" t="inlineStr">
        <is>
          <t>Exclude</t>
        </is>
      </c>
      <c r="Q645" s="69" t="inlineStr">
        <is>
          <t>E1</t>
        </is>
      </c>
      <c r="R645" s="69" t="inlineStr">
        <is>
          <t>Arquitectura de sistema inteligente de logistica de planta con motor de IA, planificador y despachador ("modular subcomponents - Planner, Dispatcher, and Real-Time Analyzer"); el gemelo sólo como palabra clave de autor, sin aparecer en el resumen, C1. Nota: logistica de planta con equilibrio humano-IA, util como contexto.</t>
        </is>
      </c>
      <c r="S645" s="69" t="n"/>
    </row>
    <row r="646" ht="23.25" customHeight="1" s="17">
      <c r="A646" s="26" t="inlineStr">
        <is>
          <t>R0645</t>
        </is>
      </c>
      <c r="B646" s="26" t="inlineStr">
        <is>
          <t>Scopus + WoS</t>
        </is>
      </c>
      <c r="C646" s="26" t="inlineStr">
        <is>
          <t>Castro M.; Sabino M.R.; Cabrita M.D.R.; Mendes A.; Pinho T.</t>
        </is>
      </c>
      <c r="D646" s="26" t="n">
        <v>2026</v>
      </c>
      <c r="E646" s="27" t="inlineStr">
        <is>
          <t>From Smart Ports to Sustainable Port Ecosystems: The Transformative Role of Artificial Intelligence</t>
        </is>
      </c>
      <c r="F646" s="26" t="inlineStr">
        <is>
          <t>Systems</t>
        </is>
      </c>
      <c r="G646" s="26" t="inlineStr">
        <is>
          <t>Review</t>
        </is>
      </c>
      <c r="H646" s="26" t="inlineStr">
        <is>
          <t>10.3390/systems14020187</t>
        </is>
      </c>
      <c r="I646" s="26" t="inlineStr">
        <is>
          <t>TA</t>
        </is>
      </c>
      <c r="J646" s="37" t="inlineStr">
        <is>
          <t>Exclude</t>
        </is>
      </c>
      <c r="K646" s="37" t="inlineStr">
        <is>
          <t>Wrong publication type</t>
        </is>
      </c>
      <c r="L646" s="33" t="inlineStr">
        <is>
          <t>Likely exclude: twin/model terms only in keywords, not in title or abstract</t>
        </is>
      </c>
      <c r="M646" s="37" t="inlineStr">
        <is>
          <t>Revision con bibliometria de la IA en puertos ("we conducted a systematic screening combined with bibliometric performance analysis and science mapping"); gemelos sólo como palabra clave; logistica maritima con IA. Valor para snowballing: medio.</t>
        </is>
      </c>
      <c r="N646" s="69" t="inlineStr">
        <is>
          <t>E4</t>
        </is>
      </c>
      <c r="O646" s="69" t="n">
        <v>13</v>
      </c>
      <c r="P646" s="69" t="inlineStr">
        <is>
          <t>Exclude</t>
        </is>
      </c>
      <c r="Q646" s="69" t="inlineStr">
        <is>
          <t>E4</t>
        </is>
      </c>
      <c r="R646" s="69" t="inlineStr">
        <is>
          <t>Revision con bibliometria de la IA en puertos ("we conducted a systematic screening combined with bibliometric performance analysis and science mapping"); gemelos sólo como palabra clave; logistica maritima con IA. Valor para snowballing: medio.</t>
        </is>
      </c>
      <c r="S646" s="69" t="n"/>
    </row>
    <row r="647" ht="23.25" customHeight="1" s="17">
      <c r="A647" s="26" t="inlineStr">
        <is>
          <t>R0646</t>
        </is>
      </c>
      <c r="B647" s="26" t="inlineStr">
        <is>
          <t>Scopus</t>
        </is>
      </c>
      <c r="C647" s="26" t="inlineStr">
        <is>
          <t>Yusufoğlu B.; Özdemir S.; Zargarchi S.; Gündoğan R.; Capanoglu E.; Tekinerdoğan B.; Esatbeyoglu T.</t>
        </is>
      </c>
      <c r="D647" s="26" t="n">
        <v>2026</v>
      </c>
      <c r="E647" s="27" t="inlineStr">
        <is>
          <t>Machine and deep learning for food integrity: A review of emerging analytical applications in safety, quality, and authenticity</t>
        </is>
      </c>
      <c r="F647" s="26" t="inlineStr">
        <is>
          <t>Applied Food Research</t>
        </is>
      </c>
      <c r="G647" s="26" t="inlineStr">
        <is>
          <t>Review</t>
        </is>
      </c>
      <c r="H647" s="26" t="inlineStr">
        <is>
          <t>10.1016/j.afres.2026.102100</t>
        </is>
      </c>
      <c r="I647" s="26" t="inlineStr">
        <is>
          <t>TA</t>
        </is>
      </c>
      <c r="J647" s="37" t="inlineStr">
        <is>
          <t>Exclude</t>
        </is>
      </c>
      <c r="K647" s="37" t="inlineStr">
        <is>
          <t>Wrong publication type</t>
        </is>
      </c>
      <c r="L647" s="33" t="inlineStr">
        <is>
          <t>Likely exclude: twin/model terms only in keywords, not in title or abstract</t>
        </is>
      </c>
      <c r="M647" s="37" t="inlineStr">
        <is>
          <t>Revision de ML y aprendizaje profundo para integridad alimentaria ("The conceptual framework underlying this review reveals"); gemelo sólo como palabra clave de indice. Valor para snowballing: bajo.</t>
        </is>
      </c>
      <c r="N647" s="69" t="inlineStr">
        <is>
          <t>E4</t>
        </is>
      </c>
      <c r="O647" s="69" t="n">
        <v>13</v>
      </c>
      <c r="P647" s="69" t="inlineStr">
        <is>
          <t>Exclude</t>
        </is>
      </c>
      <c r="Q647" s="69" t="inlineStr">
        <is>
          <t>E4</t>
        </is>
      </c>
      <c r="R647" s="69" t="inlineStr">
        <is>
          <t>Revision de ML y aprendizaje profundo para integridad alimentaria ("The conceptual framework underlying this review reveals"); gemelo sólo como palabra clave de indice. Valor para snowballing: bajo.</t>
        </is>
      </c>
      <c r="S647" s="69" t="n"/>
    </row>
    <row r="648" ht="45.75" customHeight="1" s="17">
      <c r="A648" s="26" t="inlineStr">
        <is>
          <t>R0647</t>
        </is>
      </c>
      <c r="B648" s="26" t="inlineStr">
        <is>
          <t>Scopus</t>
        </is>
      </c>
      <c r="C648" s="26" t="inlineStr">
        <is>
          <t>Stoian B.-N.; Popescu C.-A.; Nechita R.-M.; Verdete B.M.</t>
        </is>
      </c>
      <c r="D648" s="26" t="n">
        <v>2026</v>
      </c>
      <c r="E648" s="27" t="inlineStr">
        <is>
          <t>ATLAS–ALMA ARCHITECTURE FOR THE INTELLIGENT OPERATION OF MULTIMODAL FREIGHT TRANSPORT NETWORKS: CONCEPTUAL MODEL AND IMPLEMENTATION FRAMEWORK</t>
        </is>
      </c>
      <c r="F648" s="26" t="inlineStr">
        <is>
          <t>International Journal of Mechatronics and Applied Mechanics</t>
        </is>
      </c>
      <c r="G648" s="26" t="inlineStr">
        <is>
          <t>Article</t>
        </is>
      </c>
      <c r="H648" s="26" t="inlineStr">
        <is>
          <t>10.17683/ijomam/issue24.8</t>
        </is>
      </c>
      <c r="I648" s="26" t="inlineStr">
        <is>
          <t>TA</t>
        </is>
      </c>
      <c r="J648" s="37" t="inlineStr">
        <is>
          <t>Exclude</t>
        </is>
      </c>
      <c r="K648" s="37" t="inlineStr">
        <is>
          <t>No digital twin/model</t>
        </is>
      </c>
      <c r="L648" s="33" t="inlineStr">
        <is>
          <t>Likely exclude: twin/model terms only in keywords, not in title or abstract</t>
        </is>
      </c>
      <c r="M648" s="37" t="inlineStr">
        <is>
          <t>Arquitectura ATLAS-ALMA para transporte multimodal de carga con "agent-based representation of the logistics unit, multi-objective optimization and dynamic redirection"; el gemelo sólo como palabra clave de autor, sin aparecer en el resumen, C1.</t>
        </is>
      </c>
      <c r="N648" s="69" t="inlineStr">
        <is>
          <t>E1</t>
        </is>
      </c>
      <c r="O648" s="69" t="n">
        <v>13</v>
      </c>
      <c r="P648" s="69" t="inlineStr">
        <is>
          <t>Exclude</t>
        </is>
      </c>
      <c r="Q648" s="69" t="inlineStr">
        <is>
          <t>E1</t>
        </is>
      </c>
      <c r="R648" s="69" t="inlineStr">
        <is>
          <t>Arquitectura ATLAS-ALMA para transporte multimodal de carga con "agent-based representation of the logistics unit, multi-objective optimization and dynamic redirection"; el gemelo sólo como palabra clave de autor, sin aparecer en el resumen, C1.</t>
        </is>
      </c>
      <c r="S648" s="69" t="n"/>
    </row>
    <row r="649" ht="34.5" customHeight="1" s="17">
      <c r="A649" s="26" t="inlineStr">
        <is>
          <t>R0648</t>
        </is>
      </c>
      <c r="B649" s="26" t="inlineStr">
        <is>
          <t>WoS</t>
        </is>
      </c>
      <c r="C649" s="26" t="inlineStr">
        <is>
          <t>Seyam, A; Barachi, ME; Zhang, C; Du, B; Shen, J; Mathew, SS</t>
        </is>
      </c>
      <c r="D649" s="26" t="n">
        <v>2026</v>
      </c>
      <c r="E649" s="27" t="inlineStr">
        <is>
          <t>Enhancing resilience and reducing waste in food supply chains: a systematic review and future directions leveraging emerging technologies</t>
        </is>
      </c>
      <c r="F649" s="26" t="inlineStr">
        <is>
          <t>INTERNATIONAL JOURNAL OF LOGISTICS-RESEARCH AND APPLICATIONS</t>
        </is>
      </c>
      <c r="G649" s="26" t="inlineStr">
        <is>
          <t>Article</t>
        </is>
      </c>
      <c r="H649" s="26" t="inlineStr">
        <is>
          <t>10.1080/13675567.2024.2406555</t>
        </is>
      </c>
      <c r="I649" s="26" t="inlineStr">
        <is>
          <t>TA</t>
        </is>
      </c>
      <c r="J649" s="37" t="inlineStr">
        <is>
          <t>Exclude</t>
        </is>
      </c>
      <c r="K649" s="37" t="inlineStr">
        <is>
          <t>Wrong publication type</t>
        </is>
      </c>
      <c r="L649" s="33" t="inlineStr">
        <is>
          <t>Likely exclude: twin/model terms only in keywords, not in title or abstract</t>
        </is>
      </c>
      <c r="M649" s="37" t="inlineStr">
        <is>
          <t>Revision sistematica de resiliencia y desperdicio en cadenas alimentarias ("This paper presents a comprehensive systematic review"); gemelos sólo en Keywords Plus. Valor para snowballing: bajo.</t>
        </is>
      </c>
      <c r="N649" s="69" t="inlineStr">
        <is>
          <t>E4</t>
        </is>
      </c>
      <c r="O649" s="69" t="n">
        <v>13</v>
      </c>
      <c r="P649" s="69" t="inlineStr">
        <is>
          <t>Exclude</t>
        </is>
      </c>
      <c r="Q649" s="69" t="inlineStr">
        <is>
          <t>E4</t>
        </is>
      </c>
      <c r="R649" s="69" t="inlineStr">
        <is>
          <t>Revision sistematica de resiliencia y desperdicio en cadenas alimentarias ("This paper presents a comprehensive systematic review"); gemelos sólo en Keywords Plus. Valor para snowballing: bajo.</t>
        </is>
      </c>
      <c r="S649" s="69" t="n"/>
    </row>
    <row r="650" ht="23.25" customHeight="1" s="17">
      <c r="A650" s="26" t="inlineStr">
        <is>
          <t>R0649</t>
        </is>
      </c>
      <c r="B650" s="26" t="inlineStr">
        <is>
          <t>WoS</t>
        </is>
      </c>
      <c r="C650" s="26" t="inlineStr">
        <is>
          <t>Oner, G; Inanc, Y; Altuntas, G</t>
        </is>
      </c>
      <c r="D650" s="26" t="n">
        <v>2026</v>
      </c>
      <c r="E650" s="27" t="inlineStr">
        <is>
          <t>Artificial intelligence in ports: a bibliometric and evolutionary perspective</t>
        </is>
      </c>
      <c r="F650" s="26" t="inlineStr">
        <is>
          <t>INTERNATIONAL JOURNAL OF SHIPPING AND TRANSPORT LOGISTICS</t>
        </is>
      </c>
      <c r="G650" s="26" t="inlineStr">
        <is>
          <t>Article</t>
        </is>
      </c>
      <c r="H650" s="26" t="inlineStr">
        <is>
          <t>10.1504/ijstl.2026.153221</t>
        </is>
      </c>
      <c r="I650" s="26" t="inlineStr">
        <is>
          <t>TA</t>
        </is>
      </c>
      <c r="J650" s="37" t="inlineStr">
        <is>
          <t>Exclude</t>
        </is>
      </c>
      <c r="K650" s="37" t="inlineStr">
        <is>
          <t>Wrong publication type</t>
        </is>
      </c>
      <c r="L650" s="33" t="inlineStr">
        <is>
          <t>Likely exclude: twin/model terms only in keywords, not in title or abstract</t>
        </is>
      </c>
      <c r="M650" s="37" t="inlineStr">
        <is>
          <t>Bibliometria de IA en puertos ("This study conducts a comprehensive bibliometric analysis of 391 publications"); gemelo sólo en Keywords Plus; logistica portuaria con IA. Valor para snowballing: medio.</t>
        </is>
      </c>
      <c r="N650" s="69" t="inlineStr">
        <is>
          <t>E4</t>
        </is>
      </c>
      <c r="O650" s="69" t="n">
        <v>13</v>
      </c>
      <c r="P650" s="69" t="inlineStr">
        <is>
          <t>Exclude</t>
        </is>
      </c>
      <c r="Q650" s="69" t="inlineStr">
        <is>
          <t>E4</t>
        </is>
      </c>
      <c r="R650" s="69" t="inlineStr">
        <is>
          <t>Bibliometria de IA en puertos ("This study conducts a comprehensive bibliometric analysis of 391 publications"); gemelo sólo en Keywords Plus; logistica portuaria con IA. Valor para snowballing: medio.</t>
        </is>
      </c>
      <c r="S650" s="69" t="n"/>
    </row>
    <row r="651" ht="23.25" customHeight="1" s="17">
      <c r="A651" s="26" t="inlineStr">
        <is>
          <t>R0650</t>
        </is>
      </c>
      <c r="B651" s="26" t="inlineStr">
        <is>
          <t>WoS</t>
        </is>
      </c>
      <c r="C651" s="26" t="inlineStr">
        <is>
          <t>Mller, JM; Kazantsev, N; Allmendinger, R; Salehi-Amiri, A; Reis, JZ; Jaradat, S; Bartolo, H; Bartolo, PJD</t>
        </is>
      </c>
      <c r="D651" s="26" t="n">
        <v>2026</v>
      </c>
      <c r="E651" s="27" t="inlineStr">
        <is>
          <t>How to engineer sustainability: from resource-wise manufacturing towards ecosystem-wide impacts</t>
        </is>
      </c>
      <c r="F651" s="26" t="inlineStr">
        <is>
          <t>SUSTAINABILITY ACCOUNTING MANAGEMENT AND POLICY JOURNAL</t>
        </is>
      </c>
      <c r="G651" s="26" t="inlineStr">
        <is>
          <t>Article</t>
        </is>
      </c>
      <c r="H651" s="26" t="inlineStr">
        <is>
          <t>10.1108/sampj-03-2024-0305</t>
        </is>
      </c>
      <c r="I651" s="26" t="inlineStr">
        <is>
          <t>TA</t>
        </is>
      </c>
      <c r="J651" s="37" t="inlineStr">
        <is>
          <t>Exclude</t>
        </is>
      </c>
      <c r="K651" s="37" t="inlineStr">
        <is>
          <t>Wrong publication type</t>
        </is>
      </c>
      <c r="L651" s="33" t="inlineStr">
        <is>
          <t>Likely exclude: 'digital model' hit is a business-model paper, no digital twin</t>
        </is>
      </c>
      <c r="M651" s="37" t="inlineStr">
        <is>
          <t>Articulo conceptual basado en revision ("This study presents a literature review developing four research propositions"); gemelo sólo en Keywords Plus. Valor para snowballing: bajo.</t>
        </is>
      </c>
      <c r="N651" s="69" t="inlineStr">
        <is>
          <t>E4</t>
        </is>
      </c>
      <c r="O651" s="69" t="n">
        <v>13</v>
      </c>
      <c r="P651" s="69" t="inlineStr">
        <is>
          <t>Exclude</t>
        </is>
      </c>
      <c r="Q651" s="69" t="inlineStr">
        <is>
          <t>E4</t>
        </is>
      </c>
      <c r="R651" s="69" t="inlineStr">
        <is>
          <t>Articulo conceptual basado en revision ("This study presents a literature review developing four research propositions"); gemelo sólo en Keywords Plus. Valor para snowballing: bajo.</t>
        </is>
      </c>
      <c r="S651" s="69" t="n"/>
    </row>
    <row r="652" ht="23.25" customHeight="1" s="17">
      <c r="A652" s="26" t="inlineStr">
        <is>
          <t>R0651</t>
        </is>
      </c>
      <c r="B652" s="26" t="inlineStr">
        <is>
          <t>WoS</t>
        </is>
      </c>
      <c r="C652" s="26" t="inlineStr">
        <is>
          <t>Gao, XZ; Wang, YC; Liu, BS; Zhou, X; Zhang, RC; Wang, JC; Niyato, D; Kim, DI; Jamalipour, A; Yuen, C; An, JP; Yang, K</t>
        </is>
      </c>
      <c r="D652" s="26" t="n">
        <v>2026</v>
      </c>
      <c r="E652" s="27" t="inlineStr">
        <is>
          <t>Agentic Satellite-Augmented Low-Altitude Economy and Terrestrial Networks: A Survey on Generative Approaches</t>
        </is>
      </c>
      <c r="F652" s="26" t="inlineStr">
        <is>
          <t>IEEE COMMUNICATIONS SURVEYS AND TUTORIALS</t>
        </is>
      </c>
      <c r="G652" s="26" t="inlineStr">
        <is>
          <t>Article</t>
        </is>
      </c>
      <c r="H652" s="26" t="inlineStr">
        <is>
          <t>10.1109/comst.2026.3660854</t>
        </is>
      </c>
      <c r="I652" s="26" t="inlineStr">
        <is>
          <t>TA</t>
        </is>
      </c>
      <c r="J652" s="37" t="inlineStr">
        <is>
          <t>Exclude</t>
        </is>
      </c>
      <c r="K652" s="37" t="inlineStr">
        <is>
          <t>Wrong publication type</t>
        </is>
      </c>
      <c r="L652" s="33" t="inlineStr">
        <is>
          <t>Likely exclude: twin/model terms only in keywords, not in title or abstract</t>
        </is>
      </c>
      <c r="M652" s="37" t="inlineStr">
        <is>
          <t>Encuesta de literatura sobre IA agentica en redes satelitales ("this article surveys the state-of-the-art literature on enabling agentic artificial intelligence"); logistica y gemelo sólo como palabras clave. Valor para snowballing: bajo.</t>
        </is>
      </c>
      <c r="N652" s="69" t="inlineStr">
        <is>
          <t>E4</t>
        </is>
      </c>
      <c r="O652" s="69" t="n">
        <v>13</v>
      </c>
      <c r="P652" s="69" t="inlineStr">
        <is>
          <t>Exclude</t>
        </is>
      </c>
      <c r="Q652" s="69" t="inlineStr">
        <is>
          <t>E4</t>
        </is>
      </c>
      <c r="R652" s="69" t="inlineStr">
        <is>
          <t>Encuesta de literatura sobre IA agentica en redes satelitales ("this article surveys the state-of-the-art literature on enabling agentic artificial intelligence"); logistica y gemelo sólo como palabras clave. Valor para snowballing: bajo.</t>
        </is>
      </c>
      <c r="S652" s="69" t="n"/>
    </row>
    <row r="653" ht="23.25" customHeight="1" s="17">
      <c r="A653" s="26" t="inlineStr">
        <is>
          <t>R0652</t>
        </is>
      </c>
      <c r="B653" s="26" t="inlineStr">
        <is>
          <t>WoS</t>
        </is>
      </c>
      <c r="C653" s="26" t="inlineStr">
        <is>
          <t>Maiti, R; Madhukumar, AS; Ernest, TZH</t>
        </is>
      </c>
      <c r="D653" s="26" t="n">
        <v>2026</v>
      </c>
      <c r="E653" s="27" t="inlineStr">
        <is>
          <t>Machine Learning-Driven Edge Caching for Industry 5.0: A Survey of Collaborative and Inference-Enabled Techniques</t>
        </is>
      </c>
      <c r="F653" s="26" t="inlineStr">
        <is>
          <t>IEEE OPEN JOURNAL OF THE COMMUNICATIONS SOCIETY</t>
        </is>
      </c>
      <c r="G653" s="26" t="inlineStr">
        <is>
          <t>Article</t>
        </is>
      </c>
      <c r="H653" s="26" t="inlineStr">
        <is>
          <t>10.1109/ojcoms.2026.3669379</t>
        </is>
      </c>
      <c r="I653" s="26" t="inlineStr">
        <is>
          <t>TA</t>
        </is>
      </c>
      <c r="J653" s="37" t="inlineStr">
        <is>
          <t>Exclude</t>
        </is>
      </c>
      <c r="K653" s="37" t="inlineStr">
        <is>
          <t>Wrong publication type</t>
        </is>
      </c>
      <c r="L653" s="33" t="inlineStr">
        <is>
          <t>Likely exclude: twin/model terms only in keywords, not in title or abstract</t>
        </is>
      </c>
      <c r="M653" s="37" t="inlineStr">
        <is>
          <t>Encuesta de cache en el borde con ML ("This survey provides a comprehensive and systematic review of machine learning (ML)-driven edge caching"); logistica como dominio y gemelos como palabra clave. Valor para snowballing: bajo.</t>
        </is>
      </c>
      <c r="N653" s="69" t="inlineStr">
        <is>
          <t>E4</t>
        </is>
      </c>
      <c r="O653" s="69" t="n">
        <v>13</v>
      </c>
      <c r="P653" s="69" t="inlineStr">
        <is>
          <t>Exclude</t>
        </is>
      </c>
      <c r="Q653" s="69" t="inlineStr">
        <is>
          <t>E4</t>
        </is>
      </c>
      <c r="R653" s="69" t="inlineStr">
        <is>
          <t>Encuesta de cache en el borde con ML ("This survey provides a comprehensive and systematic review of machine learning (ML)-driven edge caching"); logistica como dominio y gemelos como palabra clave. Valor para snowballing: bajo.</t>
        </is>
      </c>
      <c r="S653" s="69" t="n"/>
    </row>
    <row r="654" ht="23.25" customHeight="1" s="17">
      <c r="A654" s="26" t="inlineStr">
        <is>
          <t>R0653</t>
        </is>
      </c>
      <c r="B654" s="26" t="inlineStr">
        <is>
          <t>Scopus + WoS</t>
        </is>
      </c>
      <c r="C654" s="26" t="inlineStr">
        <is>
          <t>Ivanov D.</t>
        </is>
      </c>
      <c r="D654" s="26" t="n">
        <v>2025</v>
      </c>
      <c r="E654" s="27" t="inlineStr">
        <is>
          <t>No risk, no fun? A bioinspired adaptation-based framework for supply chain resilience in Industry 5.0</t>
        </is>
      </c>
      <c r="F654" s="26" t="inlineStr">
        <is>
          <t>International Journal of Production Research</t>
        </is>
      </c>
      <c r="G654" s="26" t="inlineStr">
        <is>
          <t>Article</t>
        </is>
      </c>
      <c r="H654" s="26" t="inlineStr">
        <is>
          <t>10.1080/00207543.2025.2496962</t>
        </is>
      </c>
      <c r="I654" s="26" t="inlineStr">
        <is>
          <t>TA</t>
        </is>
      </c>
      <c r="J654" s="37" t="inlineStr">
        <is>
          <t>Exclude</t>
        </is>
      </c>
      <c r="K654" s="37" t="inlineStr">
        <is>
          <t>No digital twin/model</t>
        </is>
      </c>
      <c r="L654" s="33" t="inlineStr">
        <is>
          <t>Likely exclude: twin/model terms only in keywords, not in title or abstract</t>
        </is>
      </c>
      <c r="M654" s="37" t="inlineStr">
        <is>
          <t>Marco bioinspirado de adaptabilidad de cadena en Industria 5.0 con cuatro casos ("we theorise a bioinspired framework of supply chain adaptability in Industry 5.0"); gemelo e IA sólo como palabras clave de autor, sin aparecer en el resumen, C1. | Auditoría final 2026-09-06: Aunque E1, su lista de referencias (Ivanov 2025, Industria 5.0 y centralidad humana) es útil para el snowballing manual desde los incluidos de la línea Ivanov.</t>
        </is>
      </c>
      <c r="N654" s="69" t="inlineStr">
        <is>
          <t>E1</t>
        </is>
      </c>
      <c r="O654" s="69" t="n">
        <v>13</v>
      </c>
      <c r="P654" s="69" t="inlineStr">
        <is>
          <t>Exclude</t>
        </is>
      </c>
      <c r="Q654" s="69" t="inlineStr">
        <is>
          <t>E1</t>
        </is>
      </c>
      <c r="R654" s="69" t="inlineStr">
        <is>
          <t>Marco bioinspirado de adaptabilidad de cadena en Industria 5.0 con cuatro casos ("we theorise a bioinspired framework of supply chain adaptability in Industry 5.0"); gemelo e IA sólo como palabras clave de autor, sin aparecer en el resumen, C1.</t>
        </is>
      </c>
      <c r="S654" s="69" t="n"/>
    </row>
    <row r="655" ht="23.25" customHeight="1" s="17">
      <c r="A655" s="26" t="inlineStr">
        <is>
          <t>R0654</t>
        </is>
      </c>
      <c r="B655" s="26" t="inlineStr">
        <is>
          <t>Scopus</t>
        </is>
      </c>
      <c r="C655" s="26" t="inlineStr">
        <is>
          <t>Jarrassier A.; Boutonnet M.; Duranteau J.; Travers S.; Prat N.; Dubourg O.; Pasquier P.; Libert N.</t>
        </is>
      </c>
      <c r="D655" s="26" t="n">
        <v>2025</v>
      </c>
      <c r="E655" s="27" t="inlineStr">
        <is>
          <t>Initial management of haemorrhagic war casualties: tactical priorities and innovative approaches in modern and future warfare</t>
        </is>
      </c>
      <c r="F655" s="26" t="inlineStr">
        <is>
          <t>Critical Care</t>
        </is>
      </c>
      <c r="G655" s="26" t="inlineStr">
        <is>
          <t>Review</t>
        </is>
      </c>
      <c r="H655" s="26" t="inlineStr">
        <is>
          <t>10.1186/s13054-025-05752-6</t>
        </is>
      </c>
      <c r="I655" s="26" t="inlineStr">
        <is>
          <t>TA</t>
        </is>
      </c>
      <c r="J655" s="37" t="inlineStr">
        <is>
          <t>Exclude</t>
        </is>
      </c>
      <c r="K655" s="37" t="inlineStr">
        <is>
          <t>Wrong publication type</t>
        </is>
      </c>
      <c r="L655" s="33" t="inlineStr">
        <is>
          <t>Likely exclude: twin/model terms only in keywords, not in title or abstract</t>
        </is>
      </c>
      <c r="M655" s="37" t="inlineStr">
        <is>
          <t>Revision narrativa de atencion a heridos de guerra ("This narrative review synthesizes current practices and emerging innovations"); gemelos fisiologicos como tecnologia futura. Valor para snowballing: bajo.</t>
        </is>
      </c>
      <c r="N655" s="69" t="inlineStr">
        <is>
          <t>E4</t>
        </is>
      </c>
      <c r="O655" s="69" t="n">
        <v>13</v>
      </c>
      <c r="P655" s="69" t="inlineStr">
        <is>
          <t>Exclude</t>
        </is>
      </c>
      <c r="Q655" s="69" t="inlineStr">
        <is>
          <t>E4</t>
        </is>
      </c>
      <c r="R655" s="69" t="inlineStr">
        <is>
          <t>Revision narrativa de atencion a heridos de guerra ("This narrative review synthesizes current practices and emerging innovations"); gemelos fisiologicos como tecnologia futura. Valor para snowballing: bajo.</t>
        </is>
      </c>
      <c r="S655" s="69" t="n"/>
    </row>
    <row r="656" ht="23.25" customHeight="1" s="17">
      <c r="A656" s="26" t="inlineStr">
        <is>
          <t>R0655</t>
        </is>
      </c>
      <c r="B656" s="26" t="inlineStr">
        <is>
          <t>Scopus + WoS</t>
        </is>
      </c>
      <c r="C656" s="26" t="inlineStr">
        <is>
          <t>Sitharaj A.; Balasubramanian A.; Sivanraju R.</t>
        </is>
      </c>
      <c r="D656" s="26" t="n">
        <v>2025</v>
      </c>
      <c r="E656" s="27" t="inlineStr">
        <is>
          <t>Artificial Intelligence in Wire Arc Additive Manufacturing: A Systematic Review and Patent Landscape Analysis</t>
        </is>
      </c>
      <c r="F656" s="26" t="inlineStr">
        <is>
          <t>Engineering Reports</t>
        </is>
      </c>
      <c r="G656" s="26" t="inlineStr">
        <is>
          <t>Review</t>
        </is>
      </c>
      <c r="H656" s="26" t="inlineStr">
        <is>
          <t>10.1002/eng2.70518</t>
        </is>
      </c>
      <c r="I656" s="26" t="inlineStr">
        <is>
          <t>TA</t>
        </is>
      </c>
      <c r="J656" s="37" t="inlineStr">
        <is>
          <t>Exclude</t>
        </is>
      </c>
      <c r="K656" s="37" t="inlineStr">
        <is>
          <t>Wrong publication type</t>
        </is>
      </c>
      <c r="L656" s="33" t="inlineStr">
        <is>
          <t>Likely exclude: twin/model terms only in keywords, not in title or abstract</t>
        </is>
      </c>
      <c r="M656" s="37" t="inlineStr">
        <is>
          <t>Revision sistematica y analisis de patentes de IA en fabricacion aditiva por arco ("This review provides a comprehensive analysis of the individual applications of artificial intelligence (AI) and Blockchain technologies in WAAM"); gemelos sólo como palabra clave. Valor para snowballing: bajo.</t>
        </is>
      </c>
      <c r="N656" s="69" t="inlineStr">
        <is>
          <t>E4</t>
        </is>
      </c>
      <c r="O656" s="69" t="n">
        <v>13</v>
      </c>
      <c r="P656" s="69" t="inlineStr">
        <is>
          <t>Exclude</t>
        </is>
      </c>
      <c r="Q656" s="69" t="inlineStr">
        <is>
          <t>E4</t>
        </is>
      </c>
      <c r="R656" s="69" t="inlineStr">
        <is>
          <t>Revision sistematica y analisis de patentes de IA en fabricacion aditiva por arco ("This review provides a comprehensive analysis of the individual applications of artificial intelligence (AI) and Blockchain technologies in WAAM"); gemelos sólo como palabra clave. Valor para snowballing: bajo.</t>
        </is>
      </c>
      <c r="S656" s="69" t="n"/>
    </row>
    <row r="657" ht="23.25" customHeight="1" s="17">
      <c r="A657" s="26" t="inlineStr">
        <is>
          <t>R0656</t>
        </is>
      </c>
      <c r="B657" s="26" t="inlineStr">
        <is>
          <t>Scopus</t>
        </is>
      </c>
      <c r="C657" s="26" t="inlineStr">
        <is>
          <t>Vallée A.; Feki A.; Moawad G.; Ayoubi J.-M.</t>
        </is>
      </c>
      <c r="D657" s="26" t="n">
        <v>2025</v>
      </c>
      <c r="E657" s="27" t="inlineStr">
        <is>
          <t>A semi-mechanistic mathematical framework for simulating multi-hormone dynamics in reproductive endocrinology</t>
        </is>
      </c>
      <c r="F657" s="26" t="inlineStr">
        <is>
          <t>Computational and Structural Biotechnology Journal</t>
        </is>
      </c>
      <c r="G657" s="26" t="inlineStr">
        <is>
          <t>Article</t>
        </is>
      </c>
      <c r="H657" s="26" t="inlineStr">
        <is>
          <t>10.1016/j.csbj.2025.08.013</t>
        </is>
      </c>
      <c r="I657" s="26" t="inlineStr">
        <is>
          <t>TA</t>
        </is>
      </c>
      <c r="J657" s="37" t="inlineStr">
        <is>
          <t>Exclude</t>
        </is>
      </c>
      <c r="K657" s="37" t="inlineStr">
        <is>
          <t>No digital twin/model</t>
        </is>
      </c>
      <c r="L657" s="33" t="inlineStr">
        <is>
          <t>Likely exclude: twin/model terms only in keywords, not in title or abstract</t>
        </is>
      </c>
      <c r="M657" s="37" t="inlineStr">
        <is>
          <t>Marco matematico semimecanicista de dinamica hormonal ("to generate synthetic multi-hormone profiles"); modelo biologico (C6) con el gemelo sólo como palabra clave, C1; también E2 (ambito clinico).</t>
        </is>
      </c>
      <c r="N657" s="69" t="inlineStr">
        <is>
          <t>E1</t>
        </is>
      </c>
      <c r="O657" s="69" t="n">
        <v>13</v>
      </c>
      <c r="P657" s="69" t="inlineStr">
        <is>
          <t>Exclude</t>
        </is>
      </c>
      <c r="Q657" s="69" t="inlineStr">
        <is>
          <t>E1</t>
        </is>
      </c>
      <c r="R657" s="69" t="inlineStr">
        <is>
          <t>Marco matematico semimecanicista de dinamica hormonal ("to generate synthetic multi-hormone profiles"); modelo biologico (C6) con el gemelo sólo como palabra clave, C1; también E2 (ambito clinico).</t>
        </is>
      </c>
      <c r="S657" s="69" t="n"/>
    </row>
    <row r="658" ht="23.25" customHeight="1" s="17">
      <c r="A658" s="26" t="inlineStr">
        <is>
          <t>R0657</t>
        </is>
      </c>
      <c r="B658" s="26" t="inlineStr">
        <is>
          <t>Scopus</t>
        </is>
      </c>
      <c r="C658" s="26" t="inlineStr">
        <is>
          <t>Al-Talib M.; Al-Saad W.; Alzoubi A.; Anosike A.I.</t>
        </is>
      </c>
      <c r="D658" s="26" t="n">
        <v>2025</v>
      </c>
      <c r="E658" s="27" t="inlineStr">
        <is>
          <t>A systematic review of the literature on the use of information technologies in supply chain management</t>
        </is>
      </c>
      <c r="F658" s="26" t="inlineStr">
        <is>
          <t>International Journal of Industrial Engineering and Operations Management</t>
        </is>
      </c>
      <c r="G658" s="26" t="inlineStr">
        <is>
          <t>Article</t>
        </is>
      </c>
      <c r="H658" s="26" t="inlineStr">
        <is>
          <t>10.1108/ijieom-09-2023-0073</t>
        </is>
      </c>
      <c r="I658" s="26" t="inlineStr">
        <is>
          <t>TA</t>
        </is>
      </c>
      <c r="J658" s="37" t="inlineStr">
        <is>
          <t>Exclude</t>
        </is>
      </c>
      <c r="K658" s="37" t="inlineStr">
        <is>
          <t>Wrong publication type</t>
        </is>
      </c>
      <c r="L658" s="33" t="inlineStr">
        <is>
          <t>Likely exclude: twin/model terms only in keywords, not in title or abstract</t>
        </is>
      </c>
      <c r="M658" s="37" t="inlineStr">
        <is>
          <t>Revision sistematica de tecnologias de informacion en gestion de cadena ("This study employs a systematic literature review methodology to analyse a set of 177 publications"); gemelo e IA como palabras clave de autor. Valor para snowballing: medio.</t>
        </is>
      </c>
      <c r="N658" s="69" t="inlineStr">
        <is>
          <t>E4</t>
        </is>
      </c>
      <c r="O658" s="69" t="n">
        <v>13</v>
      </c>
      <c r="P658" s="69" t="inlineStr">
        <is>
          <t>Exclude</t>
        </is>
      </c>
      <c r="Q658" s="69" t="inlineStr">
        <is>
          <t>E4</t>
        </is>
      </c>
      <c r="R658" s="69" t="inlineStr">
        <is>
          <t>Revision sistematica de tecnologias de informacion en gestion de cadena ("This study employs a systematic literature review methodology to analyse a set of 177 publications"); gemelo e IA como palabras clave de autor. Valor para snowballing: medio.</t>
        </is>
      </c>
      <c r="S658" s="69" t="n"/>
    </row>
    <row r="659" ht="23.25" customHeight="1" s="17">
      <c r="A659" s="26" t="inlineStr">
        <is>
          <t>R0658</t>
        </is>
      </c>
      <c r="B659" s="26" t="inlineStr">
        <is>
          <t>Scopus</t>
        </is>
      </c>
      <c r="C659" s="26" t="inlineStr">
        <is>
          <t>Bakbergen M.; Didar Y.</t>
        </is>
      </c>
      <c r="D659" s="26" t="n">
        <v>2025</v>
      </c>
      <c r="E659" s="27" t="inlineStr">
        <is>
          <t>Predicting High Temporal Deviation in Traffic Flows Based on SUMO Simulation</t>
        </is>
      </c>
      <c r="F659" s="26" t="inlineStr">
        <is>
          <t>SIST 2025 - 2025 IEEE 5th International Conference on Smart Information Systems and Technologies, Conference Proceedings</t>
        </is>
      </c>
      <c r="G659" s="26" t="inlineStr">
        <is>
          <t>Conference paper</t>
        </is>
      </c>
      <c r="H659" s="26" t="inlineStr">
        <is>
          <t>10.1109/sist61657.2025.11139163</t>
        </is>
      </c>
      <c r="I659" s="26" t="inlineStr">
        <is>
          <t>TA</t>
        </is>
      </c>
      <c r="J659" s="37" t="inlineStr">
        <is>
          <t>Exclude</t>
        </is>
      </c>
      <c r="K659" s="37" t="inlineStr">
        <is>
          <t>No digital twin/model</t>
        </is>
      </c>
      <c r="L659" s="33" t="inlineStr">
        <is>
          <t>Likely exclude: twin/model terms only in keywords, not in title or abstract</t>
        </is>
      </c>
      <c r="M659" s="37" t="inlineStr">
        <is>
          <t>Prediccion de desviaciones temporales de trafico con ML sobre simulacion SUMO ("The study aims to predict high time deviations (HighLoss) in traffic flows based on SUMO simulation data"); el gemelo sólo como palabra clave de autor, sin aparecer en el resumen, C1; también E2 (trafico urbano, sin cadena).</t>
        </is>
      </c>
      <c r="N659" s="69" t="inlineStr">
        <is>
          <t>E1</t>
        </is>
      </c>
      <c r="O659" s="69" t="n">
        <v>13</v>
      </c>
      <c r="P659" s="69" t="inlineStr">
        <is>
          <t>Exclude</t>
        </is>
      </c>
      <c r="Q659" s="69" t="inlineStr">
        <is>
          <t>E1</t>
        </is>
      </c>
      <c r="R659" s="69" t="inlineStr">
        <is>
          <t>Prediccion de desviaciones temporales de trafico con ML sobre simulacion SUMO ("The study aims to predict high time deviations (HighLoss) in traffic flows based on SUMO simulation data"); el gemelo sólo como palabra clave de autor, sin aparecer en el resumen, C1; también E2 (trafico urbano, sin cadena).</t>
        </is>
      </c>
      <c r="S659" s="69" t="n"/>
    </row>
    <row r="660" ht="23.25" customHeight="1" s="17">
      <c r="A660" s="26" t="inlineStr">
        <is>
          <t>R0659</t>
        </is>
      </c>
      <c r="B660" s="26" t="inlineStr">
        <is>
          <t>Scopus</t>
        </is>
      </c>
      <c r="C660" s="26" t="inlineStr">
        <is>
          <t>Parab R.; Feeley J.M.; Valero M.; Chadalawada L.; Garcia G.-G.P.; Kar S.S.; Madabhushi A.; Breton M.D.; Li J.; Shao H.; Pasquel F.J.</t>
        </is>
      </c>
      <c r="D660" s="26" t="n">
        <v>2025</v>
      </c>
      <c r="E660" s="27" t="inlineStr">
        <is>
          <t>Artificial Intelligence in Diabetes Care: Applications, Challenges, and Opportunities Ahead</t>
        </is>
      </c>
      <c r="F660" s="26" t="inlineStr">
        <is>
          <t>Endocrine Practice</t>
        </is>
      </c>
      <c r="G660" s="26" t="inlineStr">
        <is>
          <t>Review</t>
        </is>
      </c>
      <c r="H660" s="26" t="inlineStr">
        <is>
          <t>10.1016/j.eprac.2025.07.008</t>
        </is>
      </c>
      <c r="I660" s="26" t="inlineStr">
        <is>
          <t>TA</t>
        </is>
      </c>
      <c r="J660" s="37" t="inlineStr">
        <is>
          <t>Exclude</t>
        </is>
      </c>
      <c r="K660" s="37" t="inlineStr">
        <is>
          <t>Wrong publication type</t>
        </is>
      </c>
      <c r="L660" s="33" t="inlineStr">
        <is>
          <t>Likely exclude: twin/model terms only in keywords, not in title or abstract</t>
        </is>
      </c>
      <c r="M660" s="37" t="inlineStr">
        <is>
          <t>Revision narrativa de IA en diabetes ("In this narrative review, we examine the latest AI applications in diabetes care"); gemelo sólo como palabra clave de indice. Valor para snowballing: bajo.</t>
        </is>
      </c>
      <c r="N660" s="69" t="inlineStr">
        <is>
          <t>E4</t>
        </is>
      </c>
      <c r="O660" s="69" t="n">
        <v>13</v>
      </c>
      <c r="P660" s="69" t="inlineStr">
        <is>
          <t>Exclude</t>
        </is>
      </c>
      <c r="Q660" s="69" t="inlineStr">
        <is>
          <t>E4</t>
        </is>
      </c>
      <c r="R660" s="69" t="inlineStr">
        <is>
          <t>Revision narrativa de IA en diabetes ("In this narrative review, we examine the latest AI applications in diabetes care"); gemelo sólo como palabra clave de indice. Valor para snowballing: bajo.</t>
        </is>
      </c>
      <c r="S660" s="69" t="n"/>
    </row>
    <row r="661" ht="23.25" customHeight="1" s="17">
      <c r="A661" s="26" t="inlineStr">
        <is>
          <t>R0660</t>
        </is>
      </c>
      <c r="B661" s="26" t="inlineStr">
        <is>
          <t>Scopus</t>
        </is>
      </c>
      <c r="C661" s="26" t="inlineStr">
        <is>
          <t>Zhang X.; Yang W.; Yang W.; Huang B.; Wang Z.; Tian S.</t>
        </is>
      </c>
      <c r="D661" s="26" t="n">
        <v>2025</v>
      </c>
      <c r="E661" s="27" t="inlineStr">
        <is>
          <t>Occupational Risk Prediction for Miners Based on Stacking Health Data Fusion</t>
        </is>
      </c>
      <c r="F661" s="26" t="inlineStr">
        <is>
          <t>Applied Sciences (Switzerland)</t>
        </is>
      </c>
      <c r="G661" s="26" t="inlineStr">
        <is>
          <t>Article</t>
        </is>
      </c>
      <c r="H661" s="26" t="inlineStr">
        <is>
          <t>10.3390/app15063129</t>
        </is>
      </c>
      <c r="I661" s="26" t="inlineStr">
        <is>
          <t>TA</t>
        </is>
      </c>
      <c r="J661" s="37" t="inlineStr">
        <is>
          <t>Exclude</t>
        </is>
      </c>
      <c r="K661" s="37" t="inlineStr">
        <is>
          <t>No digital twin/model</t>
        </is>
      </c>
      <c r="L661" s="33" t="inlineStr">
        <is>
          <t>Likely exclude: twin/model terms only in keywords, not in title or abstract</t>
        </is>
      </c>
      <c r="M661" s="37" t="inlineStr">
        <is>
          <t>Prediccion de riesgo laboral de mineros con ensamblado apilado ("This study presents a novel stacked ensemble architecture"); el gemelo sólo como palabra clave de autor, sin aparecer en el resumen, C1; también E2.</t>
        </is>
      </c>
      <c r="N661" s="69" t="inlineStr">
        <is>
          <t>E1</t>
        </is>
      </c>
      <c r="O661" s="69" t="n">
        <v>13</v>
      </c>
      <c r="P661" s="69" t="inlineStr">
        <is>
          <t>Exclude</t>
        </is>
      </c>
      <c r="Q661" s="69" t="inlineStr">
        <is>
          <t>E1</t>
        </is>
      </c>
      <c r="R661" s="69" t="inlineStr">
        <is>
          <t>Prediccion de riesgo laboral de mineros con ensamblado apilado ("This study presents a novel stacked ensemble architecture"); el gemelo sólo como palabra clave de autor, sin aparecer en el resumen, C1; también E2.</t>
        </is>
      </c>
      <c r="S661" s="69" t="n"/>
    </row>
    <row r="662" ht="34.5" customHeight="1" s="17">
      <c r="A662" s="26" t="inlineStr">
        <is>
          <t>R0661</t>
        </is>
      </c>
      <c r="B662" s="26" t="inlineStr">
        <is>
          <t>Scopus</t>
        </is>
      </c>
      <c r="C662" s="26" t="inlineStr">
        <is>
          <t>Tamtam F.; Tourabi A.</t>
        </is>
      </c>
      <c r="D662" s="26" t="n">
        <v>2025</v>
      </c>
      <c r="E662" s="27" t="inlineStr">
        <is>
          <t>INFORMATION-CENTRIC OPTIMIZATION OF BIO-BASED SUPPLY CHAINS USING HYBRID C-IFS AND TYPE-2 FUZZY MAIRCA</t>
        </is>
      </c>
      <c r="F662" s="26" t="inlineStr">
        <is>
          <t>Interdisciplinary Journal of Information, Knowledge, and Management</t>
        </is>
      </c>
      <c r="G662" s="26" t="inlineStr">
        <is>
          <t>Article</t>
        </is>
      </c>
      <c r="H662" s="26" t="inlineStr">
        <is>
          <t>10.28945/5688</t>
        </is>
      </c>
      <c r="I662" s="26" t="inlineStr">
        <is>
          <t>TA</t>
        </is>
      </c>
      <c r="J662" s="37" t="inlineStr">
        <is>
          <t>Exclude</t>
        </is>
      </c>
      <c r="K662" s="37" t="inlineStr">
        <is>
          <t>No digital twin/model</t>
        </is>
      </c>
      <c r="L662" s="33" t="inlineStr">
        <is>
          <t>Likely exclude: twin/model terms only in keywords, not in title or abstract</t>
        </is>
      </c>
      <c r="M662" s="37" t="inlineStr">
        <is>
          <t>Evaluacion multicriterio difusa de configuraciones de cadena biobasada con IA ("application of Type-2 Fuzzy MAIRCA to assess and prioritize AI-integrated SBSC alternatives"); estudio de priorizacion (C4) con el gemelo sólo como palabra clave ("digital twin-enabled evaluation models"), C1.</t>
        </is>
      </c>
      <c r="N662" s="69" t="inlineStr">
        <is>
          <t>E1</t>
        </is>
      </c>
      <c r="O662" s="69" t="n">
        <v>13</v>
      </c>
      <c r="P662" s="69" t="inlineStr">
        <is>
          <t>Exclude</t>
        </is>
      </c>
      <c r="Q662" s="69" t="inlineStr">
        <is>
          <t>E1</t>
        </is>
      </c>
      <c r="R662" s="69" t="inlineStr">
        <is>
          <t>Evaluacion multicriterio difusa de configuraciones de cadena biobasada con IA ("application of Type-2 Fuzzy MAIRCA to assess and prioritize AI-integrated SBSC alternatives"); estudio de priorizacion (C4) con el gemelo sólo como palabra clave ("digital twin-enabled evaluation models"), C1.</t>
        </is>
      </c>
      <c r="S662" s="69" t="n"/>
    </row>
    <row r="663" ht="23.25" customHeight="1" s="17">
      <c r="A663" s="26" t="inlineStr">
        <is>
          <t>R0662</t>
        </is>
      </c>
      <c r="B663" s="26" t="inlineStr">
        <is>
          <t>Scopus + WoS</t>
        </is>
      </c>
      <c r="C663" s="26" t="inlineStr">
        <is>
          <t>Valvis A.; Balaska V.; Kansizoglou I.; Bampis L.; Gasteratos A.</t>
        </is>
      </c>
      <c r="D663" s="26" t="n">
        <v>2025</v>
      </c>
      <c r="E663" s="27" t="inlineStr">
        <is>
          <t>SynthPark: A Photorealistic Simulation Environment for Parking Occupancy Prediction</t>
        </is>
      </c>
      <c r="F663" s="26" t="inlineStr">
        <is>
          <t>IEEE International Conference on Imaging Systems and Techniques, IST 2025 - Conference Proceedings</t>
        </is>
      </c>
      <c r="G663" s="26" t="inlineStr">
        <is>
          <t>Conference paper</t>
        </is>
      </c>
      <c r="H663" s="26" t="inlineStr">
        <is>
          <t>10.1109/ist66504.2025.11268443</t>
        </is>
      </c>
      <c r="I663" s="26" t="inlineStr">
        <is>
          <t>TA</t>
        </is>
      </c>
      <c r="J663" s="37" t="inlineStr">
        <is>
          <t>Exclude</t>
        </is>
      </c>
      <c r="K663" s="37" t="inlineStr">
        <is>
          <t>No digital twin/model</t>
        </is>
      </c>
      <c r="L663" s="33" t="inlineStr">
        <is>
          <t>Likely exclude: twin/model terms only in keywords, not in title or abstract</t>
        </is>
      </c>
      <c r="M663" s="37" t="inlineStr">
        <is>
          <t>Entorno fotorrealista de simulacion ("a photorealistic digital-twin environment that enables scalable generation of fully labelled aerial imagery") usado como generador de datos para entrenar un detector YOLO; gemelo generador de datos, no modelo de operaciones (C6); también E2.</t>
        </is>
      </c>
      <c r="N663" s="69" t="inlineStr">
        <is>
          <t>E1</t>
        </is>
      </c>
      <c r="O663" s="69" t="n">
        <v>13</v>
      </c>
      <c r="P663" s="69" t="inlineStr">
        <is>
          <t>Exclude</t>
        </is>
      </c>
      <c r="Q663" s="69" t="inlineStr">
        <is>
          <t>E1</t>
        </is>
      </c>
      <c r="R663" s="69" t="inlineStr">
        <is>
          <t>Entorno fotorrealista de simulacion ("a photorealistic digital-twin environment that enables scalable generation of fully labelled aerial imagery") usado como generador de datos para entrenar un detector YOLO; gemelo generador de datos, no modelo de operaciones (C6); también E2.</t>
        </is>
      </c>
      <c r="S663" s="69" t="n"/>
    </row>
    <row r="664" ht="23.25" customHeight="1" s="17">
      <c r="A664" s="26" t="inlineStr">
        <is>
          <t>R0663</t>
        </is>
      </c>
      <c r="B664" s="26" t="inlineStr">
        <is>
          <t>Scopus</t>
        </is>
      </c>
      <c r="C664" s="26" t="inlineStr">
        <is>
          <t>Lu X.; Lin Y.; Ng H.; Liu Y.</t>
        </is>
      </c>
      <c r="D664" s="26" t="n">
        <v>2025</v>
      </c>
      <c r="E664" s="27" t="inlineStr">
        <is>
          <t>When Interpretability Meets Efficiency: Integrating Emulation into Supply Chain Simulation</t>
        </is>
      </c>
      <c r="F664" s="26" t="inlineStr">
        <is>
          <t>Proceedings - Winter Simulation Conference</t>
        </is>
      </c>
      <c r="G664" s="26" t="inlineStr">
        <is>
          <t>Conference paper</t>
        </is>
      </c>
      <c r="H664" s="26" t="inlineStr">
        <is>
          <t>10.1109/wsc68292.2025.11339053</t>
        </is>
      </c>
      <c r="I664" s="26" t="inlineStr">
        <is>
          <t>TA</t>
        </is>
      </c>
      <c r="J664" s="37" t="inlineStr">
        <is>
          <t>Include</t>
        </is>
      </c>
      <c r="K664" s="37" t="n"/>
      <c r="L664" s="33" t="inlineStr">
        <is>
          <t>Likely exclude: twin/model terms only in keywords, not in title or abstract</t>
        </is>
      </c>
      <c r="M664" s="37" t="inlineStr">
        <is>
          <t>Simulador hibrido SEmulate que integra emulacion por ML en la simulacion de cadena de grandes minoristas ("Traditional digital-twin simulators, which are powered by complex optimization algorithms, are high-fidelity but can be computationally expensive"; "reduces runtime by orders of magnitude compared to the traditional digital-twin based simulator"); el objeto es el simulador gemelo de cadena acelerado con ML. Incluido por sensibilidad; verificar en texto completo si el simulador se conserva como gemelo. | Auditoría final 2026-09-06: se mantiene I; objeto = simulador gemelo de cadena acelerado con emulación por ML; verificar que el simulador se conserve como gemelo.</t>
        </is>
      </c>
      <c r="N664" s="69" t="inlineStr">
        <is>
          <t>I</t>
        </is>
      </c>
      <c r="O664" s="69" t="n">
        <v>13</v>
      </c>
      <c r="P664" s="69" t="inlineStr">
        <is>
          <t>Include</t>
        </is>
      </c>
      <c r="Q664" s="69" t="inlineStr">
        <is>
          <t>I</t>
        </is>
      </c>
      <c r="R664" s="69" t="inlineStr">
        <is>
          <t>Simulador hibrido SEmulate que integra emulacion por ML en la simulacion de cadena de grandes minoristas ("Traditional digital-twin simulators, which are powered by complex optimization algorithms, are high-fidelity but can be computationally expensive"; "reduces runtime by orders of magnitude compared to the traditional digital-twin based simulator"); el objeto es el simulador gemelo de cadena acelerado con ML. Incluido por sensibilidad; verificar en texto completo si el simulador se conserva como gemelo.</t>
        </is>
      </c>
      <c r="S664" s="69" t="n"/>
    </row>
    <row r="665" ht="23.25" customHeight="1" s="17">
      <c r="A665" s="26" t="inlineStr">
        <is>
          <t>R0664</t>
        </is>
      </c>
      <c r="B665" s="26" t="inlineStr">
        <is>
          <t>Scopus + WoS</t>
        </is>
      </c>
      <c r="C665" s="26" t="inlineStr">
        <is>
          <t>Dolgui A.; Ivanov D.</t>
        </is>
      </c>
      <c r="D665" s="26" t="n">
        <v>2025</v>
      </c>
      <c r="E665" s="27" t="inlineStr">
        <is>
          <t>Internet of behaviors: conceptual model, practical and theoretical implications for supply chain and operations management</t>
        </is>
      </c>
      <c r="F665" s="26" t="inlineStr">
        <is>
          <t>International Journal of Production Research</t>
        </is>
      </c>
      <c r="G665" s="26" t="inlineStr">
        <is>
          <t>Article</t>
        </is>
      </c>
      <c r="H665" s="26" t="inlineStr">
        <is>
          <t>10.1080/00207543.2024.2372008</t>
        </is>
      </c>
      <c r="I665" s="26" t="inlineStr">
        <is>
          <t>TA</t>
        </is>
      </c>
      <c r="J665" s="37" t="inlineStr">
        <is>
          <t>Include</t>
        </is>
      </c>
      <c r="K665" s="37" t="n"/>
      <c r="L665" s="33" t="inlineStr">
        <is>
          <t>Likely exclude: twin/model terms only in keywords, not in title or abstract</t>
        </is>
      </c>
      <c r="M665" s="37" t="inlineStr">
        <is>
          <t>Modelo conceptual del Internet de los Comportamientos para gestion de cadena y operaciones (IJPR) construido sobre gemelos de cadena ("Based on a combination of the existing IoB frameworks with industrial Metaverse and digital supply chain twins, we propose a framework for IoB in SCOM"), donde el IoB se define como red "for replicating, understanding, predicting, and influencing human behaviour through data analytics"; conceptual de la linea Ivanov con la analitica predictiva como elemento constitutivo (C8, tercera precision). Limite: la IA aparece sólo como enriquecimiento ("a combination of artificial intelligence and digital technology with operations research"); alternativa E3 en el pool de antecedentes (valor medio) si consideras que la IA no es constitutiva.</t>
        </is>
      </c>
      <c r="N665" s="69" t="inlineStr">
        <is>
          <t>I</t>
        </is>
      </c>
      <c r="O665" s="69" t="n">
        <v>13</v>
      </c>
      <c r="P665" s="69" t="inlineStr">
        <is>
          <t>Include</t>
        </is>
      </c>
      <c r="Q665" s="69" t="inlineStr">
        <is>
          <t>I</t>
        </is>
      </c>
      <c r="R665" s="69" t="inlineStr">
        <is>
          <t>Modelo conceptual del Internet de los Comportamientos para gestion de cadena y operaciones (IJPR) construido sobre gemelos de cadena ("Based on a combination of the existing IoB frameworks with industrial Metaverse and digital supply chain twins, we propose a framework for IoB in SCOM"), donde el IoB se define como red "for replicating, understanding, predicting, and influencing human behaviour through data analytics"; conceptual de la linea Ivanov con la analitica predictiva como elemento constitutivo (C8, tercera precision). Limite: la IA aparece sólo como enriquecimiento ("a combination of artificial intelligence and digital technology with operations research"); alternativa E3 con Antecedente C8: medio si consideras que la IA no es constitutiva.</t>
        </is>
      </c>
      <c r="S665" s="69" t="n"/>
    </row>
    <row r="666" ht="23.25" customHeight="1" s="17">
      <c r="A666" s="26" t="inlineStr">
        <is>
          <t>R0665</t>
        </is>
      </c>
      <c r="B666" s="26" t="inlineStr">
        <is>
          <t>WoS</t>
        </is>
      </c>
      <c r="C666" s="26" t="inlineStr">
        <is>
          <t>Rohovyi, O; Samsonkin, V; Yurchenko, O; Bureika, G</t>
        </is>
      </c>
      <c r="D666" s="26" t="n">
        <v>2025</v>
      </c>
      <c r="E666" s="27" t="inlineStr">
        <is>
          <t>A Single AI Platform for the Unification of Railway Transport Logistics Processes</t>
        </is>
      </c>
      <c r="F666" s="26" t="inlineStr">
        <is>
          <t>2025 20TH EUROPEAN DEPENDABLE COMPUTING CONFERENCE COMPANION PROCEEDINGS, EDCC-C</t>
        </is>
      </c>
      <c r="G666" s="26" t="inlineStr">
        <is>
          <t>Proceedings Paper</t>
        </is>
      </c>
      <c r="H666" s="26" t="inlineStr">
        <is>
          <t>10.1109/edcc-c66476.2025.00039</t>
        </is>
      </c>
      <c r="I666" s="26" t="inlineStr">
        <is>
          <t>TA</t>
        </is>
      </c>
      <c r="J666" s="37" t="inlineStr">
        <is>
          <t>Exclude</t>
        </is>
      </c>
      <c r="K666" s="37" t="inlineStr">
        <is>
          <t>No digital twin/model</t>
        </is>
      </c>
      <c r="L666" s="33" t="inlineStr">
        <is>
          <t>Likely exclude: twin/model terms only in keywords, not in title or abstract</t>
        </is>
      </c>
      <c r="M666" s="37" t="inlineStr">
        <is>
          <t>Plataforma unificada de IA para logistica ferroviaria en Ucrania ("The objective of this development is to automate transportation planning"); gemelo sólo en Keywords Plus, C1.</t>
        </is>
      </c>
      <c r="N666" s="69" t="inlineStr">
        <is>
          <t>E1</t>
        </is>
      </c>
      <c r="O666" s="69" t="n">
        <v>13</v>
      </c>
      <c r="P666" s="69" t="inlineStr">
        <is>
          <t>Exclude</t>
        </is>
      </c>
      <c r="Q666" s="69" t="inlineStr">
        <is>
          <t>E1</t>
        </is>
      </c>
      <c r="R666" s="69" t="inlineStr">
        <is>
          <t>Plataforma unificada de IA para logistica ferroviaria en Ucrania ("The objective of this development is to automate transportation planning"); gemelo sólo en Keywords Plus, C1.</t>
        </is>
      </c>
      <c r="S666" s="69" t="n"/>
    </row>
    <row r="667" ht="23.25" customHeight="1" s="17">
      <c r="A667" s="26" t="inlineStr">
        <is>
          <t>R0666</t>
        </is>
      </c>
      <c r="B667" s="26" t="inlineStr">
        <is>
          <t>WoS</t>
        </is>
      </c>
      <c r="C667" s="26" t="inlineStr">
        <is>
          <t>Dossou, PE; Irudayaraj, J</t>
        </is>
      </c>
      <c r="D667" s="26" t="n">
        <v>2025</v>
      </c>
      <c r="E667" s="27" t="inlineStr">
        <is>
          <t>Development of an Intelligent System for Urban Logistics to Facilitate Sustainable Optimization</t>
        </is>
      </c>
      <c r="F667" s="26" t="inlineStr">
        <is>
          <t>TRANSPORT TRANSITIONS: ADVANCING SUSTAINABLE AND INCLUSIVE MOBILITY, TRA CONFERENCE, 2024, VOL 4</t>
        </is>
      </c>
      <c r="G667" s="26" t="inlineStr">
        <is>
          <t>Proceedings Paper</t>
        </is>
      </c>
      <c r="H667" s="26" t="inlineStr">
        <is>
          <t>10.1007/978-3-031-95284-5_36</t>
        </is>
      </c>
      <c r="I667" s="26" t="inlineStr">
        <is>
          <t>TA</t>
        </is>
      </c>
      <c r="J667" s="37" t="inlineStr">
        <is>
          <t>Exclude</t>
        </is>
      </c>
      <c r="K667" s="37" t="inlineStr">
        <is>
          <t>No digital twin/model</t>
        </is>
      </c>
      <c r="L667" s="33" t="inlineStr">
        <is>
          <t>Likely exclude: twin/model terms only in keywords, not in title or abstract</t>
        </is>
      </c>
      <c r="M667" s="37" t="inlineStr">
        <is>
          <t>Herramienta inteligente para logistica urbana sostenible ("This paper aims to develop an intelligent tool exploiting the concepts industry 4.0"); el gemelo sólo como palabra clave de autor, sin aparecer en el resumen, C1.</t>
        </is>
      </c>
      <c r="N667" s="69" t="inlineStr">
        <is>
          <t>E1</t>
        </is>
      </c>
      <c r="O667" s="69" t="n">
        <v>13</v>
      </c>
      <c r="P667" s="69" t="inlineStr">
        <is>
          <t>Exclude</t>
        </is>
      </c>
      <c r="Q667" s="69" t="inlineStr">
        <is>
          <t>E1</t>
        </is>
      </c>
      <c r="R667" s="69" t="inlineStr">
        <is>
          <t>Herramienta inteligente para logistica urbana sostenible ("This paper aims to develop an intelligent tool exploiting the concepts industry 4.0"); el gemelo sólo como palabra clave de autor, sin aparecer en el resumen, C1.</t>
        </is>
      </c>
      <c r="S667" s="69" t="n"/>
    </row>
    <row r="668" ht="23.25" customHeight="1" s="17">
      <c r="A668" s="26" t="inlineStr">
        <is>
          <t>R0667</t>
        </is>
      </c>
      <c r="B668" s="26" t="inlineStr">
        <is>
          <t>WoS</t>
        </is>
      </c>
      <c r="C668" s="26" t="inlineStr">
        <is>
          <t>Gill, R; Srivastava, D; Hooda, S; Singla, C; Chaudhary, R</t>
        </is>
      </c>
      <c r="D668" s="26" t="n">
        <v>2025</v>
      </c>
      <c r="E668" s="27" t="inlineStr">
        <is>
          <t>Unleashing Sustainable Efficiency: The Integration of Computer Vision into Industry 4.0</t>
        </is>
      </c>
      <c r="F668" s="26" t="inlineStr">
        <is>
          <t>ENGINEERING MANAGEMENT JOURNAL</t>
        </is>
      </c>
      <c r="G668" s="26" t="inlineStr">
        <is>
          <t>Article</t>
        </is>
      </c>
      <c r="H668" s="26" t="inlineStr">
        <is>
          <t>10.1080/10429247.2024.2383518</t>
        </is>
      </c>
      <c r="I668" s="26" t="inlineStr">
        <is>
          <t>TA</t>
        </is>
      </c>
      <c r="J668" s="37" t="inlineStr">
        <is>
          <t>Exclude</t>
        </is>
      </c>
      <c r="K668" s="37" t="inlineStr">
        <is>
          <t>Wrong publication type</t>
        </is>
      </c>
      <c r="L668" s="33" t="inlineStr">
        <is>
          <t>Likely exclude: twin/model terms only in keywords, not in title or abstract</t>
        </is>
      </c>
      <c r="M668" s="37" t="inlineStr">
        <is>
          <t>Panorama de vision por computadora en Industria 4.0 ("this article offers an overview of computer vision, including its associated prospects, difficulties, and applications"); gemelo sólo en Keywords Plus. Valor para snowballing: bajo.</t>
        </is>
      </c>
      <c r="N668" s="69" t="inlineStr">
        <is>
          <t>E4</t>
        </is>
      </c>
      <c r="O668" s="69" t="n">
        <v>13</v>
      </c>
      <c r="P668" s="69" t="inlineStr">
        <is>
          <t>Exclude</t>
        </is>
      </c>
      <c r="Q668" s="69" t="inlineStr">
        <is>
          <t>E4</t>
        </is>
      </c>
      <c r="R668" s="69" t="inlineStr">
        <is>
          <t>Panorama de vision por computadora en Industria 4.0 ("this article offers an overview of computer vision, including its associated prospects, difficulties, and applications"); gemelo sólo en Keywords Plus. Valor para snowballing: bajo.</t>
        </is>
      </c>
      <c r="S668" s="69" t="n"/>
    </row>
    <row r="669" ht="23.25" customHeight="1" s="17">
      <c r="A669" s="26" t="inlineStr">
        <is>
          <t>R0668</t>
        </is>
      </c>
      <c r="B669" s="26" t="inlineStr">
        <is>
          <t>WoS</t>
        </is>
      </c>
      <c r="C669" s="26" t="inlineStr">
        <is>
          <t>Sivasubramani, S; Prodromakis, T</t>
        </is>
      </c>
      <c r="D669" s="26" t="n">
        <v>2025</v>
      </c>
      <c r="E669" s="27" t="inlineStr">
        <is>
          <t>Reaching new frontiers in nanoelectronics through artificial intelligence</t>
        </is>
      </c>
      <c r="F669" s="26" t="inlineStr">
        <is>
          <t>FRONTIERS IN NANOTECHNOLOGY</t>
        </is>
      </c>
      <c r="G669" s="26" t="inlineStr">
        <is>
          <t>Article</t>
        </is>
      </c>
      <c r="H669" s="26" t="inlineStr">
        <is>
          <t>10.3389/fnano.2025.1627210</t>
        </is>
      </c>
      <c r="I669" s="26" t="inlineStr">
        <is>
          <t>TA</t>
        </is>
      </c>
      <c r="J669" s="37" t="inlineStr">
        <is>
          <t>Exclude</t>
        </is>
      </c>
      <c r="K669" s="37" t="inlineStr">
        <is>
          <t>Wrong publication type</t>
        </is>
      </c>
      <c r="L669" s="33" t="inlineStr">
        <is>
          <t>Likely exclude: twin/model terms only in keywords, not in title or abstract</t>
        </is>
      </c>
      <c r="M669" s="37" t="inlineStr">
        <is>
          <t>Perspectiva que revisa la IA en la cadena electronica ("this perspective provides a comprehensive review of current AI applications across the entire electronic supply chain"); gemelo sólo en Keywords Plus. Valor para snowballing: bajo.</t>
        </is>
      </c>
      <c r="N669" s="69" t="inlineStr">
        <is>
          <t>E4</t>
        </is>
      </c>
      <c r="O669" s="69" t="n">
        <v>13</v>
      </c>
      <c r="P669" s="69" t="inlineStr">
        <is>
          <t>Exclude</t>
        </is>
      </c>
      <c r="Q669" s="69" t="inlineStr">
        <is>
          <t>E4</t>
        </is>
      </c>
      <c r="R669" s="69" t="inlineStr">
        <is>
          <t>Perspectiva que revisa la IA en la cadena electronica ("this perspective provides a comprehensive review of current AI applications across the entire electronic supply chain"); gemelo sólo en Keywords Plus. Valor para snowballing: bajo.</t>
        </is>
      </c>
      <c r="S669" s="69" t="n"/>
    </row>
    <row r="670" ht="34.5" customHeight="1" s="17">
      <c r="A670" s="26" t="inlineStr">
        <is>
          <t>R0669</t>
        </is>
      </c>
      <c r="B670" s="26" t="inlineStr">
        <is>
          <t>WoS</t>
        </is>
      </c>
      <c r="C670" s="26" t="inlineStr">
        <is>
          <t>Buecker, C; Pantel, J; Geissdoerfer, M; Bhattacharjya, J; Kumar, M</t>
        </is>
      </c>
      <c r="D670" s="26" t="n">
        <v>2025</v>
      </c>
      <c r="E670" s="27" t="inlineStr">
        <is>
          <t>Digital Technologies as Enablers of the Circular Economy: An Empirical Perspective on the Role of Companies in Driving Customer Behaviour Change</t>
        </is>
      </c>
      <c r="F670" s="26" t="inlineStr">
        <is>
          <t>R &amp; D MANAGEMENT</t>
        </is>
      </c>
      <c r="G670" s="26" t="inlineStr">
        <is>
          <t>Article</t>
        </is>
      </c>
      <c r="H670" s="26" t="inlineStr">
        <is>
          <t>10.1111/radm.12762</t>
        </is>
      </c>
      <c r="I670" s="26" t="inlineStr">
        <is>
          <t>TA</t>
        </is>
      </c>
      <c r="J670" s="37" t="inlineStr">
        <is>
          <t>Exclude</t>
        </is>
      </c>
      <c r="K670" s="37" t="inlineStr">
        <is>
          <t>No digital twin/model</t>
        </is>
      </c>
      <c r="L670" s="33" t="inlineStr">
        <is>
          <t>Likely exclude: 'digital model' hit is a business-model paper, no digital twin</t>
        </is>
      </c>
      <c r="M670" s="37" t="inlineStr">
        <is>
          <t>Estudio de entrevistas sobre tecnologias digitales y aceptacion de modelos circulares ("we conducted 41 semi-structured interviews"); gemelos como una de 19 tecnologias listadas (regla C4), C1.</t>
        </is>
      </c>
      <c r="N670" s="69" t="inlineStr">
        <is>
          <t>E1</t>
        </is>
      </c>
      <c r="O670" s="69" t="n">
        <v>13</v>
      </c>
      <c r="P670" s="69" t="inlineStr">
        <is>
          <t>Exclude</t>
        </is>
      </c>
      <c r="Q670" s="69" t="inlineStr">
        <is>
          <t>E1</t>
        </is>
      </c>
      <c r="R670" s="69" t="inlineStr">
        <is>
          <t>Estudio de entrevistas sobre tecnologias digitales y aceptacion de modelos circulares ("we conducted 41 semi-structured interviews"); gemelos como una de 19 tecnologias listadas (regla C4), C1.</t>
        </is>
      </c>
      <c r="S670" s="69" t="n"/>
    </row>
    <row r="671" ht="23.25" customHeight="1" s="17">
      <c r="A671" s="26" t="inlineStr">
        <is>
          <t>R0670</t>
        </is>
      </c>
      <c r="B671" s="26" t="inlineStr">
        <is>
          <t>WoS</t>
        </is>
      </c>
      <c r="C671" s="26" t="inlineStr">
        <is>
          <t>Sun, Q; Yuan, YN; Xu, BG; Gao, SP; Zhai, XD; Xu, FY; Shi, JY</t>
        </is>
      </c>
      <c r="D671" s="26" t="n">
        <v>2025</v>
      </c>
      <c r="E671" s="27" t="inlineStr">
        <is>
          <t>Innovative Technologies Reshaping Meat Industrialization: Challenges and Opportunities in the Intelligent Era</t>
        </is>
      </c>
      <c r="F671" s="26" t="inlineStr">
        <is>
          <t>FOODS</t>
        </is>
      </c>
      <c r="G671" s="26" t="inlineStr">
        <is>
          <t>Review</t>
        </is>
      </c>
      <c r="H671" s="26" t="inlineStr">
        <is>
          <t>10.3390/foods14132230</t>
        </is>
      </c>
      <c r="I671" s="26" t="inlineStr">
        <is>
          <t>TA</t>
        </is>
      </c>
      <c r="J671" s="37" t="inlineStr">
        <is>
          <t>Exclude</t>
        </is>
      </c>
      <c r="K671" s="37" t="inlineStr">
        <is>
          <t>Wrong publication type</t>
        </is>
      </c>
      <c r="L671" s="33" t="inlineStr">
        <is>
          <t>Likely exclude: twin/model terms only in keywords, not in title or abstract</t>
        </is>
      </c>
      <c r="M671" s="37" t="inlineStr">
        <is>
          <t>Revision sistematica de tecnologias en la industria carnica ("This paper provides a systematic review of key technological innovations in this field"); gemelos sólo en Keywords Plus. Valor para snowballing: bajo.</t>
        </is>
      </c>
      <c r="N671" s="69" t="inlineStr">
        <is>
          <t>E4</t>
        </is>
      </c>
      <c r="O671" s="69" t="n">
        <v>13</v>
      </c>
      <c r="P671" s="69" t="inlineStr">
        <is>
          <t>Exclude</t>
        </is>
      </c>
      <c r="Q671" s="69" t="inlineStr">
        <is>
          <t>E4</t>
        </is>
      </c>
      <c r="R671" s="69" t="inlineStr">
        <is>
          <t>Revision sistematica de tecnologias en la industria carnica ("This paper provides a systematic review of key technological innovations in this field"); gemelos sólo en Keywords Plus. Valor para snowballing: bajo.</t>
        </is>
      </c>
      <c r="S671" s="69" t="n"/>
    </row>
    <row r="672" ht="23.25" customHeight="1" s="17">
      <c r="A672" s="26" t="inlineStr">
        <is>
          <t>R0671</t>
        </is>
      </c>
      <c r="B672" s="26" t="inlineStr">
        <is>
          <t>Scopus</t>
        </is>
      </c>
      <c r="C672" s="26" t="inlineStr">
        <is>
          <t>Kitzmann H.; Strimovskaya A.; Tsyplakova E.; Sinko G.; Serova E.</t>
        </is>
      </c>
      <c r="D672" s="26" t="n">
        <v>2024</v>
      </c>
      <c r="E672" s="27" t="inlineStr">
        <is>
          <t>Enhanced Economic Sustainable Evaluation of Operational Planning in Industrial Engineering</t>
        </is>
      </c>
      <c r="F672" s="26" t="inlineStr">
        <is>
          <t>Lecture Notes in Networks and Systems</t>
        </is>
      </c>
      <c r="G672" s="26" t="inlineStr">
        <is>
          <t>Conference paper</t>
        </is>
      </c>
      <c r="H672" s="26" t="inlineStr">
        <is>
          <t>10.1007/978-3-031-53598-7_37</t>
        </is>
      </c>
      <c r="I672" s="26" t="inlineStr">
        <is>
          <t>TA</t>
        </is>
      </c>
      <c r="J672" s="37" t="inlineStr">
        <is>
          <t>Exclude</t>
        </is>
      </c>
      <c r="K672" s="37" t="inlineStr">
        <is>
          <t>No digital twin/model</t>
        </is>
      </c>
      <c r="L672" s="33" t="inlineStr">
        <is>
          <t>Likely exclude: twin/model terms only in keywords, not in title or abstract</t>
        </is>
      </c>
      <c r="M672" s="37" t="inlineStr">
        <is>
          <t>Modelo cibernetico de planeacion operativa por costo logistico total; el gemelo y la IA sólo como enriquecimiento futuro ("This approach enriches additionally the understandings of smart data in digital-twin solutions, and it is a conceptual basis for artificial learning theory"), C1; también E3.</t>
        </is>
      </c>
      <c r="N672" s="69" t="inlineStr">
        <is>
          <t>E1</t>
        </is>
      </c>
      <c r="O672" s="69" t="n">
        <v>13</v>
      </c>
      <c r="P672" s="69" t="inlineStr">
        <is>
          <t>Exclude</t>
        </is>
      </c>
      <c r="Q672" s="69" t="inlineStr">
        <is>
          <t>E1</t>
        </is>
      </c>
      <c r="R672" s="69" t="inlineStr">
        <is>
          <t>Modelo cibernetico de planeacion operativa por costo logistico total; el gemelo y la IA sólo como enriquecimiento futuro ("This approach enriches additionally the understandings of smart data in digital-twin solutions, and it is a conceptual basis for artificial learning theory"), C1; también E3.</t>
        </is>
      </c>
      <c r="S672" s="69" t="n"/>
    </row>
    <row r="673" ht="34.5" customHeight="1" s="17">
      <c r="A673" s="26" t="inlineStr">
        <is>
          <t>R0672</t>
        </is>
      </c>
      <c r="B673" s="26" t="inlineStr">
        <is>
          <t>Scopus</t>
        </is>
      </c>
      <c r="C673" s="26" t="inlineStr">
        <is>
          <t>Sun X.; Yu H.; Solvang W.D.; Govindan K.</t>
        </is>
      </c>
      <c r="D673" s="26" t="n">
        <v>2024</v>
      </c>
      <c r="E673" s="27" t="inlineStr">
        <is>
          <t>A two-level decision-support framework for reverse logistics network design considering technology transformation in Industry 4.0: a case study in Norway</t>
        </is>
      </c>
      <c r="F673" s="26" t="inlineStr">
        <is>
          <t>International Journal of Advanced Manufacturing Technology</t>
        </is>
      </c>
      <c r="G673" s="26" t="inlineStr">
        <is>
          <t>Article</t>
        </is>
      </c>
      <c r="H673" s="26" t="inlineStr">
        <is>
          <t>10.1007/s00170-024-14121-6</t>
        </is>
      </c>
      <c r="I673" s="26" t="inlineStr">
        <is>
          <t>TA</t>
        </is>
      </c>
      <c r="J673" s="37" t="inlineStr">
        <is>
          <t>Exclude</t>
        </is>
      </c>
      <c r="K673" s="37" t="inlineStr">
        <is>
          <t>No digital twin/model</t>
        </is>
      </c>
      <c r="L673" s="33" t="inlineStr">
        <is>
          <t>Likely exclude: twin/model terms only in keywords, not in title or abstract</t>
        </is>
      </c>
      <c r="M673" s="37" t="inlineStr">
        <is>
          <t>Marco de decision de dos niveles para diseño de redes de logistica inversa (caso Noruega) con optimizacion y simulacion; el gemelo sólo como estructura futura ("it also provides a fundamental structure for digital reverse logistics twin"), C1 (como R0340); también E3. Companero de R0307. | Auditoría final 2026-09-06: Trabajo relacionado: R0307 (mismo grupo, gemelo de logística inversa) está en el pool Antecedente C8.</t>
        </is>
      </c>
      <c r="N673" s="69" t="inlineStr">
        <is>
          <t>E1</t>
        </is>
      </c>
      <c r="O673" s="69" t="n">
        <v>13</v>
      </c>
      <c r="P673" s="69" t="inlineStr">
        <is>
          <t>Exclude</t>
        </is>
      </c>
      <c r="Q673" s="69" t="inlineStr">
        <is>
          <t>E1</t>
        </is>
      </c>
      <c r="R673" s="69" t="inlineStr">
        <is>
          <t>Marco de decision de dos niveles para diseño de redes de logistica inversa (caso Noruega) con optimizacion y simulacion; el gemelo sólo como estructura futura ("it also provides a fundamental structure for digital reverse logistics twin"), C1 (como R0340); también E3. Companero de R0307.</t>
        </is>
      </c>
      <c r="S673" s="69" t="n"/>
    </row>
    <row r="674" ht="23.25" customHeight="1" s="17">
      <c r="A674" s="26" t="inlineStr">
        <is>
          <t>R0673</t>
        </is>
      </c>
      <c r="B674" s="26" t="inlineStr">
        <is>
          <t>Scopus + WoS</t>
        </is>
      </c>
      <c r="C674" s="26" t="inlineStr">
        <is>
          <t>Mengi E.; Becker C.J.; Sedky M.; Yu S.-Y.; Zohdi T.I.</t>
        </is>
      </c>
      <c r="D674" s="26" t="n">
        <v>2024</v>
      </c>
      <c r="E674" s="27" t="inlineStr">
        <is>
          <t>A digital-twin and rapid optimization framework for optical design of indoor farming systems</t>
        </is>
      </c>
      <c r="F674" s="26" t="inlineStr">
        <is>
          <t>Computational Mechanics</t>
        </is>
      </c>
      <c r="G674" s="26" t="inlineStr">
        <is>
          <t>Article</t>
        </is>
      </c>
      <c r="H674" s="26" t="inlineStr">
        <is>
          <t>10.1007/s00466-023-02421-9</t>
        </is>
      </c>
      <c r="I674" s="26" t="inlineStr">
        <is>
          <t>TA</t>
        </is>
      </c>
      <c r="J674" s="37" t="inlineStr">
        <is>
          <t>Exclude</t>
        </is>
      </c>
      <c r="K674" s="37" t="inlineStr">
        <is>
          <t>No digital twin/model</t>
        </is>
      </c>
      <c r="L674" s="33" t="inlineStr">
        <is>
          <t>Likely exclude: twin/model terms only in keywords, not in title or abstract</t>
        </is>
      </c>
      <c r="M674" s="37" t="inlineStr">
        <is>
          <t>Recodificado 2026-09-06 en la auditoría final (E2→E1): Gemelo de diseño óptico (C6, modelos de diseño): "we have developed a digital-twin and genomic optimization framework for the optical design of vertical indoor farming pods"; la cadena sólo como motivación ("communities at the end of the traditional agriculture supply chain"). | Nota original (E2): Gemelo de diseño optico de granjas verticales con trazado de rayos y algoritmo genetico ("we have developed a digital-twin and genomic optimization framework for the optical design of vertical indoor farming pods"); la cadena sólo como motivacion ("communities at the end of the traditional agriculture supply chain"), sin encuadre.</t>
        </is>
      </c>
      <c r="N674" s="69" t="inlineStr">
        <is>
          <t>E1</t>
        </is>
      </c>
      <c r="O674" s="69" t="n">
        <v>13</v>
      </c>
      <c r="P674" s="69" t="inlineStr">
        <is>
          <t>Exclude</t>
        </is>
      </c>
      <c r="Q674" s="69" t="inlineStr">
        <is>
          <t>E2</t>
        </is>
      </c>
      <c r="R674" s="69" t="inlineStr">
        <is>
          <t>Gemelo de diseño optico de granjas verticales con trazado de rayos y algoritmo genetico ("we have developed a digital-twin and genomic optimization framework for the optical design of vertical indoor farming pods"); la cadena sólo como motivacion ("communities at the end of the traditional agriculture supply chain"), sin encuadre.</t>
        </is>
      </c>
      <c r="S674" s="69" t="n"/>
    </row>
    <row r="675" ht="23.25" customHeight="1" s="17">
      <c r="A675" s="26" t="inlineStr">
        <is>
          <t>R0674</t>
        </is>
      </c>
      <c r="B675" s="26" t="inlineStr">
        <is>
          <t>Scopus + WoS</t>
        </is>
      </c>
      <c r="C675" s="26" t="inlineStr">
        <is>
          <t>Ashraf M.; Eltawil A.; Ali I.</t>
        </is>
      </c>
      <c r="D675" s="26" t="n">
        <v>2024</v>
      </c>
      <c r="E675" s="27" t="inlineStr">
        <is>
          <t>Disruption detection for a cognitive digital supply chain twin using hybrid deep learning</t>
        </is>
      </c>
      <c r="F675" s="26" t="inlineStr">
        <is>
          <t>Operational Research</t>
        </is>
      </c>
      <c r="G675" s="26" t="inlineStr">
        <is>
          <t>Article</t>
        </is>
      </c>
      <c r="H675" s="26" t="inlineStr">
        <is>
          <t>10.1007/s12351-024-00831-y</t>
        </is>
      </c>
      <c r="I675" s="26" t="inlineStr">
        <is>
          <t>TA</t>
        </is>
      </c>
      <c r="J675" s="37" t="inlineStr">
        <is>
          <t>Include</t>
        </is>
      </c>
      <c r="K675" s="37" t="n"/>
      <c r="L675" s="33" t="inlineStr">
        <is>
          <t>Likely exclude: twin/model terms only in keywords, not in title or abstract</t>
        </is>
      </c>
      <c r="M675" s="37" t="inlineStr">
        <is>
          <t>Deteccion de disrupciones para un gemelo cognitivo de cadena con aprendizaje profundo hibrido: "This paper introduces a hybrid deep learning approach for disruption detection within a cognitive digital supply chain twin framework to enhance supply chain resilience", con autocodificador, SVM de una clase y LSTM para predecir "time-to-recovery". Los tres criterios explicitos.</t>
        </is>
      </c>
      <c r="N675" s="69" t="inlineStr">
        <is>
          <t>I</t>
        </is>
      </c>
      <c r="O675" s="69" t="n">
        <v>13</v>
      </c>
      <c r="P675" s="69" t="inlineStr">
        <is>
          <t>Include</t>
        </is>
      </c>
      <c r="Q675" s="69" t="inlineStr">
        <is>
          <t>I</t>
        </is>
      </c>
      <c r="R675" s="69" t="inlineStr">
        <is>
          <t>Deteccion de disrupciones para un gemelo cognitivo de cadena con aprendizaje profundo hibrido: "This paper introduces a hybrid deep learning approach for disruption detection within a cognitive digital supply chain twin framework to enhance supply chain resilience", con autocodificador, SVM de una clase y LSTM para predecir "time-to-recovery". Los tres criterios explicitos.</t>
        </is>
      </c>
      <c r="S675" s="69" t="n"/>
    </row>
    <row r="676" ht="23.25" customHeight="1" s="17">
      <c r="A676" s="26" t="inlineStr">
        <is>
          <t>R0675</t>
        </is>
      </c>
      <c r="B676" s="26" t="inlineStr">
        <is>
          <t>Scopus + WoS</t>
        </is>
      </c>
      <c r="C676" s="26" t="inlineStr">
        <is>
          <t>Venkatadri U.; Murrenhoff A.</t>
        </is>
      </c>
      <c r="D676" s="26" t="n">
        <v>2024</v>
      </c>
      <c r="E676" s="27" t="inlineStr">
        <is>
          <t>Towards a Framework for AI Applications in Intralogistics</t>
        </is>
      </c>
      <c r="F676" s="26" t="inlineStr">
        <is>
          <t>IFAC-PapersOnLine</t>
        </is>
      </c>
      <c r="G676" s="26" t="inlineStr">
        <is>
          <t>Conference paper</t>
        </is>
      </c>
      <c r="H676" s="26" t="inlineStr">
        <is>
          <t>10.1016/j.ifacol.2024.09.084</t>
        </is>
      </c>
      <c r="I676" s="26" t="inlineStr">
        <is>
          <t>TA</t>
        </is>
      </c>
      <c r="J676" s="37" t="inlineStr">
        <is>
          <t>Exclude</t>
        </is>
      </c>
      <c r="K676" s="37" t="inlineStr">
        <is>
          <t>Wrong publication type</t>
        </is>
      </c>
      <c r="L676" s="33" t="inlineStr">
        <is>
          <t>Likely exclude: twin/model terms only in keywords, not in title or abstract</t>
        </is>
      </c>
      <c r="M676" s="37" t="inlineStr">
        <is>
          <t>Marco derivado de literatura para IA en intralogistica ("This paper aims to fill that gap by providing context, reviewing recent publications, and identifying key elements for framework development"), con "human interaction, intelligent agents, and devices"; gemelo sólo como palabra clave (C3, como R0190). Valor para snowballing: medio.</t>
        </is>
      </c>
      <c r="N676" s="69" t="inlineStr">
        <is>
          <t>E4</t>
        </is>
      </c>
      <c r="O676" s="69" t="n">
        <v>13</v>
      </c>
      <c r="P676" s="69" t="inlineStr">
        <is>
          <t>Exclude</t>
        </is>
      </c>
      <c r="Q676" s="69" t="inlineStr">
        <is>
          <t>E4</t>
        </is>
      </c>
      <c r="R676" s="69" t="inlineStr">
        <is>
          <t>Marco derivado de literatura para IA en intralogistica ("This paper aims to fill that gap by providing context, reviewing recent publications, and identifying key elements for framework development"), con "human interaction, intelligent agents, and devices"; gemelo sólo como palabra clave (C3, como R0190). Valor para snowballing: medio.</t>
        </is>
      </c>
      <c r="S676" s="69" t="n"/>
    </row>
    <row r="677" ht="23.25" customHeight="1" s="17">
      <c r="A677" s="26" t="inlineStr">
        <is>
          <t>R0676</t>
        </is>
      </c>
      <c r="B677" s="26" t="inlineStr">
        <is>
          <t>Scopus + WoS</t>
        </is>
      </c>
      <c r="C677" s="26" t="inlineStr">
        <is>
          <t>Higashiura K.; Yokoyama K.; Asai Y.; Shimosato H.; Kano K.; Katayama S.; Urano K.; Yonezawa T.; Kawaguchi N.</t>
        </is>
      </c>
      <c r="D677" s="26" t="n">
        <v>2024</v>
      </c>
      <c r="E677" s="27" t="inlineStr">
        <is>
          <t>Semi-Automated Framework for Digitalizing Multi-Product Warehouses with Large Scale Camera Arrays</t>
        </is>
      </c>
      <c r="F677" s="26" t="inlineStr">
        <is>
          <t>2024 IEEE International Conference on Pervasive Computing and Communications, PerCom 2024</t>
        </is>
      </c>
      <c r="G677" s="26" t="inlineStr">
        <is>
          <t>Conference paper</t>
        </is>
      </c>
      <c r="H677" s="26" t="inlineStr">
        <is>
          <t>10.1109/percom59722.2024.10494498</t>
        </is>
      </c>
      <c r="I677" s="26" t="inlineStr">
        <is>
          <t>TA</t>
        </is>
      </c>
      <c r="J677" s="37" t="inlineStr">
        <is>
          <t>Exclude</t>
        </is>
      </c>
      <c r="K677" s="37" t="inlineStr">
        <is>
          <t>No digital twin/model</t>
        </is>
      </c>
      <c r="L677" s="33" t="inlineStr">
        <is>
          <t>Likely exclude: twin/model terms only in keywords, not in title or abstract</t>
        </is>
      </c>
      <c r="M677" s="37" t="inlineStr">
        <is>
          <t>Marco semiautomatico de digitalizacion de almacenes con flujo optico denso y aprendizaje de representaciones ("This framework employs dense optical flow and representation learning to autonomously segment warehouse objects"); el gemelo sólo como palabra clave de autor, sin aparecer en titulo ni resumen, C1. Companero de R0551 (mismo almacen y grupo). | Auditoría final 2026-09-06: Trabajo relacionado: R0551 (mismo proyecto de almacén TRUSCO NAKAYAMA) está incluido.</t>
        </is>
      </c>
      <c r="N677" s="69" t="inlineStr">
        <is>
          <t>E1</t>
        </is>
      </c>
      <c r="O677" s="69" t="n">
        <v>13</v>
      </c>
      <c r="P677" s="69" t="inlineStr">
        <is>
          <t>Exclude</t>
        </is>
      </c>
      <c r="Q677" s="69" t="inlineStr">
        <is>
          <t>E1</t>
        </is>
      </c>
      <c r="R677" s="69" t="inlineStr">
        <is>
          <t>Marco semiautomatico de digitalizacion de almacenes con flujo optico denso y aprendizaje de representaciones ("This framework employs dense optical flow and representation learning to autonomously segment warehouse objects"); el gemelo sólo como palabra clave de autor, sin aparecer en titulo ni resumen, C1. Companero de R0551 (mismo almacen y grupo).</t>
        </is>
      </c>
      <c r="S677" s="69" t="n"/>
    </row>
    <row r="678" ht="23.25" customHeight="1" s="17">
      <c r="A678" s="26" t="inlineStr">
        <is>
          <t>R0677</t>
        </is>
      </c>
      <c r="B678" s="26" t="inlineStr">
        <is>
          <t>Scopus</t>
        </is>
      </c>
      <c r="C678" s="26" t="inlineStr">
        <is>
          <t>Borgosz L.; Dikicioglu D.</t>
        </is>
      </c>
      <c r="D678" s="26" t="n">
        <v>2024</v>
      </c>
      <c r="E678" s="27" t="inlineStr">
        <is>
          <t>Industrial internet of things: What does it mean for the bioprocess industries?</t>
        </is>
      </c>
      <c r="F678" s="26" t="inlineStr">
        <is>
          <t>Biochemical Engineering Journal</t>
        </is>
      </c>
      <c r="G678" s="26" t="inlineStr">
        <is>
          <t>Review</t>
        </is>
      </c>
      <c r="H678" s="26" t="inlineStr">
        <is>
          <t>10.1016/j.bej.2023.109122</t>
        </is>
      </c>
      <c r="I678" s="26" t="inlineStr">
        <is>
          <t>TA</t>
        </is>
      </c>
      <c r="J678" s="37" t="inlineStr">
        <is>
          <t>Exclude</t>
        </is>
      </c>
      <c r="K678" s="37" t="inlineStr">
        <is>
          <t>Wrong publication type</t>
        </is>
      </c>
      <c r="L678" s="33" t="inlineStr">
        <is>
          <t>Likely exclude: twin/model terms only in keywords, not in title or abstract</t>
        </is>
      </c>
      <c r="M678" s="37" t="inlineStr">
        <is>
          <t>Revision (Doc type Review) del IIoT en bioprocesos ("provides real-time insight into the operations of any industrial process from product conceptualisation, process optimisation and manufacturing to the supply chain"); gemelo sólo como palabra clave de indice. Valor para snowballing: bajo.</t>
        </is>
      </c>
      <c r="N678" s="69" t="inlineStr">
        <is>
          <t>E4</t>
        </is>
      </c>
      <c r="O678" s="69" t="n">
        <v>13</v>
      </c>
      <c r="P678" s="69" t="inlineStr">
        <is>
          <t>Exclude</t>
        </is>
      </c>
      <c r="Q678" s="69" t="inlineStr">
        <is>
          <t>E4</t>
        </is>
      </c>
      <c r="R678" s="69" t="inlineStr">
        <is>
          <t>Revision (Doc type Review) del IIoT en bioprocesos ("provides real-time insight into the operations of any industrial process from product conceptualisation, process optimisation and manufacturing to the supply chain"); gemelo sólo como palabra clave de indice. Valor para snowballing: bajo.</t>
        </is>
      </c>
      <c r="S678" s="69" t="n"/>
    </row>
    <row r="679" ht="34.5" customHeight="1" s="17">
      <c r="A679" s="26" t="inlineStr">
        <is>
          <t>R0678</t>
        </is>
      </c>
      <c r="B679" s="26" t="inlineStr">
        <is>
          <t>Scopus</t>
        </is>
      </c>
      <c r="C679" s="26" t="inlineStr">
        <is>
          <t>Swapnil A.; Ge H.; Diagarajan M.S.; Happonen A.</t>
        </is>
      </c>
      <c r="D679" s="26" t="n">
        <v>2024</v>
      </c>
      <c r="E679" s="27" t="inlineStr">
        <is>
          <t>Modern State-of-the-Art Generative AI Uses and Practices for Product Innovation, Marketing Strategies, and Enhanced Customer Experience</t>
        </is>
      </c>
      <c r="F679" s="26" t="inlineStr">
        <is>
          <t>Proceedings - 2024 7th Asia Conference on Cognitive Engineering and Intelligent lnteraction, CEII 2024</t>
        </is>
      </c>
      <c r="G679" s="26" t="inlineStr">
        <is>
          <t>Conference paper</t>
        </is>
      </c>
      <c r="H679" s="26" t="inlineStr">
        <is>
          <t>10.1109/ceii65291.2024.00058</t>
        </is>
      </c>
      <c r="I679" s="26" t="inlineStr">
        <is>
          <t>TA</t>
        </is>
      </c>
      <c r="J679" s="37" t="inlineStr">
        <is>
          <t>Exclude</t>
        </is>
      </c>
      <c r="K679" s="37" t="inlineStr">
        <is>
          <t>Wrong publication type</t>
        </is>
      </c>
      <c r="L679" s="33" t="inlineStr">
        <is>
          <t>Likely exclude: twin/model terms only in keywords, not in title or abstract</t>
        </is>
      </c>
      <c r="M679" s="37" t="inlineStr">
        <is>
          <t>Panorama de usos de IA generativa ("We help build the current status quo overall picture of GAI utilization areas, from product design to marketing and user experience"); el gemelo sólo como agente de atencion ("digital (twin) customer service agents"), no modelo de operaciones (C6). Valor para snowballing: bajo.</t>
        </is>
      </c>
      <c r="N679" s="69" t="inlineStr">
        <is>
          <t>E4</t>
        </is>
      </c>
      <c r="O679" s="69" t="n">
        <v>13</v>
      </c>
      <c r="P679" s="69" t="inlineStr">
        <is>
          <t>Exclude</t>
        </is>
      </c>
      <c r="Q679" s="69" t="inlineStr">
        <is>
          <t>E4</t>
        </is>
      </c>
      <c r="R679" s="69" t="inlineStr">
        <is>
          <t>Panorama de usos de IA generativa ("We help build the current status quo overall picture of GAI utilization areas, from product design to marketing and user experience"); el gemelo sólo como agente de atencion ("digital (twin) customer service agents"), no modelo de operaciones (C6). Valor para snowballing: bajo.</t>
        </is>
      </c>
      <c r="S679" s="69" t="n"/>
    </row>
    <row r="680" ht="23.25" customHeight="1" s="17">
      <c r="A680" s="26" t="inlineStr">
        <is>
          <t>R0679</t>
        </is>
      </c>
      <c r="B680" s="26" t="inlineStr">
        <is>
          <t>WoS</t>
        </is>
      </c>
      <c r="C680" s="26" t="inlineStr">
        <is>
          <t>Daehn, G; Blue, C; Johnson-Bey, C; Lewandowski, JJ; Mahoney, T; Okwudire, C; Rossman, T; Schmitz, T; Silveston, R</t>
        </is>
      </c>
      <c r="D680" s="26" t="n">
        <v>2024</v>
      </c>
      <c r="E680" s="27" t="inlineStr">
        <is>
          <t>Emerging Opportunities in Distributed Manufacturing: Results and Analysis of an Expert Study</t>
        </is>
      </c>
      <c r="F680" s="26" t="inlineStr">
        <is>
          <t>INTEGRATING MATERIALS AND MANUFACTURING INNOVATION</t>
        </is>
      </c>
      <c r="G680" s="26" t="inlineStr">
        <is>
          <t>Review</t>
        </is>
      </c>
      <c r="H680" s="26" t="inlineStr">
        <is>
          <t>10.1007/s40192-024-00365-3</t>
        </is>
      </c>
      <c r="I680" s="26" t="inlineStr">
        <is>
          <t>TA</t>
        </is>
      </c>
      <c r="J680" s="37" t="inlineStr">
        <is>
          <t>Exclude</t>
        </is>
      </c>
      <c r="K680" s="37" t="inlineStr">
        <is>
          <t>Wrong publication type</t>
        </is>
      </c>
      <c r="L680" s="33" t="inlineStr">
        <is>
          <t>Likely exclude: twin/model terms only in keywords, not in title or abstract</t>
        </is>
      </c>
      <c r="M680" s="37" t="inlineStr">
        <is>
          <t>Sintesis de un taller de expertos sobre manufactura distribuida ("briefly summarizing discussions at the ERVA-sponsored workshop held in 2023"); gemelo sólo en Keywords Plus. Valor para snowballing: bajo.</t>
        </is>
      </c>
      <c r="N680" s="69" t="inlineStr">
        <is>
          <t>E4</t>
        </is>
      </c>
      <c r="O680" s="69" t="n">
        <v>13</v>
      </c>
      <c r="P680" s="69" t="inlineStr">
        <is>
          <t>Exclude</t>
        </is>
      </c>
      <c r="Q680" s="69" t="inlineStr">
        <is>
          <t>E4</t>
        </is>
      </c>
      <c r="R680" s="69" t="inlineStr">
        <is>
          <t>Sintesis de un taller de expertos sobre manufactura distribuida ("briefly summarizing discussions at the ERVA-sponsored workshop held in 2023"); gemelo sólo en Keywords Plus. Valor para snowballing: bajo.</t>
        </is>
      </c>
      <c r="S680" s="69" t="n"/>
    </row>
    <row r="681" ht="34.5" customHeight="1" s="17">
      <c r="A681" s="26" t="inlineStr">
        <is>
          <t>R0680</t>
        </is>
      </c>
      <c r="B681" s="26" t="inlineStr">
        <is>
          <t>WoS</t>
        </is>
      </c>
      <c r="C681" s="26" t="inlineStr">
        <is>
          <t>El Jaouhari, A; Arif, J; Samadhiya, A; Kumar, A; Jain, V; Agrawal, R</t>
        </is>
      </c>
      <c r="D681" s="26" t="n">
        <v>2024</v>
      </c>
      <c r="E681" s="27" t="inlineStr">
        <is>
          <t>Are metaverse applications in quality 4.0 enablers of manufacturing resiliency? An exploratory review under disruption impressions and future research</t>
        </is>
      </c>
      <c r="F681" s="26" t="inlineStr">
        <is>
          <t>TQM JOURNAL</t>
        </is>
      </c>
      <c r="G681" s="26" t="inlineStr">
        <is>
          <t>Review</t>
        </is>
      </c>
      <c r="H681" s="26" t="inlineStr">
        <is>
          <t>10.1108/tqm-06-2023-0181</t>
        </is>
      </c>
      <c r="I681" s="26" t="inlineStr">
        <is>
          <t>TA</t>
        </is>
      </c>
      <c r="J681" s="37" t="inlineStr">
        <is>
          <t>Exclude</t>
        </is>
      </c>
      <c r="K681" s="37" t="inlineStr">
        <is>
          <t>Wrong publication type</t>
        </is>
      </c>
      <c r="L681" s="33" t="inlineStr">
        <is>
          <t>Likely exclude: twin/model terms only in keywords, not in title or abstract</t>
        </is>
      </c>
      <c r="M681" s="37" t="inlineStr">
        <is>
          <t>Revision sistematica de metaverso y calidad 4.0 ("The paper is structured as a comprehensive systematic literature review (SLR)"); gemelo sólo en Keywords Plus. Valor para snowballing: bajo.</t>
        </is>
      </c>
      <c r="N681" s="69" t="inlineStr">
        <is>
          <t>E4</t>
        </is>
      </c>
      <c r="O681" s="69" t="n">
        <v>13</v>
      </c>
      <c r="P681" s="69" t="inlineStr">
        <is>
          <t>Exclude</t>
        </is>
      </c>
      <c r="Q681" s="69" t="inlineStr">
        <is>
          <t>E4</t>
        </is>
      </c>
      <c r="R681" s="69" t="inlineStr">
        <is>
          <t>Revision sistematica de metaverso y calidad 4.0 ("The paper is structured as a comprehensive systematic literature review (SLR)"); gemelo sólo en Keywords Plus. Valor para snowballing: bajo.</t>
        </is>
      </c>
      <c r="S681" s="69" t="n"/>
    </row>
    <row r="682" ht="23.25" customHeight="1" s="17">
      <c r="A682" s="26" t="inlineStr">
        <is>
          <t>R0681</t>
        </is>
      </c>
      <c r="B682" s="26" t="inlineStr">
        <is>
          <t>Scopus + WoS</t>
        </is>
      </c>
      <c r="C682" s="26" t="inlineStr">
        <is>
          <t>Ajakwe S.O.; Kim D.-S.; Lee J.-M.</t>
        </is>
      </c>
      <c r="D682" s="26" t="n">
        <v>2023</v>
      </c>
      <c r="E682" s="27" t="inlineStr">
        <is>
          <t>Drone Transportation System: Systematic Review of Security Dynamics for Smart Mobility</t>
        </is>
      </c>
      <c r="F682" s="26" t="inlineStr">
        <is>
          <t>IEEE Internet of Things Journal</t>
        </is>
      </c>
      <c r="G682" s="26" t="inlineStr">
        <is>
          <t>Article</t>
        </is>
      </c>
      <c r="H682" s="26" t="inlineStr">
        <is>
          <t>10.1109/jiot.2023.3266843</t>
        </is>
      </c>
      <c r="I682" s="26" t="inlineStr">
        <is>
          <t>TA</t>
        </is>
      </c>
      <c r="J682" s="37" t="inlineStr">
        <is>
          <t>Exclude</t>
        </is>
      </c>
      <c r="K682" s="37" t="inlineStr">
        <is>
          <t>Wrong publication type</t>
        </is>
      </c>
      <c r="L682" s="33" t="inlineStr">
        <is>
          <t>Likely exclude: twin/model terms only in keywords, not in title or abstract</t>
        </is>
      </c>
      <c r="M682" s="37" t="inlineStr">
        <is>
          <t>Revision sistematica PRISMA-SPIDER de seguridad en transporte con drones ("PRISMA-SPIDER methodology was adopted for the systematic review of 133 articles"); gemelo sólo como palabra clave. Valor para snowballing: bajo.</t>
        </is>
      </c>
      <c r="N682" s="69" t="inlineStr">
        <is>
          <t>E4</t>
        </is>
      </c>
      <c r="O682" s="69" t="n">
        <v>13</v>
      </c>
      <c r="P682" s="69" t="inlineStr">
        <is>
          <t>Exclude</t>
        </is>
      </c>
      <c r="Q682" s="69" t="inlineStr">
        <is>
          <t>E4</t>
        </is>
      </c>
      <c r="R682" s="69" t="inlineStr">
        <is>
          <t>Revision sistematica PRISMA-SPIDER de seguridad en transporte con drones ("PRISMA-SPIDER methodology was adopted for the systematic review of 133 articles"); gemelo sólo como palabra clave. Valor para snowballing: bajo.</t>
        </is>
      </c>
      <c r="S682" s="69" t="n"/>
    </row>
    <row r="683" ht="23.25" customHeight="1" s="17">
      <c r="A683" s="26" t="inlineStr">
        <is>
          <t>R0682</t>
        </is>
      </c>
      <c r="B683" s="26" t="inlineStr">
        <is>
          <t>Scopus</t>
        </is>
      </c>
      <c r="C683" s="26" t="inlineStr">
        <is>
          <t>Bonny N.; Lander R.</t>
        </is>
      </c>
      <c r="D683" s="26" t="n">
        <v>2023</v>
      </c>
      <c r="E683" s="27" t="inlineStr">
        <is>
          <t>Achieving rapid value and ROI from supply chain visibility while building long-term capabilities</t>
        </is>
      </c>
      <c r="F683" s="26" t="inlineStr">
        <is>
          <t>Journal of Supply Chain Management, Logistics and Procurement</t>
        </is>
      </c>
      <c r="G683" s="26" t="inlineStr">
        <is>
          <t>Article</t>
        </is>
      </c>
      <c r="H683" s="26" t="inlineStr">
        <is>
          <t>10.69554/vtuw3748</t>
        </is>
      </c>
      <c r="I683" s="26" t="inlineStr">
        <is>
          <t>TA</t>
        </is>
      </c>
      <c r="J683" s="37" t="inlineStr">
        <is>
          <t>Exclude</t>
        </is>
      </c>
      <c r="K683" s="37" t="inlineStr">
        <is>
          <t>No digital twin/model</t>
        </is>
      </c>
      <c r="L683" s="33" t="inlineStr">
        <is>
          <t>Likely exclude: twin/model terms only in keywords, not in title or abstract</t>
        </is>
      </c>
      <c r="M683" s="37" t="inlineStr">
        <is>
          <t>Articulo profesional sobre retorno de inversiones digitales en cadena ("only 20 per cent of digital supply chain investments return the expected result"); el gemelo sólo como palabra clave ("digital twin/simulations"), C1 y C4.</t>
        </is>
      </c>
      <c r="N683" s="69" t="inlineStr">
        <is>
          <t>E1</t>
        </is>
      </c>
      <c r="O683" s="69" t="n">
        <v>13</v>
      </c>
      <c r="P683" s="69" t="inlineStr">
        <is>
          <t>Exclude</t>
        </is>
      </c>
      <c r="Q683" s="69" t="inlineStr">
        <is>
          <t>E1</t>
        </is>
      </c>
      <c r="R683" s="69" t="inlineStr">
        <is>
          <t>Articulo profesional sobre retorno de inversiones digitales en cadena ("only 20 per cent of digital supply chain investments return the expected result"); el gemelo sólo como palabra clave ("digital twin/simulations"), C1 y C4.</t>
        </is>
      </c>
      <c r="S683" s="69" t="n"/>
    </row>
    <row r="684" ht="23.25" customHeight="1" s="17">
      <c r="A684" s="26" t="inlineStr">
        <is>
          <t>R0683</t>
        </is>
      </c>
      <c r="B684" s="26" t="inlineStr">
        <is>
          <t>Scopus + WoS</t>
        </is>
      </c>
      <c r="C684" s="26" t="inlineStr">
        <is>
          <t>Takakura Y.; Mori J.; Kobayashi H.</t>
        </is>
      </c>
      <c r="D684" s="26" t="n">
        <v>2023</v>
      </c>
      <c r="E684" s="27" t="inlineStr">
        <is>
          <t>A Log-Likelihood-Based Evaluation Metric for the Reproducibility and Simplicity of Logistics Graphs</t>
        </is>
      </c>
      <c r="F684" s="26" t="inlineStr">
        <is>
          <t>IFAC-PapersOnLine</t>
        </is>
      </c>
      <c r="G684" s="26" t="inlineStr">
        <is>
          <t>Conference paper</t>
        </is>
      </c>
      <c r="H684" s="26" t="inlineStr">
        <is>
          <t>10.1016/j.ifacol.2023.10.731</t>
        </is>
      </c>
      <c r="I684" s="26" t="inlineStr">
        <is>
          <t>TA</t>
        </is>
      </c>
      <c r="J684" s="37" t="inlineStr">
        <is>
          <t>Exclude</t>
        </is>
      </c>
      <c r="K684" s="37" t="inlineStr">
        <is>
          <t>No digital twin/model</t>
        </is>
      </c>
      <c r="L684" s="33" t="inlineStr">
        <is>
          <t>Likely exclude: twin/model terms only in keywords, not in title or abstract</t>
        </is>
      </c>
      <c r="M684" s="37" t="inlineStr">
        <is>
          <t>Metrica de verosimilitud para grafos de flujo de procesos logisticos en siderurgia ("we propose a maximum log-likelihood-based metric for measuring the reproducibility of graphs"); el gemelo sólo como palabra clave, C1.</t>
        </is>
      </c>
      <c r="N684" s="69" t="inlineStr">
        <is>
          <t>E1</t>
        </is>
      </c>
      <c r="O684" s="69" t="n">
        <v>13</v>
      </c>
      <c r="P684" s="69" t="inlineStr">
        <is>
          <t>Exclude</t>
        </is>
      </c>
      <c r="Q684" s="69" t="inlineStr">
        <is>
          <t>E1</t>
        </is>
      </c>
      <c r="R684" s="69" t="inlineStr">
        <is>
          <t>Metrica de verosimilitud para grafos de flujo de procesos logisticos en siderurgia ("we propose a maximum log-likelihood-based metric for measuring the reproducibility of graphs"); el gemelo sólo como palabra clave, C1.</t>
        </is>
      </c>
      <c r="S684" s="69" t="n"/>
    </row>
    <row r="685" ht="23.25" customHeight="1" s="17">
      <c r="A685" s="26" t="inlineStr">
        <is>
          <t>R0684</t>
        </is>
      </c>
      <c r="B685" s="26" t="inlineStr">
        <is>
          <t>Scopus</t>
        </is>
      </c>
      <c r="C685" s="26" t="inlineStr">
        <is>
          <t>Shadravan A.; Parsaei H.R.</t>
        </is>
      </c>
      <c r="D685" s="26" t="n">
        <v>2023</v>
      </c>
      <c r="E685" s="27" t="inlineStr">
        <is>
          <t>The paradigm shift from industry 4.0 implementation to industry 5.0 readiness</t>
        </is>
      </c>
      <c r="F685" s="26" t="inlineStr">
        <is>
          <t>Applied Human Factors and Ergonomics International</t>
        </is>
      </c>
      <c r="G685" s="26" t="inlineStr">
        <is>
          <t>Article</t>
        </is>
      </c>
      <c r="H685" s="26" t="inlineStr">
        <is>
          <t>10.54941/ahfe1004296</t>
        </is>
      </c>
      <c r="I685" s="26" t="inlineStr">
        <is>
          <t>TA</t>
        </is>
      </c>
      <c r="J685" s="37" t="inlineStr">
        <is>
          <t>Exclude</t>
        </is>
      </c>
      <c r="K685" s="37" t="inlineStr">
        <is>
          <t>Wrong publication type</t>
        </is>
      </c>
      <c r="L685" s="33" t="inlineStr">
        <is>
          <t>Likely exclude: twin/model terms only in keywords, not in title or abstract</t>
        </is>
      </c>
      <c r="M685" s="37" t="inlineStr">
        <is>
          <t>Analisis basado en literatura de Industria 4.0 y 5.0 ("It subsequently conducts a literature-based analysis"); gemelo sólo como palabra clave. Valor para snowballing: bajo.</t>
        </is>
      </c>
      <c r="N685" s="69" t="inlineStr">
        <is>
          <t>E4</t>
        </is>
      </c>
      <c r="O685" s="69" t="n">
        <v>13</v>
      </c>
      <c r="P685" s="69" t="inlineStr">
        <is>
          <t>Exclude</t>
        </is>
      </c>
      <c r="Q685" s="69" t="inlineStr">
        <is>
          <t>E4</t>
        </is>
      </c>
      <c r="R685" s="69" t="inlineStr">
        <is>
          <t>Analisis basado en literatura de Industria 4.0 y 5.0 ("It subsequently conducts a literature-based analysis"); gemelo sólo como palabra clave. Valor para snowballing: bajo.</t>
        </is>
      </c>
      <c r="S685" s="69" t="n"/>
    </row>
    <row r="686" ht="23.25" customHeight="1" s="17">
      <c r="A686" s="26" t="inlineStr">
        <is>
          <t>R0685</t>
        </is>
      </c>
      <c r="B686" s="26" t="inlineStr">
        <is>
          <t>Scopus</t>
        </is>
      </c>
      <c r="C686" s="26" t="inlineStr">
        <is>
          <t>Stiefel J.; Zimmer J.; Schloßhauer J.L.; Vosen A.; Kilz S.; Balakin S.</t>
        </is>
      </c>
      <c r="D686" s="26" t="n">
        <v>2023</v>
      </c>
      <c r="E686" s="27" t="inlineStr">
        <is>
          <t>Just Keep Rolling?—An Encompassing Review towards Accelerated Vaccine Product Life Cycles</t>
        </is>
      </c>
      <c r="F686" s="26" t="inlineStr">
        <is>
          <t>Vaccines</t>
        </is>
      </c>
      <c r="G686" s="26" t="inlineStr">
        <is>
          <t>Review</t>
        </is>
      </c>
      <c r="H686" s="26" t="inlineStr">
        <is>
          <t>10.3390/vaccines11081287</t>
        </is>
      </c>
      <c r="I686" s="26" t="inlineStr">
        <is>
          <t>TA</t>
        </is>
      </c>
      <c r="J686" s="37" t="inlineStr">
        <is>
          <t>Exclude</t>
        </is>
      </c>
      <c r="K686" s="37" t="inlineStr">
        <is>
          <t>Wrong publication type</t>
        </is>
      </c>
      <c r="L686" s="33" t="inlineStr">
        <is>
          <t>Likely exclude: 'digital model' hit is a business-model paper, no digital twin</t>
        </is>
      </c>
      <c r="M686" s="37" t="inlineStr">
        <is>
          <t>Revision (Doc type Review) sobre ciclos de vida de vacunas ("This review aims to emphasize recent approaches for the targeted rapid adaptation and production of vaccines"); gemelo sólo como palabra clave. Valor para snowballing: bajo.</t>
        </is>
      </c>
      <c r="N686" s="69" t="inlineStr">
        <is>
          <t>E4</t>
        </is>
      </c>
      <c r="O686" s="69" t="n">
        <v>13</v>
      </c>
      <c r="P686" s="69" t="inlineStr">
        <is>
          <t>Exclude</t>
        </is>
      </c>
      <c r="Q686" s="69" t="inlineStr">
        <is>
          <t>E4</t>
        </is>
      </c>
      <c r="R686" s="69" t="inlineStr">
        <is>
          <t>Revision (Doc type Review) sobre ciclos de vida de vacunas ("This review aims to emphasize recent approaches for the targeted rapid adaptation and production of vaccines"); gemelo sólo como palabra clave. Valor para snowballing: bajo.</t>
        </is>
      </c>
      <c r="S686" s="69" t="n"/>
    </row>
    <row r="687" ht="23.25" customHeight="1" s="17">
      <c r="A687" s="26" t="inlineStr">
        <is>
          <t>R0686</t>
        </is>
      </c>
      <c r="B687" s="26" t="inlineStr">
        <is>
          <t>Scopus + WoS</t>
        </is>
      </c>
      <c r="C687" s="26" t="inlineStr">
        <is>
          <t>Zdolsek Draksler T.; Cimperman M.; Obrecht M.</t>
        </is>
      </c>
      <c r="D687" s="26" t="n">
        <v>2023</v>
      </c>
      <c r="E687" s="27" t="inlineStr">
        <is>
          <t>Data-Driven Supply Chain Operations—The Pilot Case of Postal Logistics and the Cross-Border Optimization Potential</t>
        </is>
      </c>
      <c r="F687" s="26" t="inlineStr">
        <is>
          <t>Sensors</t>
        </is>
      </c>
      <c r="G687" s="26" t="inlineStr">
        <is>
          <t>Article</t>
        </is>
      </c>
      <c r="H687" s="26" t="inlineStr">
        <is>
          <t>10.3390/s23031624</t>
        </is>
      </c>
      <c r="I687" s="26" t="inlineStr">
        <is>
          <t>TA</t>
        </is>
      </c>
      <c r="J687" s="37" t="inlineStr">
        <is>
          <t>Exclude</t>
        </is>
      </c>
      <c r="K687" s="37" t="inlineStr">
        <is>
          <t>No AI/ML component</t>
        </is>
      </c>
      <c r="L687" s="33" t="inlineStr">
        <is>
          <t>Likely exclude: twin/model terms only in keywords, not in title or abstract</t>
        </is>
      </c>
      <c r="M687" s="37" t="inlineStr">
        <is>
          <t>Piloto de logistica postal transfronteriza con representacion digital y simulacion en tiempo real ("The specifics were investigated with events processing based on digital representation"; "a novel approach of real-time simulation based on the integration of the Cognitive Advisor in postal delivery"); el Cognitive Advisor se describe sólo como "sophisticated data analytics for process optimization", sin funcion predictiva ni de aprendizaje declarada, y el ML es sólo palabra clave (C8: a diferencia de R0621, no se enuncia pronostico). Antecedente C8: alto (piloto real de ultima milla).</t>
        </is>
      </c>
      <c r="N687" s="69" t="inlineStr">
        <is>
          <t>E3</t>
        </is>
      </c>
      <c r="O687" s="69" t="n">
        <v>13</v>
      </c>
      <c r="P687" s="69" t="inlineStr">
        <is>
          <t>Exclude</t>
        </is>
      </c>
      <c r="Q687" s="69" t="inlineStr">
        <is>
          <t>E3</t>
        </is>
      </c>
      <c r="R687" s="69" t="inlineStr">
        <is>
          <t>Piloto de logistica postal transfronteriza con representacion digital y simulacion en tiempo real ("The specifics were investigated with events processing based on digital representation"; "a novel approach of real-time simulation based on the integration of the Cognitive Advisor in postal delivery"); el Cognitive Advisor se describe sólo como "sophisticated data analytics for process optimization", sin funcion predictiva ni de aprendizaje declarada, y el ML es sólo palabra clave (C8: a diferencia de R0621, no se enuncia pronostico). Antecedente C8: alto (piloto real de ultima milla).</t>
        </is>
      </c>
      <c r="S687" s="69" t="n"/>
    </row>
    <row r="688" ht="23.25" customHeight="1" s="17">
      <c r="A688" s="26" t="inlineStr">
        <is>
          <t>R0687</t>
        </is>
      </c>
      <c r="B688" s="26" t="inlineStr">
        <is>
          <t>Scopus</t>
        </is>
      </c>
      <c r="C688" s="26" t="inlineStr">
        <is>
          <t>Babiceanu R.F.</t>
        </is>
      </c>
      <c r="D688" s="26" t="n">
        <v>2023</v>
      </c>
      <c r="E688" s="27" t="inlineStr">
        <is>
          <t>Predictive Logistics Models for Autonomous Vehicles Deployment in Adversarial Environments</t>
        </is>
      </c>
      <c r="F688" s="26" t="inlineStr">
        <is>
          <t>Proceedings - 2023 IEEE Conference on Artificial Intelligence, CAI 2023</t>
        </is>
      </c>
      <c r="G688" s="26" t="inlineStr">
        <is>
          <t>Conference paper</t>
        </is>
      </c>
      <c r="H688" s="26" t="inlineStr">
        <is>
          <t>10.1109/cai54212.2023.00047</t>
        </is>
      </c>
      <c r="I688" s="26" t="inlineStr">
        <is>
          <t>TA</t>
        </is>
      </c>
      <c r="J688" s="37" t="inlineStr">
        <is>
          <t>Exclude</t>
        </is>
      </c>
      <c r="K688" s="37" t="inlineStr">
        <is>
          <t>No digital twin/model</t>
        </is>
      </c>
      <c r="L688" s="33" t="inlineStr">
        <is>
          <t>Likely exclude: twin/model terms only in keywords, not in title or abstract</t>
        </is>
      </c>
      <c r="M688" s="37" t="inlineStr">
        <is>
          <t>Modelos de logistica predictiva para vehiculos autonomos en entornos adversos con "Artificial Intelligence/Machine Learning (AI/ML) predictive analytics"; el gemelo sólo como palabra clave de autor, sin aparecer en el resumen, C1.</t>
        </is>
      </c>
      <c r="N688" s="69" t="inlineStr">
        <is>
          <t>E1</t>
        </is>
      </c>
      <c r="O688" s="69" t="n">
        <v>13</v>
      </c>
      <c r="P688" s="69" t="inlineStr">
        <is>
          <t>Exclude</t>
        </is>
      </c>
      <c r="Q688" s="69" t="inlineStr">
        <is>
          <t>E1</t>
        </is>
      </c>
      <c r="R688" s="69" t="inlineStr">
        <is>
          <t>Modelos de logistica predictiva para vehiculos autonomos en entornos adversos con "Artificial Intelligence/Machine Learning (AI/ML) predictive analytics"; el gemelo sólo como palabra clave de autor, sin aparecer en el resumen, C1.</t>
        </is>
      </c>
      <c r="S688" s="69" t="n"/>
    </row>
    <row r="689" ht="23.25" customHeight="1" s="17">
      <c r="A689" s="26" t="inlineStr">
        <is>
          <t>R0688</t>
        </is>
      </c>
      <c r="B689" s="26" t="inlineStr">
        <is>
          <t>Scopus</t>
        </is>
      </c>
      <c r="C689" s="26" t="inlineStr">
        <is>
          <t>Chisholm O.; Critchley H.</t>
        </is>
      </c>
      <c r="D689" s="26" t="n">
        <v>2023</v>
      </c>
      <c r="E689" s="27" t="inlineStr">
        <is>
          <t>Future directions in regulatory affairs</t>
        </is>
      </c>
      <c r="F689" s="26" t="inlineStr">
        <is>
          <t>Frontiers in Medicine</t>
        </is>
      </c>
      <c r="G689" s="26" t="inlineStr">
        <is>
          <t>Review</t>
        </is>
      </c>
      <c r="H689" s="26" t="inlineStr">
        <is>
          <t>10.3389/fmed.2022.1082384</t>
        </is>
      </c>
      <c r="I689" s="26" t="inlineStr">
        <is>
          <t>TA</t>
        </is>
      </c>
      <c r="J689" s="37" t="inlineStr">
        <is>
          <t>Exclude</t>
        </is>
      </c>
      <c r="K689" s="37" t="inlineStr">
        <is>
          <t>Wrong publication type</t>
        </is>
      </c>
      <c r="L689" s="33" t="inlineStr">
        <is>
          <t>Likely exclude: twin/model terms only in keywords, not in title or abstract</t>
        </is>
      </c>
      <c r="M689" s="37" t="inlineStr">
        <is>
          <t>Revision (Doc type Review) de tendencias en asuntos regulatorios ("This article will discuss the various trends that are impacting the development of new therapies"); gemelo sólo como palabra clave de indice. Valor para snowballing: bajo.</t>
        </is>
      </c>
      <c r="N689" s="69" t="inlineStr">
        <is>
          <t>E4</t>
        </is>
      </c>
      <c r="O689" s="69" t="n">
        <v>13</v>
      </c>
      <c r="P689" s="69" t="inlineStr">
        <is>
          <t>Exclude</t>
        </is>
      </c>
      <c r="Q689" s="69" t="inlineStr">
        <is>
          <t>E4</t>
        </is>
      </c>
      <c r="R689" s="69" t="inlineStr">
        <is>
          <t>Revision (Doc type Review) de tendencias en asuntos regulatorios ("This article will discuss the various trends that are impacting the development of new therapies"); gemelo sólo como palabra clave de indice. Valor para snowballing: bajo.</t>
        </is>
      </c>
      <c r="S689" s="69" t="n"/>
    </row>
    <row r="690" ht="23.25" customHeight="1" s="17">
      <c r="A690" s="26" t="inlineStr">
        <is>
          <t>R0689</t>
        </is>
      </c>
      <c r="B690" s="26" t="inlineStr">
        <is>
          <t>Scopus + WoS</t>
        </is>
      </c>
      <c r="C690" s="26" t="inlineStr">
        <is>
          <t>Golovianko M.; Gryshko S.; Terziyan V.; Tuunanen T.</t>
        </is>
      </c>
      <c r="D690" s="26" t="n">
        <v>2023</v>
      </c>
      <c r="E690" s="27" t="inlineStr">
        <is>
          <t>Responsible cognitive digital clones as decision-makers:a design science research study</t>
        </is>
      </c>
      <c r="F690" s="26" t="inlineStr">
        <is>
          <t>European Journal of Information Systems</t>
        </is>
      </c>
      <c r="G690" s="26" t="inlineStr">
        <is>
          <t>Article</t>
        </is>
      </c>
      <c r="H690" s="26" t="inlineStr">
        <is>
          <t>10.1080/0960085x.2022.2073278</t>
        </is>
      </c>
      <c r="I690" s="26" t="inlineStr">
        <is>
          <t>TA</t>
        </is>
      </c>
      <c r="J690" s="37" t="inlineStr">
        <is>
          <t>Exclude</t>
        </is>
      </c>
      <c r="K690" s="37" t="inlineStr">
        <is>
          <t>No digital twin/model</t>
        </is>
      </c>
      <c r="L690" s="33" t="inlineStr">
        <is>
          <t>Likely exclude: twin/model terms only in keywords, not in title or abstract</t>
        </is>
      </c>
      <c r="M690" s="37" t="inlineStr">
        <is>
          <t>Clon cognitivo de un decisor humano entrenado con redes generativas ("a responsible, resilient, ubiquitous cognitive clone-or a digital copy-and an autonomous representative of a human decision-maker"); copia de una persona, no modelo de operaciones (C6), con la logistica militar sólo como laboratorio de evaluacion. Nota: pertinente a HITL como contexto.</t>
        </is>
      </c>
      <c r="N690" s="69" t="inlineStr">
        <is>
          <t>E1</t>
        </is>
      </c>
      <c r="O690" s="69" t="n">
        <v>13</v>
      </c>
      <c r="P690" s="69" t="inlineStr">
        <is>
          <t>Exclude</t>
        </is>
      </c>
      <c r="Q690" s="69" t="inlineStr">
        <is>
          <t>E1</t>
        </is>
      </c>
      <c r="R690" s="69" t="inlineStr">
        <is>
          <t>Clon cognitivo de un decisor humano entrenado con redes generativas ("a responsible, resilient, ubiquitous cognitive clone-or a digital copy-and an autonomous representative of a human decision-maker"); copia de una persona, no modelo de operaciones (C6), con la logistica militar sólo como laboratorio de evaluacion. Nota: pertinente a HITL como contexto.</t>
        </is>
      </c>
      <c r="S690" s="69" t="n"/>
    </row>
    <row r="691" ht="23.25" customHeight="1" s="17">
      <c r="A691" s="26" t="inlineStr">
        <is>
          <t>R0690</t>
        </is>
      </c>
      <c r="B691" s="26" t="inlineStr">
        <is>
          <t>Scopus</t>
        </is>
      </c>
      <c r="C691" s="26" t="inlineStr">
        <is>
          <t>Trappey A.J.C.; Chien C.-H.</t>
        </is>
      </c>
      <c r="D691" s="26" t="n">
        <v>2023</v>
      </c>
      <c r="E691" s="27" t="inlineStr">
        <is>
          <t>Intelligent Product Quality Prediction for Highly Customized Complex Production Adopting Ensemble Learning Model</t>
        </is>
      </c>
      <c r="F691" s="26" t="inlineStr">
        <is>
          <t>Conference Proceedings - IEEE International Conference on Systems, Man and Cybernetics</t>
        </is>
      </c>
      <c r="G691" s="26" t="inlineStr">
        <is>
          <t>Conference paper</t>
        </is>
      </c>
      <c r="H691" s="26" t="inlineStr">
        <is>
          <t>10.1109/smc53992.2023.10394096</t>
        </is>
      </c>
      <c r="I691" s="26" t="inlineStr">
        <is>
          <t>TA</t>
        </is>
      </c>
      <c r="J691" s="37" t="inlineStr">
        <is>
          <t>Exclude</t>
        </is>
      </c>
      <c r="K691" s="37" t="inlineStr">
        <is>
          <t>No digital twin/model</t>
        </is>
      </c>
      <c r="L691" s="33" t="inlineStr">
        <is>
          <t>Likely exclude: twin/model terms only in keywords, not in title or abstract</t>
        </is>
      </c>
      <c r="M691" s="37" t="inlineStr">
        <is>
          <t>Prediccion de calidad de transformadores con AdaBoost-Regression usando datos de la cadena ("using limited supply-chain data through digital transformation"); el gemelo sólo como palabra clave de autor, sin aparecer en el resumen, C1.</t>
        </is>
      </c>
      <c r="N691" s="69" t="inlineStr">
        <is>
          <t>E1</t>
        </is>
      </c>
      <c r="O691" s="69" t="n">
        <v>13</v>
      </c>
      <c r="P691" s="69" t="inlineStr">
        <is>
          <t>Exclude</t>
        </is>
      </c>
      <c r="Q691" s="69" t="inlineStr">
        <is>
          <t>E1</t>
        </is>
      </c>
      <c r="R691" s="69" t="inlineStr">
        <is>
          <t>Prediccion de calidad de transformadores con AdaBoost-Regression usando datos de la cadena ("using limited supply-chain data through digital transformation"); el gemelo sólo como palabra clave de autor, sin aparecer en el resumen, C1.</t>
        </is>
      </c>
      <c r="S691" s="69" t="n"/>
    </row>
    <row r="692" ht="34.5" customHeight="1" s="17">
      <c r="A692" s="26" t="inlineStr">
        <is>
          <t>R0691</t>
        </is>
      </c>
      <c r="B692" s="26" t="inlineStr">
        <is>
          <t>WoS</t>
        </is>
      </c>
      <c r="C692" s="26" t="inlineStr">
        <is>
          <t>Zhong, XL; Zhang, M; Tang, TT; Adhikari, B; Ma, YM</t>
        </is>
      </c>
      <c r="D692" s="26" t="n">
        <v>2023</v>
      </c>
      <c r="E692" s="27" t="inlineStr">
        <is>
          <t>Advances in intelligent detection, monitoring, and control for preserving the quality of fresh fruits and vegetables in the supply chain</t>
        </is>
      </c>
      <c r="F692" s="26" t="inlineStr">
        <is>
          <t>FOOD BIOSCIENCE</t>
        </is>
      </c>
      <c r="G692" s="26" t="inlineStr">
        <is>
          <t>Article</t>
        </is>
      </c>
      <c r="H692" s="26" t="inlineStr">
        <is>
          <t>10.1016/j.fbio.2023.103350</t>
        </is>
      </c>
      <c r="I692" s="26" t="inlineStr">
        <is>
          <t>TA</t>
        </is>
      </c>
      <c r="J692" s="37" t="inlineStr">
        <is>
          <t>Exclude</t>
        </is>
      </c>
      <c r="K692" s="37" t="inlineStr">
        <is>
          <t>Wrong publication type</t>
        </is>
      </c>
      <c r="L692" s="33" t="inlineStr">
        <is>
          <t>Likely exclude: twin/model terms only in keywords, not in title or abstract</t>
        </is>
      </c>
      <c r="M692" s="37" t="inlineStr">
        <is>
          <t>Revision de deteccion y control inteligente en la cadena de frutas y verduras ("In this review, we sorted out and compiled data-driven networks and technical equipment reports"); gemelos sólo en Keywords Plus. Valor para snowballing: bajo.</t>
        </is>
      </c>
      <c r="N692" s="69" t="inlineStr">
        <is>
          <t>E4</t>
        </is>
      </c>
      <c r="O692" s="69" t="n">
        <v>13</v>
      </c>
      <c r="P692" s="69" t="inlineStr">
        <is>
          <t>Exclude</t>
        </is>
      </c>
      <c r="Q692" s="69" t="inlineStr">
        <is>
          <t>E4</t>
        </is>
      </c>
      <c r="R692" s="69" t="inlineStr">
        <is>
          <t>Revision de deteccion y control inteligente en la cadena de frutas y verduras ("In this review, we sorted out and compiled data-driven networks and technical equipment reports"); gemelos sólo en Keywords Plus. Valor para snowballing: bajo.</t>
        </is>
      </c>
      <c r="S692" s="69" t="n"/>
    </row>
    <row r="693" ht="23.25" customHeight="1" s="17">
      <c r="A693" s="26" t="inlineStr">
        <is>
          <t>R0692</t>
        </is>
      </c>
      <c r="B693" s="26" t="inlineStr">
        <is>
          <t>WoS</t>
        </is>
      </c>
      <c r="C693" s="26" t="inlineStr">
        <is>
          <t>Chae, J; Lee, S; Jang, J; Hong, S; Park, KJ</t>
        </is>
      </c>
      <c r="D693" s="26" t="n">
        <v>2023</v>
      </c>
      <c r="E693" s="27" t="inlineStr">
        <is>
          <t>A Survey and Perspective on Industrial Cyber-Physical Systems (ICPS): From ICPS to AI-Augmented ICPS</t>
        </is>
      </c>
      <c r="F693" s="26" t="inlineStr">
        <is>
          <t>IEEE TRANSACTIONS ON INDUSTRIAL CYBER-PHYSICAL SYSTEMS</t>
        </is>
      </c>
      <c r="G693" s="26" t="inlineStr">
        <is>
          <t>Article</t>
        </is>
      </c>
      <c r="H693" s="26" t="inlineStr">
        <is>
          <t>10.1109/ticps.2023.3323600</t>
        </is>
      </c>
      <c r="I693" s="26" t="inlineStr">
        <is>
          <t>TA</t>
        </is>
      </c>
      <c r="J693" s="37" t="inlineStr">
        <is>
          <t>Exclude</t>
        </is>
      </c>
      <c r="K693" s="37" t="inlineStr">
        <is>
          <t>Wrong publication type</t>
        </is>
      </c>
      <c r="L693" s="33" t="inlineStr">
        <is>
          <t>Likely exclude: twin/model terms only in keywords, not in title or abstract</t>
        </is>
      </c>
      <c r="M693" s="37" t="inlineStr">
        <is>
          <t>Encuesta y perspectiva de sistemas ciberfisicos industriales aumentados con IA ("The study conducts a survey, focusing on the components and interactions of AICPS"); gemelo sólo en Keywords Plus. Valor para snowballing: bajo.</t>
        </is>
      </c>
      <c r="N693" s="69" t="inlineStr">
        <is>
          <t>E4</t>
        </is>
      </c>
      <c r="O693" s="69" t="n">
        <v>13</v>
      </c>
      <c r="P693" s="69" t="inlineStr">
        <is>
          <t>Exclude</t>
        </is>
      </c>
      <c r="Q693" s="69" t="inlineStr">
        <is>
          <t>E4</t>
        </is>
      </c>
      <c r="R693" s="69" t="inlineStr">
        <is>
          <t>Encuesta y perspectiva de sistemas ciberfisicos industriales aumentados con IA ("The study conducts a survey, focusing on the components and interactions of AICPS"); gemelo sólo en Keywords Plus. Valor para snowballing: bajo.</t>
        </is>
      </c>
      <c r="S693" s="69" t="n"/>
    </row>
    <row r="694" ht="23.25" customHeight="1" s="17">
      <c r="A694" s="26" t="inlineStr">
        <is>
          <t>R0693</t>
        </is>
      </c>
      <c r="B694" s="26" t="inlineStr">
        <is>
          <t>WoS</t>
        </is>
      </c>
      <c r="C694" s="26" t="inlineStr">
        <is>
          <t>Mo, F; Monetti, FM; Torayev, A; Rehman, HU; Alberola, JM; Minango, NR; Nguyen, HN; Maffei, A; Chaplin, JC</t>
        </is>
      </c>
      <c r="D694" s="26" t="n">
        <v>2023</v>
      </c>
      <c r="E694" s="27" t="inlineStr">
        <is>
          <t>A maturity model for the autonomy of manufacturing systems</t>
        </is>
      </c>
      <c r="F694" s="26" t="inlineStr">
        <is>
          <t>INTERNATIONAL JOURNAL OF ADVANCED MANUFACTURING TECHNOLOGY</t>
        </is>
      </c>
      <c r="G694" s="26" t="inlineStr">
        <is>
          <t>Article; Early Access</t>
        </is>
      </c>
      <c r="H694" s="26" t="inlineStr">
        <is>
          <t>10.1007/s00170-023-10910-7</t>
        </is>
      </c>
      <c r="I694" s="26" t="inlineStr">
        <is>
          <t>TA</t>
        </is>
      </c>
      <c r="J694" s="37" t="inlineStr">
        <is>
          <t>Exclude</t>
        </is>
      </c>
      <c r="K694" s="37" t="inlineStr">
        <is>
          <t>Wrong publication type</t>
        </is>
      </c>
      <c r="L694" s="33" t="inlineStr">
        <is>
          <t>Likely exclude: twin/model terms only in keywords, not in title or abstract</t>
        </is>
      </c>
      <c r="M694" s="37" t="inlineStr">
        <is>
          <t>Modelo de madurez de autonomia en manufactura derivado de revision ("With a comprehensive literature review, this paper provides a definition of autonomy in the manufacturing context"); gemelo sólo como palabra clave (C3 y C4). Valor para snowballing: bajo.</t>
        </is>
      </c>
      <c r="N694" s="69" t="inlineStr">
        <is>
          <t>E4</t>
        </is>
      </c>
      <c r="O694" s="69" t="n">
        <v>13</v>
      </c>
      <c r="P694" s="69" t="inlineStr">
        <is>
          <t>Exclude</t>
        </is>
      </c>
      <c r="Q694" s="69" t="inlineStr">
        <is>
          <t>E4</t>
        </is>
      </c>
      <c r="R694" s="69" t="inlineStr">
        <is>
          <t>Modelo de madurez de autonomia en manufactura derivado de revision ("With a comprehensive literature review, this paper provides a definition of autonomy in the manufacturing context"); gemelo sólo como palabra clave (C3 y C4). Valor para snowballing: bajo.</t>
        </is>
      </c>
      <c r="S694" s="69" t="n"/>
    </row>
    <row r="695" ht="23.25" customHeight="1" s="17">
      <c r="A695" s="26" t="inlineStr">
        <is>
          <t>R0694</t>
        </is>
      </c>
      <c r="B695" s="26" t="inlineStr">
        <is>
          <t>WoS</t>
        </is>
      </c>
      <c r="C695" s="26" t="inlineStr">
        <is>
          <t>Kang, SK; Jin, R; Deng, XW; Kenett, RS</t>
        </is>
      </c>
      <c r="D695" s="26" t="n">
        <v>2023</v>
      </c>
      <c r="E695" s="27" t="inlineStr">
        <is>
          <t>Challenges of modeling and analysis in cybermanufacturing: a review from a machine learning and computation perspective</t>
        </is>
      </c>
      <c r="F695" s="26" t="inlineStr">
        <is>
          <t>JOURNAL OF INTELLIGENT MANUFACTURING</t>
        </is>
      </c>
      <c r="G695" s="26" t="inlineStr">
        <is>
          <t>Review</t>
        </is>
      </c>
      <c r="H695" s="26" t="inlineStr">
        <is>
          <t>10.1007/s10845-021-01817-9</t>
        </is>
      </c>
      <c r="I695" s="26" t="inlineStr">
        <is>
          <t>TA</t>
        </is>
      </c>
      <c r="J695" s="37" t="inlineStr">
        <is>
          <t>Exclude</t>
        </is>
      </c>
      <c r="K695" s="37" t="inlineStr">
        <is>
          <t>Wrong publication type</t>
        </is>
      </c>
      <c r="L695" s="33" t="inlineStr">
        <is>
          <t>Likely exclude: twin/model terms only in keywords, not in title or abstract</t>
        </is>
      </c>
      <c r="M695" s="37" t="inlineStr">
        <is>
          <t>Revision (Doc type Review) de modelado y analisis en cibermanufactura ("we review the fundamental challenges with respect to modeling and analysis in cybermanufacturing"); gemelo y cadena sólo en Keywords Plus. Valor para snowballing: bajo.</t>
        </is>
      </c>
      <c r="N695" s="69" t="inlineStr">
        <is>
          <t>E4</t>
        </is>
      </c>
      <c r="O695" s="69" t="n">
        <v>13</v>
      </c>
      <c r="P695" s="69" t="inlineStr">
        <is>
          <t>Exclude</t>
        </is>
      </c>
      <c r="Q695" s="69" t="inlineStr">
        <is>
          <t>E4</t>
        </is>
      </c>
      <c r="R695" s="69" t="inlineStr">
        <is>
          <t>Revision (Doc type Review) de modelado y analisis en cibermanufactura ("we review the fundamental challenges with respect to modeling and analysis in cybermanufacturing"); gemelo y cadena sólo en Keywords Plus. Valor para snowballing: bajo.</t>
        </is>
      </c>
      <c r="S695" s="69" t="n"/>
    </row>
    <row r="696" ht="23.25" customHeight="1" s="17">
      <c r="A696" s="26" t="inlineStr">
        <is>
          <t>R0695</t>
        </is>
      </c>
      <c r="B696" s="26" t="inlineStr">
        <is>
          <t>Scopus</t>
        </is>
      </c>
      <c r="C696" s="26" t="inlineStr">
        <is>
          <t>Weigert D.; Behrendt F.</t>
        </is>
      </c>
      <c r="D696" s="26" t="n">
        <v>2022</v>
      </c>
      <c r="E696" s="27" t="inlineStr">
        <is>
          <t>Conceptual framework of a Learning Experience Platform (LXP) to strengthen AI competence by linking simulation technologies and AI</t>
        </is>
      </c>
      <c r="F696" s="26" t="inlineStr">
        <is>
          <t>21st International Conference on Modeling and Applied Simulation, MAS 2022</t>
        </is>
      </c>
      <c r="G696" s="26" t="inlineStr">
        <is>
          <t>Conference paper</t>
        </is>
      </c>
      <c r="H696" s="26" t="inlineStr">
        <is>
          <t>10.46354/i3m.2022.mas.024</t>
        </is>
      </c>
      <c r="I696" s="26" t="inlineStr">
        <is>
          <t>TA</t>
        </is>
      </c>
      <c r="J696" s="37" t="inlineStr">
        <is>
          <t>Exclude</t>
        </is>
      </c>
      <c r="K696" s="37" t="inlineStr">
        <is>
          <t>No digital twin/model</t>
        </is>
      </c>
      <c r="L696" s="33" t="inlineStr">
        <is>
          <t>Likely exclude: twin/model terms only in keywords, not in title or abstract</t>
        </is>
      </c>
      <c r="M696" s="37" t="inlineStr">
        <is>
          <t>Marco conceptual de una plataforma de aprendizaje ("Learning Experience Platform (LXP)") sobre una fabrica modelo; el gemelo sólo como palabra clave, C1; también E2 (formacion).</t>
        </is>
      </c>
      <c r="N696" s="69" t="inlineStr">
        <is>
          <t>E1</t>
        </is>
      </c>
      <c r="O696" s="69" t="n">
        <v>13</v>
      </c>
      <c r="P696" s="69" t="inlineStr">
        <is>
          <t>Exclude</t>
        </is>
      </c>
      <c r="Q696" s="69" t="inlineStr">
        <is>
          <t>E1</t>
        </is>
      </c>
      <c r="R696" s="69" t="inlineStr">
        <is>
          <t>Marco conceptual de una plataforma de aprendizaje ("Learning Experience Platform (LXP)") sobre una fabrica modelo; el gemelo sólo como palabra clave, C1; también E2 (formacion).</t>
        </is>
      </c>
      <c r="S696" s="69" t="n"/>
    </row>
    <row r="697" ht="23.25" customHeight="1" s="17">
      <c r="A697" s="26" t="inlineStr">
        <is>
          <t>R0696</t>
        </is>
      </c>
      <c r="B697" s="26" t="inlineStr">
        <is>
          <t>Scopus</t>
        </is>
      </c>
      <c r="C697" s="26" t="inlineStr">
        <is>
          <t>Taghipour A.; Lu X.; Derradji M.; Sow A.D.</t>
        </is>
      </c>
      <c r="D697" s="26" t="n">
        <v>2022</v>
      </c>
      <c r="E697" s="27" t="inlineStr">
        <is>
          <t>The impact of digitalization on supply chain management: A literature review</t>
        </is>
      </c>
      <c r="F697" s="26" t="inlineStr">
        <is>
          <t>ACM International Conference Proceeding Series</t>
        </is>
      </c>
      <c r="G697" s="26" t="inlineStr">
        <is>
          <t>Conference paper</t>
        </is>
      </c>
      <c r="H697" s="26" t="inlineStr">
        <is>
          <t>10.1145/3551690.3551702</t>
        </is>
      </c>
      <c r="I697" s="26" t="inlineStr">
        <is>
          <t>TA</t>
        </is>
      </c>
      <c r="J697" s="37" t="inlineStr">
        <is>
          <t>Exclude</t>
        </is>
      </c>
      <c r="K697" s="37" t="inlineStr">
        <is>
          <t>Wrong publication type</t>
        </is>
      </c>
      <c r="L697" s="33" t="inlineStr">
        <is>
          <t>Likely exclude: 'digital model' hit is a business-model paper, no digital twin</t>
        </is>
      </c>
      <c r="M697" s="37" t="inlineStr">
        <is>
          <t>Revision de literatura sobre digitalizacion en gestion de cadena ("The impact of digitalization on supply chain management: A literature review"); gemelo sólo como palabra clave ("Digital twin Procurement"). Valor para snowballing: bajo.</t>
        </is>
      </c>
      <c r="N697" s="69" t="inlineStr">
        <is>
          <t>E4</t>
        </is>
      </c>
      <c r="O697" s="69" t="n">
        <v>13</v>
      </c>
      <c r="P697" s="69" t="inlineStr">
        <is>
          <t>Exclude</t>
        </is>
      </c>
      <c r="Q697" s="69" t="inlineStr">
        <is>
          <t>E4</t>
        </is>
      </c>
      <c r="R697" s="69" t="inlineStr">
        <is>
          <t>Revision de literatura sobre digitalizacion en gestion de cadena ("The impact of digitalization on supply chain management: A literature review"); gemelo sólo como palabra clave ("Digital twin Procurement"). Valor para snowballing: bajo.</t>
        </is>
      </c>
      <c r="S697" s="69" t="n"/>
    </row>
    <row r="698" ht="23.25" customHeight="1" s="17">
      <c r="A698" s="26" t="inlineStr">
        <is>
          <t>R0697</t>
        </is>
      </c>
      <c r="B698" s="26" t="inlineStr">
        <is>
          <t>WoS</t>
        </is>
      </c>
      <c r="C698" s="26" t="inlineStr">
        <is>
          <t>Hughes, L; Dwivedi, YK; Rana, NP; Williams, MD; Raghavan, V</t>
        </is>
      </c>
      <c r="D698" s="26" t="n">
        <v>2022</v>
      </c>
      <c r="E698" s="27" t="inlineStr">
        <is>
          <t>Perspectives on the future of manufacturing within the Industry 4.0 era</t>
        </is>
      </c>
      <c r="F698" s="26" t="inlineStr">
        <is>
          <t>PRODUCTION PLANNING &amp; CONTROL</t>
        </is>
      </c>
      <c r="G698" s="26" t="inlineStr">
        <is>
          <t>Article</t>
        </is>
      </c>
      <c r="H698" s="26" t="inlineStr">
        <is>
          <t>10.1080/09537287.2020.1810762</t>
        </is>
      </c>
      <c r="I698" s="26" t="inlineStr">
        <is>
          <t>TA</t>
        </is>
      </c>
      <c r="J698" s="37" t="inlineStr">
        <is>
          <t>Exclude</t>
        </is>
      </c>
      <c r="K698" s="37" t="inlineStr">
        <is>
          <t>Wrong publication type</t>
        </is>
      </c>
      <c r="L698" s="33" t="inlineStr">
        <is>
          <t>Likely exclude: twin/model terms only in keywords, not in title or abstract</t>
        </is>
      </c>
      <c r="M698" s="37" t="inlineStr">
        <is>
          <t>Evaluacion critica de temas de Industria 4.0 ("presenting a critical evaluation of the core topics impacting the next generation of manufacturers"); gemelo y cadena sólo en Keywords Plus. Valor para snowballing: bajo.</t>
        </is>
      </c>
      <c r="N698" s="69" t="inlineStr">
        <is>
          <t>E4</t>
        </is>
      </c>
      <c r="O698" s="69" t="n">
        <v>13</v>
      </c>
      <c r="P698" s="69" t="inlineStr">
        <is>
          <t>Exclude</t>
        </is>
      </c>
      <c r="Q698" s="69" t="inlineStr">
        <is>
          <t>E4</t>
        </is>
      </c>
      <c r="R698" s="69" t="inlineStr">
        <is>
          <t>Evaluacion critica de temas de Industria 4.0 ("presenting a critical evaluation of the core topics impacting the next generation of manufacturers"); gemelo y cadena sólo en Keywords Plus. Valor para snowballing: bajo.</t>
        </is>
      </c>
      <c r="S698" s="69" t="n"/>
    </row>
    <row r="699" ht="23.25" customHeight="1" s="17">
      <c r="A699" s="26" t="inlineStr">
        <is>
          <t>R0698</t>
        </is>
      </c>
      <c r="B699" s="26" t="inlineStr">
        <is>
          <t>WoS</t>
        </is>
      </c>
      <c r="C699" s="26" t="inlineStr">
        <is>
          <t>Li, CQ; Chen, YQ; Shang, YL</t>
        </is>
      </c>
      <c r="D699" s="26" t="n">
        <v>2022</v>
      </c>
      <c r="E699" s="27" t="inlineStr">
        <is>
          <t>A review of industrial big data for decision making in intelligent manufacturing</t>
        </is>
      </c>
      <c r="F699" s="26" t="inlineStr">
        <is>
          <t>ENGINEERING SCIENCE AND TECHNOLOGY-AN INTERNATIONAL JOURNAL-JESTECH</t>
        </is>
      </c>
      <c r="G699" s="26" t="inlineStr">
        <is>
          <t>Review</t>
        </is>
      </c>
      <c r="H699" s="26" t="inlineStr">
        <is>
          <t>10.1016/j.jestch.2021.06.001</t>
        </is>
      </c>
      <c r="I699" s="26" t="inlineStr">
        <is>
          <t>TA</t>
        </is>
      </c>
      <c r="J699" s="37" t="inlineStr">
        <is>
          <t>Exclude</t>
        </is>
      </c>
      <c r="K699" s="37" t="inlineStr">
        <is>
          <t>Wrong publication type</t>
        </is>
      </c>
      <c r="L699" s="33" t="inlineStr">
        <is>
          <t>Likely exclude: twin/model terms only in keywords, not in title or abstract</t>
        </is>
      </c>
      <c r="M699" s="37" t="inlineStr">
        <is>
          <t>Revision (Doc type Review) de big data industrial para decisiones ("This paper provides a theoretical analysis basis for big data-driven technology"); gemelo sólo en Keywords Plus. Valor para snowballing: bajo.</t>
        </is>
      </c>
      <c r="N699" s="69" t="inlineStr">
        <is>
          <t>E4</t>
        </is>
      </c>
      <c r="O699" s="69" t="n">
        <v>13</v>
      </c>
      <c r="P699" s="69" t="inlineStr">
        <is>
          <t>Exclude</t>
        </is>
      </c>
      <c r="Q699" s="69" t="inlineStr">
        <is>
          <t>E4</t>
        </is>
      </c>
      <c r="R699" s="69" t="inlineStr">
        <is>
          <t>Revision (Doc type Review) de big data industrial para decisiones ("This paper provides a theoretical analysis basis for big data-driven technology"); gemelo sólo en Keywords Plus. Valor para snowballing: bajo.</t>
        </is>
      </c>
      <c r="S699" s="69" t="n"/>
    </row>
    <row r="700" ht="23.25" customHeight="1" s="17">
      <c r="A700" s="26" t="inlineStr">
        <is>
          <t>R0699</t>
        </is>
      </c>
      <c r="B700" s="26" t="inlineStr">
        <is>
          <t>WoS</t>
        </is>
      </c>
      <c r="C700" s="26" t="inlineStr">
        <is>
          <t>Serrano-Ruiz, JC; Mula, J; Poler, R</t>
        </is>
      </c>
      <c r="D700" s="26" t="n">
        <v>2022</v>
      </c>
      <c r="E700" s="27" t="inlineStr">
        <is>
          <t>Development of a multidimensional conceptual model for job shop smart manufacturing scheduling from the Industry 4.0 perspective</t>
        </is>
      </c>
      <c r="F700" s="26" t="inlineStr">
        <is>
          <t>JOURNAL OF MANUFACTURING SYSTEMS</t>
        </is>
      </c>
      <c r="G700" s="26" t="inlineStr">
        <is>
          <t>Article</t>
        </is>
      </c>
      <c r="H700" s="26" t="inlineStr">
        <is>
          <t>10.1016/j.jmsy.2022.03.011</t>
        </is>
      </c>
      <c r="I700" s="26" t="inlineStr">
        <is>
          <t>TA</t>
        </is>
      </c>
      <c r="J700" s="37" t="inlineStr">
        <is>
          <t>Exclude</t>
        </is>
      </c>
      <c r="K700" s="37" t="inlineStr">
        <is>
          <t>Wrong publication type</t>
        </is>
      </c>
      <c r="L700" s="33" t="inlineStr">
        <is>
          <t>Likely exclude: twin/model terms only in keywords, not in title or abstract</t>
        </is>
      </c>
      <c r="M700" s="37" t="inlineStr">
        <is>
          <t>Modelo conceptual derivado de revision ("Based on a scientific literature review in the conceptual domain defined by smart manufacturing scheduling (SMS), this article identifies the benefits and limitations of the reviewed contributions") con ontologia, agentes y aprendizaje por refuerzo profundo; C3 manda; el gemelo sólo como palabra clave y sin encuadre de cadena. Valor para snowballing: bajo.</t>
        </is>
      </c>
      <c r="N700" s="69" t="inlineStr">
        <is>
          <t>E4</t>
        </is>
      </c>
      <c r="O700" s="69" t="n">
        <v>13</v>
      </c>
      <c r="P700" s="69" t="inlineStr">
        <is>
          <t>Exclude</t>
        </is>
      </c>
      <c r="Q700" s="69" t="inlineStr">
        <is>
          <t>E4</t>
        </is>
      </c>
      <c r="R700" s="69" t="inlineStr">
        <is>
          <t>Modelo conceptual derivado de revision ("Based on a scientific literature review in the conceptual domain defined by smart manufacturing scheduling (SMS), this article identifies the benefits and limitations of the reviewed contributions") con ontologia, agentes y aprendizaje por refuerzo profundo; C3 manda; el gemelo sólo como palabra clave y sin encuadre de cadena. Valor para snowballing: bajo.</t>
        </is>
      </c>
      <c r="S700" s="69" t="n"/>
    </row>
    <row r="701" ht="23.25" customHeight="1" s="17">
      <c r="A701" s="26" t="inlineStr">
        <is>
          <t>R0700</t>
        </is>
      </c>
      <c r="B701" s="26" t="inlineStr">
        <is>
          <t>WoS</t>
        </is>
      </c>
      <c r="C701" s="26" t="inlineStr">
        <is>
          <t>Rejeb, A; Appolloni, A</t>
        </is>
      </c>
      <c r="D701" s="26" t="n">
        <v>2022</v>
      </c>
      <c r="E701" s="27" t="inlineStr">
        <is>
          <t>The Nexus of Industry 4.0 and Circular Procurement: A Systematic Literature Review and Research Agenda</t>
        </is>
      </c>
      <c r="F701" s="26" t="inlineStr">
        <is>
          <t>SUSTAINABILITY</t>
        </is>
      </c>
      <c r="G701" s="26" t="inlineStr">
        <is>
          <t>Review</t>
        </is>
      </c>
      <c r="H701" s="26" t="inlineStr">
        <is>
          <t>10.3390/su142315633</t>
        </is>
      </c>
      <c r="I701" s="26" t="inlineStr">
        <is>
          <t>TA</t>
        </is>
      </c>
      <c r="J701" s="37" t="inlineStr">
        <is>
          <t>Exclude</t>
        </is>
      </c>
      <c r="K701" s="37" t="inlineStr">
        <is>
          <t>Wrong publication type</t>
        </is>
      </c>
      <c r="L701" s="33" t="inlineStr">
        <is>
          <t>Likely exclude: twin/model terms only in keywords, not in title or abstract</t>
        </is>
      </c>
      <c r="M701" s="37" t="inlineStr">
        <is>
          <t>Revision sistematica de Industria 4.0 y compras circulares ("systematically reviewing the existing literature about the applications of Industry 4.0 technologies in CP"); gemelos sólo en Keywords Plus. Valor para snowballing: bajo.</t>
        </is>
      </c>
      <c r="N701" s="69" t="inlineStr">
        <is>
          <t>E4</t>
        </is>
      </c>
      <c r="O701" s="69" t="n">
        <v>13</v>
      </c>
      <c r="P701" s="69" t="inlineStr">
        <is>
          <t>Exclude</t>
        </is>
      </c>
      <c r="Q701" s="69" t="inlineStr">
        <is>
          <t>E4</t>
        </is>
      </c>
      <c r="R701" s="69" t="inlineStr">
        <is>
          <t>Revision sistematica de Industria 4.0 y compras circulares ("systematically reviewing the existing literature about the applications of Industry 4.0 technologies in CP"); gemelos sólo en Keywords Plus. Valor para snowballing: bajo.</t>
        </is>
      </c>
      <c r="S701" s="69" t="n"/>
    </row>
    <row r="702" ht="23.25" customHeight="1" s="17">
      <c r="A702" s="26" t="inlineStr">
        <is>
          <t>R0701</t>
        </is>
      </c>
      <c r="B702" s="26" t="inlineStr">
        <is>
          <t>Scopus + WoS</t>
        </is>
      </c>
      <c r="C702" s="26" t="inlineStr">
        <is>
          <t>Andronie M.; Lăzăroiu G.; Ștefănescu R.; Uță C.; Dijmărescu I.</t>
        </is>
      </c>
      <c r="D702" s="26" t="n">
        <v>2021</v>
      </c>
      <c r="E702" s="27" t="inlineStr">
        <is>
          <t>Sustainable, smart, and sensing technologies for cyber-physical manufacturing systems: A systematic literature review</t>
        </is>
      </c>
      <c r="F702" s="26" t="inlineStr">
        <is>
          <t>Sustainability (Switzerland)</t>
        </is>
      </c>
      <c r="G702" s="26" t="inlineStr">
        <is>
          <t>Review</t>
        </is>
      </c>
      <c r="H702" s="26" t="inlineStr">
        <is>
          <t>10.3390/su13105495</t>
        </is>
      </c>
      <c r="I702" s="26" t="inlineStr">
        <is>
          <t>TA</t>
        </is>
      </c>
      <c r="J702" s="37" t="inlineStr">
        <is>
          <t>Exclude</t>
        </is>
      </c>
      <c r="K702" s="37" t="inlineStr">
        <is>
          <t>Wrong publication type</t>
        </is>
      </c>
      <c r="L702" s="33" t="inlineStr">
        <is>
          <t>Likely exclude: twin/model terms only in keywords, not in title or abstract</t>
        </is>
      </c>
      <c r="M702" s="37" t="inlineStr">
        <is>
          <t>Revision sistematica cuantitativa de tecnologias sensoras en sistemas ciberfisicos de manufactura ("a quantitative literature review of the Web of Science, Scopus, and ProQuest databases was performed"); gemelo sólo como palabra clave. Valor para snowballing: bajo.</t>
        </is>
      </c>
      <c r="N702" s="69" t="inlineStr">
        <is>
          <t>E4</t>
        </is>
      </c>
      <c r="O702" s="69" t="n">
        <v>13</v>
      </c>
      <c r="P702" s="69" t="inlineStr">
        <is>
          <t>Exclude</t>
        </is>
      </c>
      <c r="Q702" s="69" t="inlineStr">
        <is>
          <t>E4</t>
        </is>
      </c>
      <c r="R702" s="69" t="inlineStr">
        <is>
          <t>Revision sistematica cuantitativa de tecnologias sensoras en sistemas ciberfisicos de manufactura ("a quantitative literature review of the Web of Science, Scopus, and ProQuest databases was performed"); gemelo sólo como palabra clave. Valor para snowballing: bajo.</t>
        </is>
      </c>
      <c r="S702" s="69" t="n"/>
    </row>
    <row r="703" ht="23.25" customHeight="1" s="17">
      <c r="A703" s="26" t="inlineStr">
        <is>
          <t>R0702</t>
        </is>
      </c>
      <c r="B703" s="26" t="inlineStr">
        <is>
          <t>Scopus</t>
        </is>
      </c>
      <c r="C703" s="26" t="inlineStr">
        <is>
          <t>Park C.; Mishra R.; Golledge J.; Najafi B.</t>
        </is>
      </c>
      <c r="D703" s="26" t="n">
        <v>2021</v>
      </c>
      <c r="E703" s="27" t="inlineStr">
        <is>
          <t>Digital biomarkers of physical frailty and frailty phenotypes using sensor-based physical activity and machine learning</t>
        </is>
      </c>
      <c r="F703" s="26" t="inlineStr">
        <is>
          <t>Sensors</t>
        </is>
      </c>
      <c r="G703" s="26" t="inlineStr">
        <is>
          <t>Article</t>
        </is>
      </c>
      <c r="H703" s="26" t="inlineStr">
        <is>
          <t>10.3390/s21165289</t>
        </is>
      </c>
      <c r="I703" s="26" t="inlineStr">
        <is>
          <t>TA</t>
        </is>
      </c>
      <c r="J703" s="37" t="inlineStr">
        <is>
          <t>Exclude</t>
        </is>
      </c>
      <c r="K703" s="37" t="inlineStr">
        <is>
          <t>No digital twin/model</t>
        </is>
      </c>
      <c r="L703" s="33" t="inlineStr">
        <is>
          <t>Likely exclude: twin/model terms only in keywords, not in title or abstract</t>
        </is>
      </c>
      <c r="M703" s="37" t="inlineStr">
        <is>
          <t>Biomarcadores digitales de fragilidad con regresion logistica sobre datos de sensor ("machine learning based on logistic regression modeling and a recursive feature elimination technique"); el gemelo sólo como palabra clave de autor, C1; también E2 (ambito clinico).</t>
        </is>
      </c>
      <c r="N703" s="69" t="inlineStr">
        <is>
          <t>E1</t>
        </is>
      </c>
      <c r="O703" s="69" t="n">
        <v>13</v>
      </c>
      <c r="P703" s="69" t="inlineStr">
        <is>
          <t>Exclude</t>
        </is>
      </c>
      <c r="Q703" s="69" t="inlineStr">
        <is>
          <t>E1</t>
        </is>
      </c>
      <c r="R703" s="69" t="inlineStr">
        <is>
          <t>Biomarcadores digitales de fragilidad con regresion logistica sobre datos de sensor ("machine learning based on logistic regression modeling and a recursive feature elimination technique"); el gemelo sólo como palabra clave de autor, C1; también E2 (ambito clinico).</t>
        </is>
      </c>
      <c r="S703" s="69" t="n"/>
    </row>
    <row r="704" ht="34.5" customHeight="1" s="17">
      <c r="A704" s="26" t="inlineStr">
        <is>
          <t>R0703</t>
        </is>
      </c>
      <c r="B704" s="26" t="inlineStr">
        <is>
          <t>Scopus + WoS</t>
        </is>
      </c>
      <c r="C704" s="26" t="inlineStr">
        <is>
          <t>Meshalkin V.P.</t>
        </is>
      </c>
      <c r="D704" s="26" t="n">
        <v>2021</v>
      </c>
      <c r="E704" s="27" t="inlineStr">
        <is>
          <t>Current Theoretical and Applied Research on Energy- and Resource-Saving Highly Reliable Chemical Process Systems Engineering</t>
        </is>
      </c>
      <c r="F704" s="26" t="inlineStr">
        <is>
          <t>Theoretical Foundations of Chemical Engineering</t>
        </is>
      </c>
      <c r="G704" s="26" t="inlineStr">
        <is>
          <t>Article</t>
        </is>
      </c>
      <c r="H704" s="26" t="inlineStr">
        <is>
          <t>10.1134/s004057952104031x</t>
        </is>
      </c>
      <c r="I704" s="26" t="inlineStr">
        <is>
          <t>TA</t>
        </is>
      </c>
      <c r="J704" s="37" t="inlineStr">
        <is>
          <t>Exclude</t>
        </is>
      </c>
      <c r="K704" s="37" t="inlineStr">
        <is>
          <t>Wrong publication type</t>
        </is>
      </c>
      <c r="L704" s="33" t="inlineStr">
        <is>
          <t>Likely exclude: twin/model terms only in keywords, not in title or abstract</t>
        </is>
      </c>
      <c r="M704" s="37" t="inlineStr">
        <is>
          <t>Panorama de la ingenieria de sistemas de procesos quimicos ("is briefly surveyed"); gemelo, IA y logistica sólo como palabras clave. Valor para snowballing: bajo.</t>
        </is>
      </c>
      <c r="N704" s="69" t="inlineStr">
        <is>
          <t>E4</t>
        </is>
      </c>
      <c r="O704" s="69" t="n">
        <v>13</v>
      </c>
      <c r="P704" s="69" t="inlineStr">
        <is>
          <t>Exclude</t>
        </is>
      </c>
      <c r="Q704" s="69" t="inlineStr">
        <is>
          <t>E4</t>
        </is>
      </c>
      <c r="R704" s="69" t="inlineStr">
        <is>
          <t>Panorama de la ingenieria de sistemas de procesos quimicos ("is briefly surveyed"); gemelo, IA y logistica sólo como palabras clave. Valor para snowballing: bajo.</t>
        </is>
      </c>
      <c r="S704" s="69" t="n"/>
    </row>
    <row r="705" ht="23.25" customHeight="1" s="17">
      <c r="A705" s="26" t="inlineStr">
        <is>
          <t>R0704</t>
        </is>
      </c>
      <c r="B705" s="26" t="inlineStr">
        <is>
          <t>Scopus</t>
        </is>
      </c>
      <c r="C705" s="26" t="inlineStr">
        <is>
          <t>Centorrino P.; Corbetta A.; Cristiani E.; Onofri E.</t>
        </is>
      </c>
      <c r="D705" s="26" t="n">
        <v>2021</v>
      </c>
      <c r="E705" s="27" t="inlineStr">
        <is>
          <t>Managing crowded museums: Visitors flow measurement, analysis, modeling, and optimization</t>
        </is>
      </c>
      <c r="F705" s="26" t="inlineStr">
        <is>
          <t>Journal of Computational Science</t>
        </is>
      </c>
      <c r="G705" s="26" t="inlineStr">
        <is>
          <t>Article</t>
        </is>
      </c>
      <c r="H705" s="26" t="inlineStr">
        <is>
          <t>10.1016/j.jocs.2021.101357</t>
        </is>
      </c>
      <c r="I705" s="26" t="inlineStr">
        <is>
          <t>TA</t>
        </is>
      </c>
      <c r="J705" s="37" t="inlineStr">
        <is>
          <t>Exclude</t>
        </is>
      </c>
      <c r="K705" s="37" t="inlineStr">
        <is>
          <t>No supply chain scope</t>
        </is>
      </c>
      <c r="L705" s="33" t="inlineStr">
        <is>
          <t>Likely exclude: twin/model terms only in keywords, not in title or abstract</t>
        </is>
      </c>
      <c r="M705" s="37" t="inlineStr">
        <is>
          <t>Gemelos estocasticos del flujo de visitantes en un museo con red neuronal MLP ("create stochastic digital-twins of the guest dynamics"); ambito de gestion de multitudes, sin cadena ni logistica ("logistic and safety constraints" sólo como restricciones del museo).</t>
        </is>
      </c>
      <c r="N705" s="69" t="inlineStr">
        <is>
          <t>E2</t>
        </is>
      </c>
      <c r="O705" s="69" t="n">
        <v>13</v>
      </c>
      <c r="P705" s="69" t="inlineStr">
        <is>
          <t>Exclude</t>
        </is>
      </c>
      <c r="Q705" s="69" t="inlineStr">
        <is>
          <t>E2</t>
        </is>
      </c>
      <c r="R705" s="69" t="inlineStr">
        <is>
          <t>Gemelos estocasticos del flujo de visitantes en un museo con red neuronal MLP ("create stochastic digital-twins of the guest dynamics"); ambito de gestion de multitudes, sin cadena ni logistica ("logistic and safety constraints" sólo como restricciones del museo).</t>
        </is>
      </c>
      <c r="S705" s="69" t="n"/>
    </row>
    <row r="706" ht="23.25" customHeight="1" s="17">
      <c r="A706" s="26" t="inlineStr">
        <is>
          <t>R0705</t>
        </is>
      </c>
      <c r="B706" s="26" t="inlineStr">
        <is>
          <t>Scopus + WoS</t>
        </is>
      </c>
      <c r="C706" s="26" t="inlineStr">
        <is>
          <t>Gutierrez-Franco E.; Mejia-Argueta C.; Rabelo L.</t>
        </is>
      </c>
      <c r="D706" s="26" t="n">
        <v>2021</v>
      </c>
      <c r="E706" s="27" t="inlineStr">
        <is>
          <t>Data-driven methodology to support long-lasting logistics and decision making for urban last-mile operations</t>
        </is>
      </c>
      <c r="F706" s="26" t="inlineStr">
        <is>
          <t>Sustainability (Switzerland)</t>
        </is>
      </c>
      <c r="G706" s="26" t="inlineStr">
        <is>
          <t>Article</t>
        </is>
      </c>
      <c r="H706" s="26" t="inlineStr">
        <is>
          <t>10.3390/su13116230</t>
        </is>
      </c>
      <c r="I706" s="26" t="inlineStr">
        <is>
          <t>TA</t>
        </is>
      </c>
      <c r="J706" s="37" t="inlineStr">
        <is>
          <t>Exclude</t>
        </is>
      </c>
      <c r="K706" s="37" t="inlineStr">
        <is>
          <t>No digital twin/model</t>
        </is>
      </c>
      <c r="L706" s="33" t="inlineStr">
        <is>
          <t>Likely exclude: twin/model terms only in keywords, not in title or abstract</t>
        </is>
      </c>
      <c r="M706" s="37" t="inlineStr">
        <is>
          <t>Metodologia de decision para operaciones urbanas de ultima milla en Bogota con optimizacion, ML, simulacion y "deep reinforcement learning"; el gemelo sólo como palabra clave de autor, sin aparecer en el resumen, C1. Nota: tema perfecto sin gemelo declarado.</t>
        </is>
      </c>
      <c r="N706" s="69" t="inlineStr">
        <is>
          <t>E1</t>
        </is>
      </c>
      <c r="O706" s="69" t="n">
        <v>13</v>
      </c>
      <c r="P706" s="69" t="inlineStr">
        <is>
          <t>Exclude</t>
        </is>
      </c>
      <c r="Q706" s="69" t="inlineStr">
        <is>
          <t>E1</t>
        </is>
      </c>
      <c r="R706" s="69" t="inlineStr">
        <is>
          <t>Metodologia de decision para operaciones urbanas de ultima milla en Bogota con optimizacion, ML, simulacion y "deep reinforcement learning"; el gemelo sólo como palabra clave de autor, sin aparecer en el resumen, C1. Nota: tema perfecto sin gemelo declarado.</t>
        </is>
      </c>
      <c r="S706" s="69" t="n"/>
    </row>
    <row r="707" ht="23.25" customHeight="1" s="17">
      <c r="A707" s="26" t="inlineStr">
        <is>
          <t>R0706</t>
        </is>
      </c>
      <c r="B707" s="26" t="inlineStr">
        <is>
          <t>Scopus + WoS</t>
        </is>
      </c>
      <c r="C707" s="26" t="inlineStr">
        <is>
          <t>Rožanec J.M.; Kažič B.; Škrjanc M.; Fortuna B.; Mladenić D.</t>
        </is>
      </c>
      <c r="D707" s="26" t="n">
        <v>2021</v>
      </c>
      <c r="E707" s="27" t="inlineStr">
        <is>
          <t>Automotive OEM demand forecasting: A comparative study of forecasting algorithms and strategies</t>
        </is>
      </c>
      <c r="F707" s="26" t="inlineStr">
        <is>
          <t>Applied Sciences (Switzerland)</t>
        </is>
      </c>
      <c r="G707" s="26" t="inlineStr">
        <is>
          <t>Article</t>
        </is>
      </c>
      <c r="H707" s="26" t="inlineStr">
        <is>
          <t>10.3390/app11156787</t>
        </is>
      </c>
      <c r="I707" s="26" t="inlineStr">
        <is>
          <t>TA</t>
        </is>
      </c>
      <c r="J707" s="37" t="inlineStr">
        <is>
          <t>Exclude</t>
        </is>
      </c>
      <c r="K707" s="37" t="inlineStr">
        <is>
          <t>No digital twin/model</t>
        </is>
      </c>
      <c r="L707" s="33" t="inlineStr">
        <is>
          <t>Likely exclude: twin/model terms only in keywords, not in title or abstract</t>
        </is>
      </c>
      <c r="M707" s="37" t="inlineStr">
        <is>
          <t>Comparacion de 21 algoritmos de pronostico de demanda en un OEM automotriz ("We evaluate 21 baseline, statistical, and machine learning algorithms"); el gemelo sólo como palabra clave de autor, sin aparecer en el resumen, C1.</t>
        </is>
      </c>
      <c r="N707" s="69" t="inlineStr">
        <is>
          <t>E1</t>
        </is>
      </c>
      <c r="O707" s="69" t="n">
        <v>13</v>
      </c>
      <c r="P707" s="69" t="inlineStr">
        <is>
          <t>Exclude</t>
        </is>
      </c>
      <c r="Q707" s="69" t="inlineStr">
        <is>
          <t>E1</t>
        </is>
      </c>
      <c r="R707" s="69" t="inlineStr">
        <is>
          <t>Comparacion de 21 algoritmos de pronostico de demanda en un OEM automotriz ("We evaluate 21 baseline, statistical, and machine learning algorithms"); el gemelo sólo como palabra clave de autor, sin aparecer en el resumen, C1.</t>
        </is>
      </c>
      <c r="S707" s="69" t="n"/>
    </row>
    <row r="708" ht="23.25" customHeight="1" s="17">
      <c r="A708" s="26" t="inlineStr">
        <is>
          <t>R0707</t>
        </is>
      </c>
      <c r="B708" s="26" t="inlineStr">
        <is>
          <t>WoS</t>
        </is>
      </c>
      <c r="C708" s="26" t="inlineStr">
        <is>
          <t>Lu, Y</t>
        </is>
      </c>
      <c r="D708" s="26" t="n">
        <v>2021</v>
      </c>
      <c r="E708" s="27" t="inlineStr">
        <is>
          <t>The Current Status and Developing Trends of Industry 4.0: a Review</t>
        </is>
      </c>
      <c r="F708" s="26" t="inlineStr">
        <is>
          <t>INFORMATION SYSTEMS FRONTIERS</t>
        </is>
      </c>
      <c r="G708" s="26" t="inlineStr">
        <is>
          <t>Review; Early Access</t>
        </is>
      </c>
      <c r="H708" s="26" t="inlineStr">
        <is>
          <t>10.1007/s10796-021-10221-w</t>
        </is>
      </c>
      <c r="I708" s="26" t="inlineStr">
        <is>
          <t>TA</t>
        </is>
      </c>
      <c r="J708" s="37" t="inlineStr">
        <is>
          <t>Exclude</t>
        </is>
      </c>
      <c r="K708" s="37" t="inlineStr">
        <is>
          <t>Wrong publication type</t>
        </is>
      </c>
      <c r="L708" s="33" t="inlineStr">
        <is>
          <t>Likely exclude: twin/model terms only in keywords, not in title or abstract</t>
        </is>
      </c>
      <c r="M708" s="37" t="inlineStr">
        <is>
          <t>Revision (Doc type Review) del estado de Industria 4.0 ("This paper conducts a survey trying to depict an overview of Industry 4.0"); gemelo sólo en Keywords Plus. Valor para snowballing: bajo.</t>
        </is>
      </c>
      <c r="N708" s="69" t="inlineStr">
        <is>
          <t>E4</t>
        </is>
      </c>
      <c r="O708" s="69" t="n">
        <v>13</v>
      </c>
      <c r="P708" s="69" t="inlineStr">
        <is>
          <t>Exclude</t>
        </is>
      </c>
      <c r="Q708" s="69" t="inlineStr">
        <is>
          <t>E4</t>
        </is>
      </c>
      <c r="R708" s="69" t="inlineStr">
        <is>
          <t>Revision (Doc type Review) del estado de Industria 4.0 ("This paper conducts a survey trying to depict an overview of Industry 4.0"); gemelo sólo en Keywords Plus. Valor para snowballing: bajo.</t>
        </is>
      </c>
      <c r="S708" s="69" t="n"/>
    </row>
    <row r="709" ht="23.25" customHeight="1" s="17">
      <c r="A709" s="26" t="inlineStr">
        <is>
          <t>R0708</t>
        </is>
      </c>
      <c r="B709" s="26" t="inlineStr">
        <is>
          <t>WoS</t>
        </is>
      </c>
      <c r="C709" s="26" t="inlineStr">
        <is>
          <t>Liu, Y; Ma, XY; Shu, L; Hancke, GP; Abu-Mahfouz, AM</t>
        </is>
      </c>
      <c r="D709" s="26" t="n">
        <v>2021</v>
      </c>
      <c r="E709" s="27" t="inlineStr">
        <is>
          <t>From Industry 4.0 to Agriculture 4.0: Current Status, Enabling Technologies, and Research Challenges</t>
        </is>
      </c>
      <c r="F709" s="26" t="inlineStr">
        <is>
          <t>IEEE TRANSACTIONS ON INDUSTRIAL INFORMATICS</t>
        </is>
      </c>
      <c r="G709" s="26" t="inlineStr">
        <is>
          <t>Article</t>
        </is>
      </c>
      <c r="H709" s="26" t="inlineStr">
        <is>
          <t>10.1109/tii.2020.3003910</t>
        </is>
      </c>
      <c r="I709" s="26" t="inlineStr">
        <is>
          <t>TA</t>
        </is>
      </c>
      <c r="J709" s="37" t="inlineStr">
        <is>
          <t>Exclude</t>
        </is>
      </c>
      <c r="K709" s="37" t="inlineStr">
        <is>
          <t>Wrong publication type</t>
        </is>
      </c>
      <c r="L709" s="33" t="inlineStr">
        <is>
          <t>Likely exclude: twin/model terms only in keywords, not in title or abstract</t>
        </is>
      </c>
      <c r="M709" s="37" t="inlineStr">
        <is>
          <t>Revision de Agricultura 4.0 ("we review the current status of industrial agriculture"); gemelo sólo en Keywords Plus. Valor para snowballing: bajo.</t>
        </is>
      </c>
      <c r="N709" s="69" t="inlineStr">
        <is>
          <t>E4</t>
        </is>
      </c>
      <c r="O709" s="69" t="n">
        <v>13</v>
      </c>
      <c r="P709" s="69" t="inlineStr">
        <is>
          <t>Exclude</t>
        </is>
      </c>
      <c r="Q709" s="69" t="inlineStr">
        <is>
          <t>E4</t>
        </is>
      </c>
      <c r="R709" s="69" t="inlineStr">
        <is>
          <t>Revision de Agricultura 4.0 ("we review the current status of industrial agriculture"); gemelo sólo en Keywords Plus. Valor para snowballing: bajo.</t>
        </is>
      </c>
      <c r="S709" s="69" t="n"/>
    </row>
    <row r="710" ht="23.25" customHeight="1" s="17">
      <c r="A710" s="26" t="inlineStr">
        <is>
          <t>R0709</t>
        </is>
      </c>
      <c r="B710" s="26" t="inlineStr">
        <is>
          <t>WoS</t>
        </is>
      </c>
      <c r="C710" s="26" t="inlineStr">
        <is>
          <t>Lepasepp, TK; Hurst, W</t>
        </is>
      </c>
      <c r="D710" s="26" t="n">
        <v>2021</v>
      </c>
      <c r="E710" s="27" t="inlineStr">
        <is>
          <t>A Systematic Literature Review of Industry 4.0 Technologies within Medical Device Manufacturing</t>
        </is>
      </c>
      <c r="F710" s="26" t="inlineStr">
        <is>
          <t>FUTURE INTERNET</t>
        </is>
      </c>
      <c r="G710" s="26" t="inlineStr">
        <is>
          <t>Review</t>
        </is>
      </c>
      <c r="H710" s="26" t="inlineStr">
        <is>
          <t>10.3390/fi13100264</t>
        </is>
      </c>
      <c r="I710" s="26" t="inlineStr">
        <is>
          <t>TA</t>
        </is>
      </c>
      <c r="J710" s="37" t="inlineStr">
        <is>
          <t>Exclude</t>
        </is>
      </c>
      <c r="K710" s="37" t="inlineStr">
        <is>
          <t>Wrong publication type</t>
        </is>
      </c>
      <c r="L710" s="33" t="inlineStr">
        <is>
          <t>Likely exclude: twin/model terms only in keywords, not in title or abstract</t>
        </is>
      </c>
      <c r="M710" s="37" t="inlineStr">
        <is>
          <t>Revision sistematica de Industria 4.0 en fabricacion de dispositivos medicos ("conducting a systematic literature review of 104 articles"); gemelo sólo en Keywords Plus. Valor para snowballing: bajo.</t>
        </is>
      </c>
      <c r="N710" s="69" t="inlineStr">
        <is>
          <t>E4</t>
        </is>
      </c>
      <c r="O710" s="69" t="n">
        <v>13</v>
      </c>
      <c r="P710" s="69" t="inlineStr">
        <is>
          <t>Exclude</t>
        </is>
      </c>
      <c r="Q710" s="69" t="inlineStr">
        <is>
          <t>E4</t>
        </is>
      </c>
      <c r="R710" s="69" t="inlineStr">
        <is>
          <t>Revision sistematica de Industria 4.0 en fabricacion de dispositivos medicos ("conducting a systematic literature review of 104 articles"); gemelo sólo en Keywords Plus. Valor para snowballing: bajo.</t>
        </is>
      </c>
      <c r="S710" s="69" t="n"/>
    </row>
    <row r="711" ht="23.25" customHeight="1" s="17">
      <c r="A711" s="26" t="inlineStr">
        <is>
          <t>R0710</t>
        </is>
      </c>
      <c r="B711" s="26" t="inlineStr">
        <is>
          <t>Scopus + WoS</t>
        </is>
      </c>
      <c r="C711" s="26" t="inlineStr">
        <is>
          <t>Diaz R.A.C.; Ghita M.; Copot D.; Birs I.R.; Muresan C.; Ionescu C.</t>
        </is>
      </c>
      <c r="D711" s="26" t="n">
        <v>2020</v>
      </c>
      <c r="E711" s="27" t="inlineStr">
        <is>
          <t>Context Aware Control Systems: An Engineering Applications Perspective</t>
        </is>
      </c>
      <c r="F711" s="26" t="inlineStr">
        <is>
          <t>IEEE Access</t>
        </is>
      </c>
      <c r="G711" s="26" t="inlineStr">
        <is>
          <t>Article</t>
        </is>
      </c>
      <c r="H711" s="26" t="inlineStr">
        <is>
          <t>10.1109/access.2020.3041357</t>
        </is>
      </c>
      <c r="I711" s="26" t="inlineStr">
        <is>
          <t>TA</t>
        </is>
      </c>
      <c r="J711" s="37" t="inlineStr">
        <is>
          <t>Exclude</t>
        </is>
      </c>
      <c r="K711" s="37" t="inlineStr">
        <is>
          <t>Wrong publication type</t>
        </is>
      </c>
      <c r="L711" s="33" t="inlineStr">
        <is>
          <t>Likely exclude: twin/model terms only in keywords, not in title or abstract</t>
        </is>
      </c>
      <c r="M711" s="37" t="inlineStr">
        <is>
          <t>Panorama de sistemas de control conscientes del contexto ("This article presents a concise overview of applications where context aware systems and control methodologies are relevant"); gemelo sólo como palabra clave y logistica como reto social. Valor para snowballing: bajo.</t>
        </is>
      </c>
      <c r="N711" s="69" t="inlineStr">
        <is>
          <t>E4</t>
        </is>
      </c>
      <c r="O711" s="69" t="n">
        <v>13</v>
      </c>
      <c r="P711" s="69" t="inlineStr">
        <is>
          <t>Exclude</t>
        </is>
      </c>
      <c r="Q711" s="69" t="inlineStr">
        <is>
          <t>E4</t>
        </is>
      </c>
      <c r="R711" s="69" t="inlineStr">
        <is>
          <t>Panorama de sistemas de control conscientes del contexto ("This article presents a concise overview of applications where context aware systems and control methodologies are relevant"); gemelo sólo como palabra clave y logistica como reto social. Valor para snowballing: bajo.</t>
        </is>
      </c>
      <c r="S711" s="69" t="n"/>
    </row>
    <row r="712" ht="23.25" customHeight="1" s="17">
      <c r="A712" s="26" t="inlineStr">
        <is>
          <t>R0711</t>
        </is>
      </c>
      <c r="B712" s="26" t="inlineStr">
        <is>
          <t>Scopus + WoS</t>
        </is>
      </c>
      <c r="C712" s="26" t="inlineStr">
        <is>
          <t>Sharma A.; Zanotti P.; Musunur L.P.</t>
        </is>
      </c>
      <c r="D712" s="26" t="n">
        <v>2020</v>
      </c>
      <c r="E712" s="27" t="inlineStr">
        <is>
          <t>Drive through Robotics: Robotic Automation for Last Mile Distribution of Food and Essentials during Pandemics</t>
        </is>
      </c>
      <c r="F712" s="26" t="inlineStr">
        <is>
          <t>IEEE Access</t>
        </is>
      </c>
      <c r="G712" s="26" t="inlineStr">
        <is>
          <t>Article</t>
        </is>
      </c>
      <c r="H712" s="26" t="inlineStr">
        <is>
          <t>10.1109/access.2020.3007064</t>
        </is>
      </c>
      <c r="I712" s="26" t="inlineStr">
        <is>
          <t>TA</t>
        </is>
      </c>
      <c r="J712" s="37" t="inlineStr">
        <is>
          <t>Exclude</t>
        </is>
      </c>
      <c r="K712" s="37" t="inlineStr">
        <is>
          <t>No digital twin/model</t>
        </is>
      </c>
      <c r="L712" s="33" t="inlineStr">
        <is>
          <t>Likely exclude: twin/model terms only in keywords, not in title or abstract</t>
        </is>
      </c>
      <c r="M712" s="37" t="inlineStr">
        <is>
          <t>Sistema robotico sin contacto para preparar y dispensar alimentos en pandemias ("Design, simulation, and, validation of the system has been completed"); el gemelo sólo como palabra clave de autor, sin aparecer en el resumen, C1.</t>
        </is>
      </c>
      <c r="N712" s="69" t="inlineStr">
        <is>
          <t>E1</t>
        </is>
      </c>
      <c r="O712" s="69" t="n">
        <v>13</v>
      </c>
      <c r="P712" s="69" t="inlineStr">
        <is>
          <t>Exclude</t>
        </is>
      </c>
      <c r="Q712" s="69" t="inlineStr">
        <is>
          <t>E1</t>
        </is>
      </c>
      <c r="R712" s="69" t="inlineStr">
        <is>
          <t>Sistema robotico sin contacto para preparar y dispensar alimentos en pandemias ("Design, simulation, and, validation of the system has been completed"); el gemelo sólo como palabra clave de autor, sin aparecer en el resumen, C1.</t>
        </is>
      </c>
      <c r="S712" s="69" t="n"/>
    </row>
    <row r="713" ht="15" customHeight="1" s="17">
      <c r="A713" s="26" t="inlineStr">
        <is>
          <t>R0712</t>
        </is>
      </c>
      <c r="B713" s="26" t="inlineStr">
        <is>
          <t>WoS</t>
        </is>
      </c>
      <c r="C713" s="26" t="inlineStr">
        <is>
          <t>Tulke, J; Eschenbruch, K; Rimskaia-Korsakova, O; Vega-Torres, MA</t>
        </is>
      </c>
      <c r="D713" s="26" t="n">
        <v>2025</v>
      </c>
      <c r="E713" s="27" t="inlineStr">
        <is>
          <t>Automated construction site-how close is the future?</t>
        </is>
      </c>
      <c r="F713" s="26" t="inlineStr">
        <is>
          <t>BAUINGENIEUR</t>
        </is>
      </c>
      <c r="G713" s="26" t="inlineStr">
        <is>
          <t>Article</t>
        </is>
      </c>
      <c r="H713" s="26" t="inlineStr">
        <is>
          <t>10.37544/0005-6650-2025-11-27</t>
        </is>
      </c>
      <c r="I713" s="26" t="inlineStr">
        <is>
          <t>TA</t>
        </is>
      </c>
      <c r="J713" s="37" t="inlineStr">
        <is>
          <t>Exclude</t>
        </is>
      </c>
      <c r="K713" s="37" t="inlineStr">
        <is>
          <t>Not in English</t>
        </is>
      </c>
      <c r="L713" s="33" t="inlineStr">
        <is>
          <t>Exclude: not in English (German), declared criterion</t>
        </is>
      </c>
      <c r="M713" s="37" t="inlineStr">
        <is>
          <t>Articulo en aleman: WoS Language = German (Bauingenieur), criterio declarado de idioma como R0053; ademas el gemelo aparece sólo como perspectiva futura ("Integrative platforms for multi-robot orchestration and connected digital twin could shape the construction site of the future").</t>
        </is>
      </c>
      <c r="N713" s="69" t="inlineStr">
        <is>
          <t>E5</t>
        </is>
      </c>
      <c r="O713" s="69" t="n">
        <v>13</v>
      </c>
      <c r="P713" s="69" t="inlineStr">
        <is>
          <t>Exclude</t>
        </is>
      </c>
      <c r="Q713" s="69" t="inlineStr">
        <is>
          <t>E5</t>
        </is>
      </c>
      <c r="R713" s="69" t="inlineStr">
        <is>
          <t>Articulo en aleman: WoS Language = German (Bauingenieur), criterio declarado de idioma como R0053; ademas el gemelo aparece sólo como perspectiva futura ("Integrative platforms for multi-robot orchestration and connected digital twin could shape the construction site of the future").</t>
        </is>
      </c>
      <c r="S713" s="69" t="n"/>
    </row>
  </sheetData>
  <autoFilter ref="A1:S713"/>
  <dataValidations count="3">
    <dataValidation sqref="J2:J713" showDropDown="0" showInputMessage="0" showErrorMessage="0" allowBlank="1" type="list">
      <formula1>"Include,Exclude,Unsure"</formula1>
    </dataValidation>
    <dataValidation sqref="I2:I713" showDropDown="0" showInputMessage="0" showErrorMessage="0" allowBlank="1" type="list">
      <formula1>"TA,FT"</formula1>
    </dataValidation>
    <dataValidation sqref="K2:K713" showDropDown="0" showInputMessage="0" showErrorMessage="0" allowBlank="1" type="list">
      <formula1>"No AI/ML component,No digital twin/model,No supply chain scope,Not peer-reviewed,Wrong publication type,Not in English,Duplicate,Other"</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Right" activeCell="A1" sqref="A1"/>
      <selection pane="bottomLeft" activeCell="A1" sqref="A1"/>
      <selection pane="bottomRight" activeCell="A1" activeCellId="0" sqref="A1"/>
      <selection pane="bottomLeft" activeCell="A1" activeCellId="0" sqref="A1"/>
    </sheetView>
  </sheetViews>
  <sheetFormatPr baseColWidth="8" defaultColWidth="8.6796875" defaultRowHeight="15" zeroHeight="0" outlineLevelRow="0"/>
  <cols>
    <col width="9" customWidth="1" style="16" min="1" max="1"/>
    <col width="30" customWidth="1" style="16" min="2" max="2"/>
    <col width="8" customWidth="1" style="16" min="3" max="3"/>
    <col width="26" customWidth="1" style="16" min="4" max="4"/>
    <col width="22" customWidth="1" style="16" min="5" max="5"/>
    <col width="18" customWidth="1" style="16" min="6" max="6"/>
    <col width="16" customWidth="1" style="16" min="7" max="7"/>
    <col width="9" customWidth="1" style="16" min="8" max="12"/>
    <col width="10" customWidth="1" style="16" min="13" max="13"/>
    <col width="20" customWidth="1" style="16" min="14" max="15"/>
    <col width="14" customWidth="1" style="16" min="16" max="16"/>
    <col width="16" customWidth="1" style="16" min="17" max="18"/>
    <col width="34" customWidth="1" style="16" min="19" max="19"/>
    <col width="40" customWidth="1" style="16" min="20" max="20"/>
    <col width="14" customWidth="1" style="16" min="21" max="21"/>
    <col width="12" customWidth="1" style="16" min="22" max="22"/>
    <col width="24" customWidth="1" style="16" min="23" max="23"/>
  </cols>
  <sheetData>
    <row r="1" ht="34.5" customHeight="1" s="17">
      <c r="A1" s="25" t="inlineStr">
        <is>
          <t>ID</t>
        </is>
      </c>
      <c r="B1" s="25" t="inlineStr">
        <is>
          <t>Authors (Harvard)</t>
        </is>
      </c>
      <c r="C1" s="25" t="inlineStr">
        <is>
          <t>Year</t>
        </is>
      </c>
      <c r="D1" s="25" t="inlineStr">
        <is>
          <t>Venue</t>
        </is>
      </c>
      <c r="E1" s="25" t="inlineStr">
        <is>
          <t>DOI</t>
        </is>
      </c>
      <c r="F1" s="25" t="inlineStr">
        <is>
          <t>Evidence type</t>
        </is>
      </c>
      <c r="G1" s="25" t="inlineStr">
        <is>
          <t>Sector</t>
        </is>
      </c>
      <c r="H1" s="25" t="inlineStr">
        <is>
          <t>SCOR: Plan</t>
        </is>
      </c>
      <c r="I1" s="25" t="inlineStr">
        <is>
          <t>SCOR: Source</t>
        </is>
      </c>
      <c r="J1" s="25" t="inlineStr">
        <is>
          <t>SCOR: Make</t>
        </is>
      </c>
      <c r="K1" s="25" t="inlineStr">
        <is>
          <t>SCOR: Deliver</t>
        </is>
      </c>
      <c r="L1" s="25" t="inlineStr">
        <is>
          <t>SCOR: Return</t>
        </is>
      </c>
      <c r="M1" s="25" t="inlineStr">
        <is>
          <t>End-to-end</t>
        </is>
      </c>
      <c r="N1" s="25" t="inlineStr">
        <is>
          <t>AI technique</t>
        </is>
      </c>
      <c r="O1" s="25" t="inlineStr">
        <is>
          <t>AI role in twin</t>
        </is>
      </c>
      <c r="P1" s="25" t="inlineStr">
        <is>
          <t>Integration extent (1-5)</t>
        </is>
      </c>
      <c r="Q1" s="25" t="inlineStr">
        <is>
          <t>HITL role</t>
        </is>
      </c>
      <c r="R1" s="25" t="inlineStr">
        <is>
          <t>HITL function</t>
        </is>
      </c>
      <c r="S1" s="25" t="inlineStr">
        <is>
          <t>Conditions under which HITL changes</t>
        </is>
      </c>
      <c r="T1" s="25" t="inlineStr">
        <is>
          <t>Key finding (own words)</t>
        </is>
      </c>
      <c r="U1" s="25" t="inlineStr">
        <is>
          <t>Page/section for citation</t>
        </is>
      </c>
      <c r="V1" s="25" t="inlineStr">
        <is>
          <t>Use in typology (Y/N)</t>
        </is>
      </c>
      <c r="W1" s="25" t="inlineStr">
        <is>
          <t>Notes</t>
        </is>
      </c>
    </row>
    <row r="2" ht="15" customHeight="1" s="17">
      <c r="A2" s="68" t="inlineStr">
        <is>
          <t>R0001</t>
        </is>
      </c>
      <c r="B2" s="58" t="inlineStr">
        <is>
          <t>Guzmán, E., Andrés, B. and Torres-Polo, M.</t>
        </is>
      </c>
      <c r="C2" s="68" t="n">
        <v>2026</v>
      </c>
      <c r="D2" s="58" t="inlineStr">
        <is>
          <t>Computers and Industrial Engineering</t>
        </is>
      </c>
      <c r="E2" s="68" t="inlineStr">
        <is>
          <t>10.1016/j.cie.2026.112044</t>
        </is>
      </c>
      <c r="F2" s="68" t="inlineStr">
        <is>
          <t>Simulation/synthetic</t>
        </is>
      </c>
      <c r="G2" s="58" t="inlineStr">
        <is>
          <t>Generic/cross-sector (circular supply chain; construction benchmark, transfer to discrete manufacturing, process industries, waste management)</t>
        </is>
      </c>
      <c r="H2" s="68" t="inlineStr">
        <is>
          <t>Y</t>
        </is>
      </c>
      <c r="I2" s="68" t="inlineStr">
        <is>
          <t>N</t>
        </is>
      </c>
      <c r="J2" s="68" t="inlineStr">
        <is>
          <t>Y</t>
        </is>
      </c>
      <c r="K2" s="68" t="inlineStr">
        <is>
          <t>Y</t>
        </is>
      </c>
      <c r="L2" s="68" t="inlineStr">
        <is>
          <t>Y</t>
        </is>
      </c>
      <c r="M2" s="68" t="inlineStr">
        <is>
          <t>N</t>
        </is>
      </c>
      <c r="N2" s="68" t="inlineStr">
        <is>
          <t>Reinforcement learning</t>
        </is>
      </c>
      <c r="O2" s="68" t="inlineStr">
        <is>
          <t>Control</t>
        </is>
      </c>
      <c r="P2" s="68" t="inlineStr">
        <is>
          <t>5 Prescriptive-autonomous</t>
        </is>
      </c>
      <c r="Q2" s="68" t="inlineStr">
        <is>
          <t>Not discussed</t>
        </is>
      </c>
      <c r="R2" s="68" t="inlineStr">
        <is>
          <t>Set objectives/constraints</t>
        </is>
      </c>
      <c r="S2" s="58" t="inlineStr">
        <is>
          <t>No explicit conditions; runtime exceptions (persistent guard hits, KPI drift) trigger an automated heuristic fallback and offline retraining rather than a human; managers select the service-versus-externality operating point and calibrate site-specifically before deployment.</t>
        </is>
      </c>
      <c r="T2" s="58" t="inlineStr">
        <is>
          <t>A five-agent cooperative MARL controller trained in a simulation-based circular-supply-chain DT cut lead time 4.5% and raised OTIF 1.8 p.p. versus no action with bounded cost/CO2 increases, preserved effect signs under shocks, transferred across sectors without retuning; integrated data shifted operations toward lower cost and CO2.</t>
        </is>
      </c>
      <c r="U2" s="58" t="inlineStr">
        <is>
          <t>Key finding: Section 5.1 Benchmark (Table 6, p. 13), 5.2 Shocks (Table 8, p. 15), 5.3 Cross-sector (Table 9, p. 17), 5.4 VoD (Table 10, p. 18), 5.7 Discussion and managerial implications (pp. 19-20), Section 6 Conclusions (pp. 20-21). HITL evidence: Section 3.1 (p. 7, levers 'routinely available to line managers and planners'), 3.2.1 (p. 9, weight vector calibrated to managerial SLA/ESG priorities; expedite policy gating), 3.2.3 Deployment protocol and Algorithm 3 (p. 10, greedy execution, automated guards and heuristic fallback, no human approval step), 5.1 (p. 14, operating point selected by priority), 5.7 (p. 20, manager assembles deployment brief and lever configuration), Section 6 (p. 21, shadow-mode pilots as future work).</t>
        </is>
      </c>
      <c r="V2" s="68" t="inlineStr">
        <is>
          <t>Y</t>
        </is>
      </c>
      <c r="W2" s="58" t="inlineStr">
        <is>
          <t>FT 2026-09-06: Incluido: gemelo digital basado en simulación (datos sintéticos, sin flujos en vivo) acoplado a MARL cooperativo de cinco agentes que ejecuta decisiones de planificación, inventario, logística, expedición y reciclaje en cadena circular de dos escalones. Dudas: ¿DT o modelo digital?; rol humano no discutido (solo fija pesos/umbrales); Source y extremo a extremo no cubiertos. | FT 2026-09-06: Incluido: gemelo digital basado en simulación (datos sintéticos, sin flujos en vivo) acoplado a MARL cooperativo de cinco agentes que ejecuta decisiones de planificación, inventario, logística, expedición y reciclaje en cadena circular de dos escalones. Dudas: ¿DT o modelo digital?; rol humano no discutido (solo fija pesos/umbrales); Source y extremo a extremo no cubiertos. | FT 2026-09-06: Incluido: gemelo digital basado en simulación (datos sintéticos, sin flujos en vivo) acoplado a MARL cooperativo de cinco agentes que ejecuta decisiones de planificación, inventario, logística, expedición y reciclaje en cadena circular de dos escalones. Dudas: ¿DT o modelo digital?; rol humano no discutido (solo fija pesos/umbrales); Source y extremo a extremo no cubiertos. | FT 2026-09-06: Incluido: gemelo digital basado en simulación (datos sintéticos, sin flujos en vivo) acoplado a MARL cooperativo de cinco agentes que ejecuta decisiones de planificación, inventario, logística, expedición y reciclaje en cadena circular de dos escalones. Dudas: ¿DT o modelo digital?; rol humano no discutido (solo fija pesos/umbrales); Source y extremo a extremo no cubiertos.</t>
        </is>
      </c>
    </row>
    <row r="3">
      <c r="A3" s="69" t="inlineStr">
        <is>
          <t>R0003</t>
        </is>
      </c>
      <c r="B3" s="49" t="inlineStr">
        <is>
          <t>Dong, Y. and Jin, S.</t>
        </is>
      </c>
      <c r="C3" s="69" t="n">
        <v>2026</v>
      </c>
      <c r="D3" s="49" t="inlineStr">
        <is>
          <t>Proceedings of International Conference on Intelligent Computing, ICONIC 2026</t>
        </is>
      </c>
      <c r="E3" s="69" t="inlineStr">
        <is>
          <t>10.1109/iconic67661.2026.11517868</t>
        </is>
      </c>
      <c r="F3" s="69" t="n"/>
      <c r="G3" s="69" t="n"/>
      <c r="H3" s="69" t="n"/>
      <c r="I3" s="69" t="n"/>
      <c r="J3" s="69" t="n"/>
      <c r="K3" s="69" t="n"/>
      <c r="L3" s="69" t="n"/>
      <c r="M3" s="69" t="n"/>
      <c r="N3" s="69" t="n"/>
      <c r="O3" s="69" t="n"/>
      <c r="P3" s="69" t="n"/>
      <c r="Q3" s="69" t="n"/>
      <c r="R3" s="69" t="n"/>
      <c r="S3" s="49" t="n"/>
      <c r="T3" s="49" t="n"/>
      <c r="U3" s="69" t="n"/>
      <c r="V3" s="69" t="n"/>
      <c r="W3" s="49" t="inlineStr">
        <is>
          <t>FT: NOT RETRIEVED. NO RECUPERADO: IEEE Xplore muestra 'Access provided by: Tec Monterrey' pero el texto se corta tras el primer párrafo de la Introducción con 'Sign in to Continue Reading' (esperé 8 s + 6 s; secciones II-V nunca cargaron). Proxy Hull no aplica a IEEE. Semantic Scholar: isOpenAccess=false, sin PDF abierto. Requiere descarga manual del PDF (ICONIC 2026, DOI arriba).</t>
        </is>
      </c>
    </row>
    <row r="4">
      <c r="A4" s="69" t="inlineStr">
        <is>
          <t>R0004</t>
        </is>
      </c>
      <c r="B4" s="49" t="inlineStr">
        <is>
          <t>Chauhan, P., Adhana, D.K. and Saxena, M.</t>
        </is>
      </c>
      <c r="C4" s="69" t="n">
        <v>2026</v>
      </c>
      <c r="D4" s="49" t="inlineStr">
        <is>
          <t>2026 2nd International Conference on Big Data and Machine Learning, ICBDML 2026</t>
        </is>
      </c>
      <c r="E4" s="69" t="inlineStr">
        <is>
          <t>10.1109/icbdml68582.2026.11544180</t>
        </is>
      </c>
      <c r="F4" s="69" t="n"/>
      <c r="G4" s="69" t="n"/>
      <c r="H4" s="69" t="n"/>
      <c r="I4" s="69" t="n"/>
      <c r="J4" s="69" t="n"/>
      <c r="K4" s="69" t="n"/>
      <c r="L4" s="69" t="n"/>
      <c r="M4" s="69" t="n"/>
      <c r="N4" s="69" t="n"/>
      <c r="O4" s="69" t="n"/>
      <c r="P4" s="69" t="n"/>
      <c r="Q4" s="69" t="n"/>
      <c r="R4" s="69" t="n"/>
      <c r="S4" s="49" t="n"/>
      <c r="T4" s="49" t="n"/>
      <c r="U4" s="69" t="n"/>
      <c r="V4" s="69" t="n"/>
      <c r="W4" s="49" t="inlineStr">
        <is>
          <t>FT: NOT RETRIEVED. NO RECUPERADO: IEEE Xplore muestra 'Access provided by: Tec Monterrey' pero el texto se corta tras el primer párrafo de la Introducción con 'Sign in to Continue Reading' (esperé 8 s + 8 s; secciones II-V nunca cargaron). Proxy Hull no aplica a IEEE. Semantic Scholar: isOpenAccess=false, sin PDF abierto. Requiere descarga manual del PDF (ICBDML 2026, DOI arriba).</t>
        </is>
      </c>
    </row>
    <row r="5">
      <c r="A5" s="69" t="inlineStr">
        <is>
          <t>R0008</t>
        </is>
      </c>
      <c r="B5" s="49" t="inlineStr">
        <is>
          <t>Kaarlela, T., Alekseev, S., Maljamäki, P., Ikäheimo, E. and Kurvinen, E.</t>
        </is>
      </c>
      <c r="C5" s="69" t="n">
        <v>2026</v>
      </c>
      <c r="D5" s="49" t="inlineStr">
        <is>
          <t>Transportation Engineering</t>
        </is>
      </c>
      <c r="E5" s="69" t="inlineStr">
        <is>
          <t>10.1016/j.treng.2026.100426</t>
        </is>
      </c>
      <c r="F5" s="69" t="inlineStr">
        <is>
          <t>Empirical case</t>
        </is>
      </c>
      <c r="G5" s="49" t="inlineStr">
        <is>
          <t>Road freight/transport logistics (heavy-duty electric trucks)</t>
        </is>
      </c>
      <c r="H5" s="69" t="inlineStr">
        <is>
          <t>Y</t>
        </is>
      </c>
      <c r="I5" s="69" t="inlineStr">
        <is>
          <t>N</t>
        </is>
      </c>
      <c r="J5" s="69" t="inlineStr">
        <is>
          <t>N</t>
        </is>
      </c>
      <c r="K5" s="69" t="inlineStr">
        <is>
          <t>Y</t>
        </is>
      </c>
      <c r="L5" s="69" t="inlineStr">
        <is>
          <t>N</t>
        </is>
      </c>
      <c r="M5" s="69" t="inlineStr">
        <is>
          <t>N</t>
        </is>
      </c>
      <c r="N5" s="69" t="inlineStr">
        <is>
          <t>Classical ML</t>
        </is>
      </c>
      <c r="O5" s="69" t="inlineStr">
        <is>
          <t>Forecasting/estimation</t>
        </is>
      </c>
      <c r="P5" s="69" t="inlineStr">
        <is>
          <t>4 Prescriptive-advisory</t>
        </is>
      </c>
      <c r="Q5" s="69" t="inlineStr">
        <is>
          <t>Maintained</t>
        </is>
      </c>
      <c r="R5" s="69" t="inlineStr">
        <is>
          <t>Set objectives/constraints</t>
        </is>
      </c>
      <c r="S5" s="49" t="inlineStr">
        <is>
          <t>Not explicitly discussed; the human remains the decision-maker because infrastructure analysis is what-if decision support without formal optimisation. Future predictive control, AI-assisted fleet scheduling and operator-in-the-loop capabilities would change this configuration.</t>
        </is>
      </c>
      <c r="T5" s="49" t="inlineStr">
        <is>
          <t>Gradient Boosting on 180+ real winter trips predicts electric-truck depth of discharge (R2=0.58; load, torque and weight dominate), feeding energy-optimal Dijkstra routing; a TruckMaker-calibrated digital twin with virtual interface lets planners test charger/fleet scenarios; co-simulation reproduces speed (R2~0.99). Infrastructure analysis remains what-if decision support, not optimisation.</t>
        </is>
      </c>
      <c r="U5" s="49" t="inlineStr">
        <is>
          <t>Key finding: Abstract; Sect. 3.3.3 (ML + Dijkstra routing), 3.3.4 (DT model), 3.3.5 (co-simulation); Sect. 4.1 (Figs. 7-8, R2=0.58), 4.2, 4.3 (Fig. 13). HITL: Sect. 3.3.4 (interface users), 3.3.7 Workflow, 4.2 (decision support rather than formal optimization), 5 (operator-in-the-loop as future work). No page numbers visible (article 100426).</t>
        </is>
      </c>
      <c r="V5" s="69" t="inlineStr">
        <is>
          <t>Y</t>
        </is>
      </c>
      <c r="W5" s="49" t="inlineStr">
        <is>
          <t>FT 2026-09-06: Incluido: DT del camión eléctrico (TruckMaker, calibrado con datos reales, 3.3.4); entorno logístico (piloto DB Schenker, planificadores de rutas/carga); Gradient Boosting predice DoD y alimenta rutas óptimas. Dudas: DT «no es una réplica exacta»; ML acoplado al marco, no dentro del DT; HITL implícito; nivel 4 por rutas óptimas, infraestructura solo what-if (nivel 3). | FT 2026-09-06: Incluido: DT del camión eléctrico (TruckMaker, calibrado con datos reales, 3.3.4); entorno logístico (piloto DB Schenker, planificadores de rutas/carga); Gradient Boosting predice DoD y alimenta rutas óptimas. Dudas: DT «no es una réplica exacta»; ML acoplado al marco, no dentro del DT; HITL implícito; nivel 4 por rutas óptimas, infraestructura solo what-if (nivel 3). | FT 2026-09-06: Incluido: DT del camión eléctrico (TruckMaker, calibrado con datos reales, 3.3.4); entorno logístico (piloto DB Schenker, planificadores de rutas/carga); Gradient Boosting predice DoD y alimenta rutas óptimas. Dudas: DT «no es una réplica exacta»; ML acoplado al marco, no dentro del DT; HITL implícito; nivel 4 por rutas óptimas, infraestructura solo what-if (nivel 3). | FT 2026-09-06: Incluido: DT del camión eléctrico (TruckMaker, calibrado con datos reales, 3.3.4); entorno logístico (piloto DB Schenker, planificadores de rutas/carga); Gradient Boosting predice DoD y alimenta rutas óptimas. Dudas: DT «no es una réplica exacta»; ML acoplado al marco, no dentro del DT; HITL implícito; nivel 4 por rutas óptimas, infraestructura solo what-if (nivel 3).</t>
        </is>
      </c>
    </row>
    <row r="6">
      <c r="A6" s="69" t="inlineStr">
        <is>
          <t>R0009</t>
        </is>
      </c>
      <c r="B6" s="49" t="inlineStr">
        <is>
          <t>Han, F., Liu, L. and Sun, J.</t>
        </is>
      </c>
      <c r="C6" s="69" t="n">
        <v>2026</v>
      </c>
      <c r="D6" s="49" t="inlineStr">
        <is>
          <t>Scientific Reports</t>
        </is>
      </c>
      <c r="E6" s="69" t="inlineStr">
        <is>
          <t>10.1038/s41598-026-43380-4</t>
        </is>
      </c>
      <c r="F6" s="69" t="inlineStr">
        <is>
          <t>Simulation/synthetic</t>
        </is>
      </c>
      <c r="G6" s="49" t="inlineStr">
        <is>
          <t>Warehousing</t>
        </is>
      </c>
      <c r="H6" s="69" t="inlineStr">
        <is>
          <t>N</t>
        </is>
      </c>
      <c r="I6" s="69" t="inlineStr">
        <is>
          <t>N</t>
        </is>
      </c>
      <c r="J6" s="69" t="inlineStr">
        <is>
          <t>N</t>
        </is>
      </c>
      <c r="K6" s="69" t="inlineStr">
        <is>
          <t>Y</t>
        </is>
      </c>
      <c r="L6" s="69" t="inlineStr">
        <is>
          <t>N</t>
        </is>
      </c>
      <c r="M6" s="69" t="inlineStr">
        <is>
          <t>N</t>
        </is>
      </c>
      <c r="N6" s="69" t="inlineStr">
        <is>
          <t>Hybrid</t>
        </is>
      </c>
      <c r="O6" s="69" t="inlineStr">
        <is>
          <t>Forecasting/estimation</t>
        </is>
      </c>
      <c r="P6" s="69" t="inlineStr">
        <is>
          <t>4 Prescriptive-advisory</t>
        </is>
      </c>
      <c r="Q6" s="69" t="inlineStr">
        <is>
          <t>Maintained</t>
        </is>
      </c>
      <c r="R6" s="69" t="inlineStr">
        <is>
          <t>Approve/override</t>
        </is>
      </c>
      <c r="S6" s="49" t="inlineStr">
        <is>
          <t>Human review when classification confidence is below a predefined threshold (e.g., &lt;0.85); technicians validate/correct predicted fault type during interventions (active learning); operator verification tolerated for mobile equipment; crews intensify inspections within ~200 cycles of predicted end-of-life.</t>
        </is>
      </c>
      <c r="T6" s="49" t="inlineStr">
        <is>
          <t>Three-layer IoT-digital twin-ML architecture for predictive maintenance of distribution-centre equipment (forklifts, conveyors, AGVs): ensemble anomaly detection (F1 0.915), LSTM/RF RUL prediction (R2 0.907), fault classification (92.1%); reported 42% less unplanned downtime and 4.5-month payback; low-confidence predictions routed to technicians, whose corrections retrain models.</t>
        </is>
      </c>
      <c r="U6" s="49" t="inlineStr">
        <is>
          <t>Key finding: Abstract; Introduction (contributions list); Research methodology - Digital twin model construction; Results and discussion - Tables 4, 7, 9, 12, 13 and Fig. 11. HITL: Research methodology - Failure classification (HITL validation via dashboards, confidence threshold &lt;0.85, active learning, Cross-Verification Protocol with two experts); Results and discussion - Anomaly detection performance (Table 5 commentary, operator verification for forklifts) and final paragraph (XAI 3D visualization, 'integrative Human-Machine setting'); Future directions (autonomously controlled DT). No page numbers visible (HTML version).</t>
        </is>
      </c>
      <c r="V6" s="69" t="inlineStr">
        <is>
          <t>Y</t>
        </is>
      </c>
      <c r="W6" s="49" t="inlineStr">
        <is>
          <t>FT 2026-09-06: Incluido: gemelo de activos logísticos (montacargas, transportadores, AGV) en centro de distribución; ML ejecutado (iForest, autoencoder, LSTM, RF, CNN); HITL explícito (umbral 0,85, aprendizaje activo, XAI). Dudas: 'Data availability' afirma que todos los datos de sensores son simulados, contradiciendo el piloto de 12 meses/150 equipos (evidence_type); frases incoherentes; nivel 3 vs 4; SCOR solo Deliver (mantenimiento = Enable). | FT 2026-09-06: Incluido: gemelo de activos logísticos (montacargas, transportadores, AGV) en centro de distribución; ML ejecutado (iForest, autoencoder, LSTM, RF, CNN); HITL explícito (umbral 0,85, aprendizaje activo, XAI). Dudas: 'Data availability' afirma que todos los datos de sensores son simulados, contradiciendo el piloto de 12 meses/150 equipos (evidence_type); frases incoherentes; nivel 3 vs 4; SCOR solo Deliver (mantenimiento = Enable). | FT 2026-09-06: Incluido: gemelo de activos logísticos (montacargas, transportadores, AGV) en centro de distribución; ML ejecutado (iForest, autoencoder, LSTM, RF, CNN); HITL explícito (umbral 0,85, aprendizaje activo, XAI). Dudas: 'Data availability' afirma que todos los datos de sensores son simulados, contradiciendo el piloto de 12 meses/150 equipos (evidence_type); frases incoherentes; nivel 3 vs 4; SCOR solo Deliver (mantenimiento = Enable). | FT 2026-09-06: Incluido: gemelo de activos logísticos (montacargas, transportadores, AGV) en centro de distribución; ML ejecutado (iForest, autoencoder, LSTM, RF, CNN); HITL explícito (umbral 0,85, aprendizaje activo, XAI). Dudas: 'Data availability' afirma que todos los datos de sensores son simulados, contradiciendo el piloto de 12 meses/150 equipos (evidence_type); frases incoherentes; nivel 3 vs 4; SCOR solo Deliver (mantenimiento = Enable).</t>
        </is>
      </c>
    </row>
    <row r="7">
      <c r="A7" s="69" t="inlineStr">
        <is>
          <t>R0011</t>
        </is>
      </c>
      <c r="B7" s="49" t="inlineStr">
        <is>
          <t>Ivanov, D.</t>
        </is>
      </c>
      <c r="C7" s="69" t="n">
        <v>2026</v>
      </c>
      <c r="D7" s="49" t="inlineStr">
        <is>
          <t>Computers and Operations Research</t>
        </is>
      </c>
      <c r="E7" s="69" t="inlineStr">
        <is>
          <t>10.1016/j.cor.2026.107563</t>
        </is>
      </c>
      <c r="F7" s="69" t="inlineStr">
        <is>
          <t>Conceptual</t>
        </is>
      </c>
      <c r="G7" s="49" t="inlineStr">
        <is>
          <t>Generic/cross-sector</t>
        </is>
      </c>
      <c r="H7" s="69" t="inlineStr">
        <is>
          <t>Y</t>
        </is>
      </c>
      <c r="I7" s="69" t="inlineStr">
        <is>
          <t>Y</t>
        </is>
      </c>
      <c r="J7" s="69" t="inlineStr">
        <is>
          <t>Y</t>
        </is>
      </c>
      <c r="K7" s="69" t="inlineStr">
        <is>
          <t>Y</t>
        </is>
      </c>
      <c r="L7" s="69" t="inlineStr">
        <is>
          <t>N</t>
        </is>
      </c>
      <c r="M7" s="69" t="inlineStr">
        <is>
          <t>Y</t>
        </is>
      </c>
      <c r="N7" s="69" t="inlineStr">
        <is>
          <t>LLM/agent</t>
        </is>
      </c>
      <c r="O7" s="69" t="inlineStr">
        <is>
          <t>Decision support</t>
        </is>
      </c>
      <c r="P7" s="69" t="inlineStr">
        <is>
          <t>5 Prescriptive-autonomous</t>
        </is>
      </c>
      <c r="Q7" s="69" t="inlineStr">
        <is>
          <t>Reduced</t>
        </is>
      </c>
      <c r="R7" s="69" t="inlineStr">
        <is>
          <t>Set objectives/constraints</t>
        </is>
      </c>
      <c r="S7" s="49" t="inlineStr">
        <is>
          <t>Humans keep rule/policy definition, validation and verification of AI outputs (hallucination, reliability), and creative or non-standardized adaptation; agentic AI takes routine reasoning and orchestration. Industry 7.0 scenarios range from zero human intervention (cybernetic technocracy) to balanced human-in-the-loop.</t>
        </is>
      </c>
      <c r="T7" s="49" t="inlineStr">
        <is>
          <t>Conceptualises Industry 6.0 as a digital-twin-driven, agentic-AI ecosystem and proposes a 7-layer OR-AI symbiosis architecture for agentic digital twins (infrastructure to resilience intelligence) in which OR models become continuous orchestration engines, agents autonomously synchronise cross-firm MPS/MRP, and managers define decision rules while validating AI outputs.</t>
        </is>
      </c>
      <c r="U7" s="49" t="inlineStr">
        <is>
          <t>Key finding: Sec. 4.2 'OR-AI symbiosis' (Fig. 6 7-layer architecture; MPS/MRP orchestration paragraph). HITL: Sec. 1 (managers define rules/policies, decisions emerge); Sec. 4.1.2 'Artificial intelligence' (human-in-the-loop AI); Sec. 4.1.3 (agentic AI independent of continuous human oversight); Sec. 4.4 'Practical examples' (planner queries fulfillment plan, risk agents alert planners); Sec. 5.1 (validation/verification; HITL vs cybernetic technocracy scenarios); Sec. 5.2 (HITL research directions). No page numbers visible (article 107563).</t>
        </is>
      </c>
      <c r="V7" s="69" t="inlineStr">
        <is>
          <t>Y</t>
        </is>
      </c>
      <c r="W7" s="49" t="inlineStr">
        <is>
          <t>FT 2026-09-06: Incluido: viewpoint conceptual cuyo objeto es el gemelo digital agéntico con IA constitutiva (arquitectura OR-IA de 7 capas; agentes LLM; IA generativa para detectar disrupciones). Dudas: integration_extent 5 por orquestación autónoma MPS/MRP, aunque los ejemplos Microsoft/Ford son nivel 4; hitl_role Reduced (Tabla 1: la IA reemplaza el trabajo supervisorio) frente a Elevated; ai_technique podría ser Hybrid (OR+IA). | FT 2026-09-06: Incluido: viewpoint conceptual cuyo objeto es el gemelo digital agéntico con IA constitutiva (arquitectura OR-IA de 7 capas; agentes LLM; IA generativa para detectar disrupciones). Dudas: integration_extent 5 por orquestación autónoma MPS/MRP, aunque los ejemplos Microsoft/Ford son nivel 4; hitl_role Reduced (Tabla 1: la IA reemplaza el trabajo supervisorio) frente a Elevated; ai_technique podría ser Hybrid (OR+IA). | FT 2026-09-06: Incluido: viewpoint conceptual cuyo objeto es el gemelo digital agéntico con IA constitutiva (arquitectura OR-IA de 7 capas; agentes LLM; IA generativa para detectar disrupciones). Dudas: integration_extent 5 por orquestación autónoma MPS/MRP, aunque los ejemplos Microsoft/Ford son nivel 4; hitl_role Reduced (Tabla 1: la IA reemplaza el trabajo supervisorio) frente a Elevated; ai_technique podría ser Hybrid (OR+IA). | FT 2026-09-06: Incluido: viewpoint conceptual cuyo objeto es el gemelo digital agéntico con IA constitutiva (arquitectura OR-IA de 7 capas; agentes LLM; IA generativa para detectar disrupciones). Dudas: integration_extent 5 por orquestación autónoma MPS/MRP, aunque los ejemplos Microsoft/Ford son nivel 4; hitl_role Reduced (Tabla 1: la IA reemplaza el trabajo supervisorio) frente a Elevated; ai_technique podría ser Hybrid (OR+IA).</t>
        </is>
      </c>
    </row>
    <row r="8">
      <c r="A8" s="69" t="inlineStr">
        <is>
          <t>R0012</t>
        </is>
      </c>
      <c r="B8" s="49" t="inlineStr">
        <is>
          <t>Geethani, M., Kulatunga, A. and Dharmapriya, S.</t>
        </is>
      </c>
      <c r="C8" s="69" t="n">
        <v>2026</v>
      </c>
      <c r="D8" s="49" t="inlineStr">
        <is>
          <t>Lecture Notes in Mechanical Engineering</t>
        </is>
      </c>
      <c r="E8" s="69" t="inlineStr">
        <is>
          <t>10.1007/978-3-032-21157-6_23</t>
        </is>
      </c>
      <c r="F8" s="69" t="n"/>
      <c r="G8" s="69" t="n"/>
      <c r="H8" s="69" t="n"/>
      <c r="I8" s="69" t="n"/>
      <c r="J8" s="69" t="n"/>
      <c r="K8" s="69" t="n"/>
      <c r="L8" s="69" t="n"/>
      <c r="M8" s="69" t="n"/>
      <c r="N8" s="69" t="n"/>
      <c r="O8" s="69" t="n"/>
      <c r="P8" s="69" t="n"/>
      <c r="Q8" s="69" t="n"/>
      <c r="R8" s="69" t="n"/>
      <c r="S8" s="49" t="n"/>
      <c r="T8" s="49" t="n"/>
      <c r="U8" s="69" t="n"/>
      <c r="V8" s="69" t="n"/>
      <c r="W8" s="49" t="inlineStr">
        <is>
          <t>FT: EXCLUDED - No AI/ML component. Texto completo OA (proxy Hull). Marco conceptual de gemelo de cuatro capas (ISO 23247) para LCA dinámico de la cadena; 'machine learning' aparece solo en el resumen como capacidad genérica del gemelo; el cuerpo no especifica ningún método de IA (analítica = LCI/LCIA, simulación, 'optimización de recursos' sin método). Sin implementación (validación = trabajo futuro). Excluir: sin componente IA/ML.</t>
        </is>
      </c>
    </row>
    <row r="9">
      <c r="A9" s="69" t="inlineStr">
        <is>
          <t>R0013</t>
        </is>
      </c>
      <c r="B9" s="49" t="inlineStr">
        <is>
          <t>Padovano, A., Sammarco, C., Tripudio, E. and Morinaga, E.</t>
        </is>
      </c>
      <c r="C9" s="69" t="n">
        <v>2026</v>
      </c>
      <c r="D9" s="49" t="inlineStr">
        <is>
          <t>Supply Chain Analytics</t>
        </is>
      </c>
      <c r="E9" s="69" t="inlineStr">
        <is>
          <t>10.1016/j.sca.2026.100221</t>
        </is>
      </c>
      <c r="F9" s="69" t="n"/>
      <c r="G9" s="69" t="n"/>
      <c r="H9" s="69" t="n"/>
      <c r="I9" s="69" t="n"/>
      <c r="J9" s="69" t="n"/>
      <c r="K9" s="69" t="n"/>
      <c r="L9" s="69" t="n"/>
      <c r="M9" s="69" t="n"/>
      <c r="N9" s="69" t="n"/>
      <c r="O9" s="69" t="n"/>
      <c r="P9" s="69" t="n"/>
      <c r="Q9" s="69" t="n"/>
      <c r="R9" s="69" t="n"/>
      <c r="S9" s="49" t="n"/>
      <c r="T9" s="49" t="n"/>
      <c r="U9" s="69" t="n"/>
      <c r="V9" s="69" t="n"/>
      <c r="W9" s="49" t="inlineStr">
        <is>
          <t>FT: EXCLUDED - No digital twin / digital model. Excluir: el gemelo digital es solo contexto y despliegue prospectivo (Abstract, 1, 5.1–5.2); no se implementa, simula ni diseña con componentes/flujos. Lo construido: MILP RAS, surrogates ML (RF, Extra Trees) y SHAP sobre 7.500 instancias sintéticas de cadena cerealera. Cumple criterios 2 y 3. Duda: si Rodrigo acepta el mapeo de 5.2 como diseño, sería nivel 4, HITL mantenido (interpretar/anular).</t>
        </is>
      </c>
    </row>
    <row r="10">
      <c r="A10" s="69" t="inlineStr">
        <is>
          <t>R0018</t>
        </is>
      </c>
      <c r="B10" s="49" t="inlineStr">
        <is>
          <t>Jin, B., Zhang, Y., Qiu, W. and Quan, H.</t>
        </is>
      </c>
      <c r="C10" s="69" t="n">
        <v>2026</v>
      </c>
      <c r="D10" s="49" t="inlineStr">
        <is>
          <t>2026 Innovations in Machine, Engineering, and Digital Conference, IMED 2026</t>
        </is>
      </c>
      <c r="E10" s="69" t="inlineStr">
        <is>
          <t>10.1109/imed68921.2026.11484180</t>
        </is>
      </c>
      <c r="F10" s="69" t="n"/>
      <c r="G10" s="69" t="n"/>
      <c r="H10" s="69" t="n"/>
      <c r="I10" s="69" t="n"/>
      <c r="J10" s="69" t="n"/>
      <c r="K10" s="69" t="n"/>
      <c r="L10" s="69" t="n"/>
      <c r="M10" s="69" t="n"/>
      <c r="N10" s="69" t="n"/>
      <c r="O10" s="69" t="n"/>
      <c r="P10" s="69" t="n"/>
      <c r="Q10" s="69" t="n"/>
      <c r="R10" s="69" t="n"/>
      <c r="S10" s="49" t="n"/>
      <c r="T10" s="49" t="n"/>
      <c r="U10" s="69" t="n"/>
      <c r="V10" s="69" t="n"/>
      <c r="W10"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11">
      <c r="A11" s="69" t="inlineStr">
        <is>
          <t>R0024</t>
        </is>
      </c>
      <c r="B11" s="49" t="inlineStr">
        <is>
          <t>Menachof, D.A. and Sayeed, S.A.</t>
        </is>
      </c>
      <c r="C11" s="69" t="n">
        <v>2026</v>
      </c>
      <c r="D11" s="49" t="inlineStr">
        <is>
          <t>WMU Journal of Maritime Affairs</t>
        </is>
      </c>
      <c r="E11" s="69" t="inlineStr">
        <is>
          <t>10.1007/s13437-026-00428-6</t>
        </is>
      </c>
      <c r="F11" s="69" t="n"/>
      <c r="G11" s="69" t="n"/>
      <c r="H11" s="69" t="n"/>
      <c r="I11" s="69" t="n"/>
      <c r="J11" s="69" t="n"/>
      <c r="K11" s="69" t="n"/>
      <c r="L11" s="69" t="n"/>
      <c r="M11" s="69" t="n"/>
      <c r="N11" s="69" t="n"/>
      <c r="O11" s="69" t="n"/>
      <c r="P11" s="69" t="n"/>
      <c r="Q11" s="69" t="n"/>
      <c r="R11" s="69" t="n"/>
      <c r="S11" s="49" t="n"/>
      <c r="T11" s="49" t="n"/>
      <c r="U11" s="69" t="n"/>
      <c r="V11" s="69" t="n"/>
      <c r="W11" s="49" t="inlineStr">
        <is>
          <t>FT: EXCLUDED - Other (note reason). Texto completo vía proxy Hull (10 secciones y 7 tablas). Revisión narrativa/síntesis conceptual sin método propio: no implementa ni diseña un gemelo (Fig. 1 es solo esquema conceptual) y los métodos IA (LSTM, RF, RL) se reportan de Samaei y Ghafari 2025. Excluir: Other = review. Contiene ideas HITL de segunda mano (Industria 5.0, bucle Percepción–Decisión–Ejecución, 'augmentation').</t>
        </is>
      </c>
    </row>
    <row r="12">
      <c r="A12" s="69" t="inlineStr">
        <is>
          <t>R0025</t>
        </is>
      </c>
      <c r="B12" s="49" t="inlineStr">
        <is>
          <t>Schwede, C., Schipper, L. and Cirullies, J.</t>
        </is>
      </c>
      <c r="C12" s="69" t="n">
        <v>2026</v>
      </c>
      <c r="D12" s="49" t="inlineStr">
        <is>
          <t>ICCMB 2026 - Proceedings of 2026 the 9th International Conference on Computers in Management and Business</t>
        </is>
      </c>
      <c r="E12" s="69" t="inlineStr">
        <is>
          <t>10.1145/3802463.3802479</t>
        </is>
      </c>
      <c r="F12" s="69" t="inlineStr">
        <is>
          <t>Empirical case</t>
        </is>
      </c>
      <c r="G12" s="49" t="inlineStr">
        <is>
          <t>Discrete manufacturing / electronics assembly (laboratory IoT-Factory, HSBI Bielefeld; smart product in ~150 variants, mobile robots for parts supply)</t>
        </is>
      </c>
      <c r="H12" s="69" t="inlineStr">
        <is>
          <t>N</t>
        </is>
      </c>
      <c r="I12" s="69" t="inlineStr">
        <is>
          <t>N</t>
        </is>
      </c>
      <c r="J12" s="69" t="inlineStr">
        <is>
          <t>Y</t>
        </is>
      </c>
      <c r="K12" s="69" t="inlineStr">
        <is>
          <t>N</t>
        </is>
      </c>
      <c r="L12" s="69" t="inlineStr">
        <is>
          <t>N</t>
        </is>
      </c>
      <c r="M12" s="69" t="inlineStr">
        <is>
          <t>N</t>
        </is>
      </c>
      <c r="N12" s="69" t="inlineStr">
        <is>
          <t>LLM/agent</t>
        </is>
      </c>
      <c r="O12" s="69" t="inlineStr">
        <is>
          <t>Other</t>
        </is>
      </c>
      <c r="P12" s="69" t="inlineStr">
        <is>
          <t>1 Descriptive</t>
        </is>
      </c>
      <c r="Q12" s="69" t="inlineStr">
        <is>
          <t>Elevated</t>
        </is>
      </c>
      <c r="R12" s="69" t="inlineStr">
        <is>
          <t>Set objectives/constraints; Approve/override; Interpret outputs</t>
        </is>
      </c>
      <c r="S12" s="49" t="inlineStr">
        <is>
          <t>Planner states the structural change in natural language; agents plan via RAG, retrieve OFacT documentation/state model and execute edits; planner reviews responses and a validation step confirms intent alignment; simulation-expert step instructions eliminated; real-planner evaluation pending.</t>
        </is>
      </c>
      <c r="T12" s="49" t="inlineStr">
        <is>
          <t>Agentic LLM system (five Smolagents code agents, ReAct, RAG over OFacT documentation/state model; Qwen3-32B) lets non-experts structurally adapt an event-log-generated material-flow twin of a lab assembly factory via natural language; lean multi-agent, RAG planning and non-reasoning LLMs performed best (up to 100% success), removing expert-authored step instructions.</t>
        </is>
      </c>
      <c r="U12" s="49" t="inlineStr">
        <is>
          <t>Key finding: Section 3 LLM-based Design Assistant (architecture, Figure 1), 4.1 Evaluation Scenarios and Design Variants, 4.2 Results (Table 1), 4.3 Comparison with Former Framework (Figure 2), 5 Summary and Outlook (HTML without page numbers; proceedings pp. 102-106). HITL evidence: Abstract (natural-language interaction with non-expert users); 1 Introduction paras 2-3 (step instructions only authorable by simulation experts, eliminated); 2.3 last para (workflow enabling production experts); 4.1 (user interaction time = composing prompts and reviewing responses); 4.3 (additional validation step to ensure alignment with the user's intent); 5 Summary (supply chain and production planners directly adapt SBDTs; limitation ii: evaluation with real production planners pending).</t>
        </is>
      </c>
      <c r="V12" s="69" t="inlineStr">
        <is>
          <t>Y</t>
        </is>
      </c>
      <c r="W12" s="49" t="inlineStr">
        <is>
          <t>FT 2026-09-06: Incluido: SBDT de flujo de materiales (OFacT, autogenerado de event logs; IoT-Factory de laboratorio) adaptado por IA agéntica (5 agentes Smolagents, ReAct, RAG, Qwen3-32B) vía lenguaje natural del planificador no experto, que redacta prompts y valida resultados. Dudas: caso de producción con encuadre SC/logístico del paper; evidence_type (¿Simulation/synthetic?); nivel 1 (IA en capa de modelado) vs 4; Elevated vs Reduced. | FT 2026-09-06: Incluido: SBDT de flujo de materiales (OFacT, autogenerado de event logs; IoT-Factory de laboratorio) adaptado por IA agéntica (5 agentes Smolagents, ReAct, RAG, Qwen3-32B) vía lenguaje natural del planificador no experto, que redacta prompts y valida resultados. Dudas: caso de producción con encuadre SC/logístico del paper; evidence_type (¿Simulation/synthetic?); nivel 1 (IA en capa de modelado) vs 4; Elevated vs Reduced. | FT 2026-09-06: Incluido: SBDT de flujo de materiales (OFacT, autogenerado de event logs; IoT-Factory de laboratorio) adaptado por IA agéntica (5 agentes Smolagents, ReAct, RAG, Qwen3-32B) vía lenguaje natural del planificador no experto, que redacta prompts y valida resultados. Dudas: caso de producción con encuadre SC/logístico del paper; evidence_type (¿Simulation/synthetic?); nivel 1 (IA en capa de modelado) vs 4; Elevated vs Reduced. | FT 2026-09-06: Incluido: SBDT de flujo de materiales (OFacT, autogenerado de event logs; IoT-Factory de laboratorio) adaptado por IA agéntica (5 agentes Smolagents, ReAct, RAG, Qwen3-32B) vía lenguaje natural del planificador no experto, que redacta prompts y valida resultados. Dudas: caso de producción con encuadre SC/logístico del paper; evidence_type (¿Simulation/synthetic?); nivel 1 (IA en capa de modelado) vs 4; Elevated vs Reduced. | TA: Make-annotated production/shop-floor twin with supply chain framing</t>
        </is>
      </c>
    </row>
    <row r="13">
      <c r="A13" s="69" t="inlineStr">
        <is>
          <t>R0026</t>
        </is>
      </c>
      <c r="B13" s="49" t="inlineStr">
        <is>
          <t>Turgut, A.</t>
        </is>
      </c>
      <c r="C13" s="69" t="n">
        <v>2026</v>
      </c>
      <c r="D13" s="49" t="inlineStr">
        <is>
          <t>Kybernetes</t>
        </is>
      </c>
      <c r="E13" s="69" t="inlineStr">
        <is>
          <t>10.1108/k-01-2026-0185</t>
        </is>
      </c>
      <c r="F13" s="69" t="n"/>
      <c r="G13" s="69" t="n"/>
      <c r="H13" s="69" t="n"/>
      <c r="I13" s="69" t="n"/>
      <c r="J13" s="69" t="n"/>
      <c r="K13" s="69" t="n"/>
      <c r="L13" s="69" t="n"/>
      <c r="M13" s="69" t="n"/>
      <c r="N13" s="69" t="n"/>
      <c r="O13" s="69" t="n"/>
      <c r="P13" s="69" t="n"/>
      <c r="Q13" s="69" t="n"/>
      <c r="R13" s="69" t="n"/>
      <c r="S13" s="49" t="n"/>
      <c r="T13" s="49" t="n"/>
      <c r="U13" s="69" t="n"/>
      <c r="V13" s="69" t="n"/>
      <c r="W13" s="49" t="inlineStr">
        <is>
          <t>FT: NOT RETRIEVED. Emerald muestra solo el resumen: "You do not currently have access to this content." El reintento por el proxy Hull (www-emerald-com.hull.idm.oclc.org) devuelve la misma pagina article-abstract sin acceso. OpenAlex: is_oa=false, oa_status="closed", sin oa_url ni PDF. Semantic Scholar dio 429. No se codifica desde el resumen; hace falta el PDF.</t>
        </is>
      </c>
    </row>
    <row r="14">
      <c r="A14" s="69" t="inlineStr">
        <is>
          <t>R0029</t>
        </is>
      </c>
      <c r="B14" s="49" t="inlineStr">
        <is>
          <t>Kheckert, E.V.</t>
        </is>
      </c>
      <c r="C14" s="69" t="n">
        <v>2026</v>
      </c>
      <c r="D14" s="49" t="inlineStr">
        <is>
          <t>2026 International Conference on Artificial Intelligence for Sustainable Engineering and Innovation, AISEI 2026</t>
        </is>
      </c>
      <c r="E14" s="69" t="inlineStr">
        <is>
          <t>10.1109/aisei68628.2026.11572832</t>
        </is>
      </c>
      <c r="F14" s="69" t="n"/>
      <c r="G14" s="69" t="n"/>
      <c r="H14" s="69" t="n"/>
      <c r="I14" s="69" t="n"/>
      <c r="J14" s="69" t="n"/>
      <c r="K14" s="69" t="n"/>
      <c r="L14" s="69" t="n"/>
      <c r="M14" s="69" t="n"/>
      <c r="N14" s="69" t="n"/>
      <c r="O14" s="69" t="n"/>
      <c r="P14" s="69" t="n"/>
      <c r="Q14" s="69" t="n"/>
      <c r="R14" s="69" t="n"/>
      <c r="S14" s="49" t="n"/>
      <c r="T14" s="49" t="n"/>
      <c r="U14" s="69" t="n"/>
      <c r="V14" s="69" t="n"/>
      <c r="W14"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15">
      <c r="A15" s="69" t="inlineStr">
        <is>
          <t>R0037</t>
        </is>
      </c>
      <c r="B15" s="49" t="inlineStr">
        <is>
          <t>Leong, W.Y.</t>
        </is>
      </c>
      <c r="C15" s="69" t="n">
        <v>2026</v>
      </c>
      <c r="D15" s="49" t="inlineStr">
        <is>
          <t>ICCMB 2026 - Proceedings of 2026 the 9th International Conference on Computers in Management and Business</t>
        </is>
      </c>
      <c r="E15" s="69" t="inlineStr">
        <is>
          <t>10.1145/3802463.3802485</t>
        </is>
      </c>
      <c r="F15" s="69" t="inlineStr">
        <is>
          <t>Simulation/synthetic</t>
        </is>
      </c>
      <c r="G15" s="49" t="inlineStr">
        <is>
          <t>Generic/cross-sector (logistics/ports, manufacturing, agri-food; Malaysia)</t>
        </is>
      </c>
      <c r="H15" s="69" t="inlineStr">
        <is>
          <t>Y</t>
        </is>
      </c>
      <c r="I15" s="69" t="inlineStr">
        <is>
          <t>Y</t>
        </is>
      </c>
      <c r="J15" s="69" t="inlineStr">
        <is>
          <t>Y</t>
        </is>
      </c>
      <c r="K15" s="69" t="inlineStr">
        <is>
          <t>Y</t>
        </is>
      </c>
      <c r="L15" s="69" t="inlineStr">
        <is>
          <t>N</t>
        </is>
      </c>
      <c r="M15" s="69" t="inlineStr">
        <is>
          <t>Y</t>
        </is>
      </c>
      <c r="N15" s="69" t="inlineStr">
        <is>
          <t>Hybrid</t>
        </is>
      </c>
      <c r="O15" s="69" t="inlineStr">
        <is>
          <t>Forecasting/estimation</t>
        </is>
      </c>
      <c r="P15" s="69" t="inlineStr">
        <is>
          <t>4 Prescriptive-advisory</t>
        </is>
      </c>
      <c r="Q15" s="69" t="inlineStr">
        <is>
          <t>Maintained</t>
        </is>
      </c>
      <c r="R15" s="69" t="inlineStr">
        <is>
          <t>Approve/override</t>
        </is>
      </c>
      <c r="S15" s="49" t="inlineStr">
        <is>
          <t>Alerts issued when predicted risk exceeds predefined thresholds, at graded severity with escalation pathways tied to organisational roles; decision-makers then evaluate and select twin-simulated mitigation strategies. Automation versus human authority is not explicitly discussed.</t>
        </is>
      </c>
      <c r="T15" s="49" t="inlineStr">
        <is>
          <t>Simulated Malaysian supply chain CDEWS: RNN and graph-based risk forecasting on fused multimodal data plus a supply chain digital twin for what-if mitigation analysis raised disruption lead time from 8–12 h to 64–72 h and cut logistics downtime roughly one-third, stockout risk and recovery duration in three flood/rainfall scenarios.</t>
        </is>
      </c>
      <c r="U15" s="49" t="inlineStr">
        <is>
          <t>Key finding: Section 4 Results (Table 2, Figures 2–4; article pp. 140–146, page numbers not shown in HTML). Twin: Section 1 Introduction (five-layer architecture, Figure 1) and Section 3 Methodology (digital twin paragraph). AI method: Section 3 Methodology (predictive layer). HITL: Section 1 Introduction (decision support and governance layer), Section 3 Methodology (governance and explainability paragraph), Section 4 Results (decision-makers select recovery strategies).</t>
        </is>
      </c>
      <c r="V15" s="69" t="inlineStr">
        <is>
          <t>Y</t>
        </is>
      </c>
      <c r="W15" s="49" t="inlineStr">
        <is>
          <t>FT 2026-09-06: Incluir: gemelo digital de la cadena (puertos, almacenes, fábricas, proveedores) diseñado en cinco capas y evaluado solo por simulación de escenarios; RNN y modelos de grafos pronostican riesgo; humanos seleccionan estrategias (nivel 4; alternativa 3). Dudas: simulación sin detalle ni datos reales (Tabla 2 parece ilustrativa), autor único, venue ACM ICPS; HITL breve; Make marginal. | FT 2026-09-06: Incluir: gemelo digital de la cadena (puertos, almacenes, fábricas, proveedores) diseñado en cinco capas y evaluado solo por simulación de escenarios; RNN y modelos de grafos pronostican riesgo; humanos seleccionan estrategias (nivel 4; alternativa 3). Dudas: simulación sin detalle ni datos reales (Tabla 2 parece ilustrativa), autor único, venue ACM ICPS; HITL breve; Make marginal.</t>
        </is>
      </c>
    </row>
    <row r="16">
      <c r="A16" s="69" t="inlineStr">
        <is>
          <t>R0044</t>
        </is>
      </c>
      <c r="B16" s="49" t="inlineStr">
        <is>
          <t>Elmay, F., Kadadha, M., Singh, S., Mizouni, R., Otrok, H. and Mourad, A.</t>
        </is>
      </c>
      <c r="C16" s="69" t="n">
        <v>2026</v>
      </c>
      <c r="D16" s="49" t="inlineStr">
        <is>
          <t>Future Generation Computer Systems</t>
        </is>
      </c>
      <c r="E16" s="69" t="inlineStr">
        <is>
          <t>10.1016/j.future.2025.108004</t>
        </is>
      </c>
      <c r="F16" s="69" t="inlineStr">
        <is>
          <t>Simulation/synthetic</t>
        </is>
      </c>
      <c r="G16" s="49" t="inlineStr">
        <is>
          <t>Last-mile delivery / pharma cold chain</t>
        </is>
      </c>
      <c r="H16" s="69" t="inlineStr">
        <is>
          <t>N</t>
        </is>
      </c>
      <c r="I16" s="69" t="inlineStr">
        <is>
          <t>N</t>
        </is>
      </c>
      <c r="J16" s="69" t="inlineStr">
        <is>
          <t>N</t>
        </is>
      </c>
      <c r="K16" s="69" t="inlineStr">
        <is>
          <t>Y</t>
        </is>
      </c>
      <c r="L16" s="69" t="inlineStr">
        <is>
          <t>N</t>
        </is>
      </c>
      <c r="M16" s="69" t="inlineStr">
        <is>
          <t>N</t>
        </is>
      </c>
      <c r="N16" s="69" t="inlineStr">
        <is>
          <t>Classical ML</t>
        </is>
      </c>
      <c r="O16" s="69" t="inlineStr">
        <is>
          <t>Forecasting/estimation</t>
        </is>
      </c>
      <c r="P16" s="69" t="inlineStr">
        <is>
          <t>5 Prescriptive-autonomous</t>
        </is>
      </c>
      <c r="Q16" s="69" t="inlineStr">
        <is>
          <t>Reduced</t>
        </is>
      </c>
      <c r="R16" s="69" t="inlineStr">
        <is>
          <t>Handle exceptions</t>
        </is>
      </c>
      <c r="S16" s="49" t="inlineStr">
        <is>
          <t>Operators intervene only when the package twin raises excursion or status-violation alerts; task allocation and reputation updates execute autonomously via smart contracts; requesters set task reward and time constraints.</t>
        </is>
      </c>
      <c r="T16" s="49" t="inlineStr">
        <is>
          <t>Package digital twins (Arrhenius model) plus Random Forest predictions of UAV energy and delivery success, feeding a blockchain-hosted Gale-Shapley allocation, improve QoS by at least 37%, delivery success by at least 45%, worker reputation by 32% and payoff by 22% versus benchmarks; the RF energy model reaches MAE 1.66.</t>
        </is>
      </c>
      <c r="U16" s="49" t="inlineStr">
        <is>
          <t>Key finding: Abstract; Sec. 4.2 Table 6 (MAE 1.66); Sec. 4.4.3-4.4.4 Figs. 3-4; Sec. 5 Conclusion. Twin: Sec. 2.3 ('physics based DT model'), Sec. 3.5.1, Sec. 4.3 Fig. 2. HITL/automation: Sec. 1 (automated allocation), Sec. 3.1 phases 2-3, Sec. 4.3, Sec. 4.6. No page numbers visible (HTML version).</t>
        </is>
      </c>
      <c r="V16" s="69" t="inlineStr">
        <is>
          <t>Y</t>
        </is>
      </c>
      <c r="W16" s="49" t="inlineStr">
        <is>
          <t>FT 2026-09-06: Incluido: gemelo digital de paquete (modelo Arrhenius) implementado y evaluado en entrega de última milla; Random Forest para energía UAV y éxito de entrega alimenta una asignación Gale-Shapley automatizada en blockchain. Dudas: nivel 5 vs 4 (operadores solo actúan ante alertas del gemelo); hitl_role 'Reduced' vs 'Not discussed' (no explícito); evidencia por simulación con datasets reales. | FT 2026-09-06: Incluido: gemelo digital de paquete (modelo Arrhenius) implementado y evaluado en entrega de última milla; Random Forest para energía UAV y éxito de entrega alimenta una asignación Gale-Shapley automatizada en blockchain. Dudas: nivel 5 vs 4 (operadores solo actúan ante alertas del gemelo); hitl_role 'Reduced' vs 'Not discussed' (no explícito); evidencia por simulación con datasets reales. | FT 2026-09-06: Incluido: gemelo digital de paquete (modelo Arrhenius) implementado y evaluado en entrega de última milla; Random Forest para energía UAV y éxito de entrega alimenta una asignación Gale-Shapley automatizada en blockchain. Dudas: nivel 5 vs 4 (operadores solo actúan ante alertas del gemelo); hitl_role 'Reduced' vs 'Not discussed' (no explícito); evidencia por simulación con datasets reales. | FT 2026-09-06: Incluido: gemelo digital de paquete (modelo Arrhenius) implementado y evaluado en entrega de última milla; Random Forest para energía UAV y éxito de entrega alimenta una asignación Gale-Shapley automatizada en blockchain. Dudas: nivel 5 vs 4 (operadores solo actúan ante alertas del gemelo); hitl_role 'Reduced' vs 'Not discussed' (no explícito); evidencia por simulación con datasets reales.</t>
        </is>
      </c>
    </row>
    <row r="17">
      <c r="A17" s="69" t="inlineStr">
        <is>
          <t>R0045</t>
        </is>
      </c>
      <c r="B17" s="49" t="inlineStr">
        <is>
          <t>Saidi, C., Hamani, N., Benaissa, M., Rolf, B., Reggelin, T. and Lang, S.</t>
        </is>
      </c>
      <c r="C17" s="69" t="n">
        <v>2026</v>
      </c>
      <c r="D17" s="49" t="inlineStr">
        <is>
          <t>Lecture Notes in Mechanical Engineering</t>
        </is>
      </c>
      <c r="E17" s="69" t="inlineStr">
        <is>
          <t>10.1007/978-3-032-16889-4_39</t>
        </is>
      </c>
      <c r="F17" s="69" t="inlineStr">
        <is>
          <t>Conceptual</t>
        </is>
      </c>
      <c r="G17" s="49" t="inlineStr">
        <is>
          <t>Generic/cross-sector (reconfigurable supply chain, no industry specified)</t>
        </is>
      </c>
      <c r="H17" s="69" t="inlineStr">
        <is>
          <t>Y</t>
        </is>
      </c>
      <c r="I17" s="69" t="inlineStr">
        <is>
          <t>Y</t>
        </is>
      </c>
      <c r="J17" s="69" t="inlineStr">
        <is>
          <t>Y</t>
        </is>
      </c>
      <c r="K17" s="69" t="inlineStr">
        <is>
          <t>Y</t>
        </is>
      </c>
      <c r="L17" s="69" t="inlineStr">
        <is>
          <t>N</t>
        </is>
      </c>
      <c r="M17" s="69" t="inlineStr">
        <is>
          <t>Y</t>
        </is>
      </c>
      <c r="N17" s="69" t="inlineStr">
        <is>
          <t>Hybrid</t>
        </is>
      </c>
      <c r="O17" s="69" t="inlineStr">
        <is>
          <t>Optimisation; Forecasting/estimation</t>
        </is>
      </c>
      <c r="P17" s="69" t="inlineStr">
        <is>
          <t>4 Prescriptive-advisory</t>
        </is>
      </c>
      <c r="Q17" s="69" t="inlineStr">
        <is>
          <t>Maintained</t>
        </is>
      </c>
      <c r="R17" s="69" t="inlineStr">
        <is>
          <t>Interpret outputs</t>
        </is>
      </c>
      <c r="S17" s="49" t="inlineStr">
        <is>
          <t>Not discussed</t>
        </is>
      </c>
      <c r="T17" s="49" t="inlineStr">
        <is>
          <t>Conceptual framework only: a dynamic knowledge graph feeds a supply chain digital twin; an AI/metaheuristic optimisation engine suggests reconfigurations that are simulated and validated in the twin before deployment, with actors assessing scenarios; no implementation, named algorithm, or evaluation is provided.</t>
        </is>
      </c>
      <c r="U17" s="49" t="inlineStr">
        <is>
          <t>Key finding: Sect. 3 'Framework for Intelligent Reconfigurable Supply Chain' (overview paragraphs, Fig. 1, stages 'Data collection', 'Knowledge Graph Construction', 'Optimization and Configuration Selection', 'Implementation and validation'); Sect. 2.3 last paragraph ('we propose a conceptual framework'); Sect. 4 Conclusion. HITL evidence: Sect. 3 second paragraph ('allows actors to explore potential outcomes and assess the impact of disruptions before implementing adjustments'; 'suggest optimal configurations'); Sect. 4 ('AI-driven decision support'); Sect. 1 (human centricity named as a Supply Chain 5.0 goal, not developed). No page numbers visible in the HTML version.</t>
        </is>
      </c>
      <c r="V17" s="69" t="inlineStr">
        <is>
          <t>Y</t>
        </is>
      </c>
      <c r="W17" s="49" t="inlineStr">
        <is>
          <t>FT 2026-09-06: Incluido como Conceptual: el objeto es el marco (Sección 2 es 'Background' narrativo, sin método de revisión). DT e IA solo diseñados conceptualmente: IA por familias (metaheurísticas, predicción/completado del KG), sin algoritmo nombrado ni implementación. HITL implícito (actores evalúan escenarios; IA 'sugiere'). SCOR inferido del alcance de red. Duda: si se exige método nombrado, excluir por 'No AI/ML component'. | ai_technique detail: Hybrid (metaheuristics for configuration optimisation + unspecified predictive/knowledge-completion ML on the knowledge graph; no named algorithm) | ai_role detail: Optimisation (primary: AI-driven optimisation engine evaluates and suggests configurations; secondary Forecasting/estimation: KG completion and prediction of events such as demand fluctuations) | FT 2026-09-06: Incluido como Conceptual: el objeto es el marco (Sección 2 es 'Background' narrativo, sin método de revisión). DT e IA solo diseñados conceptualmente: IA por familias (metaheurísticas, predicción/completado del KG), sin algoritmo nombrado ni implementación. HITL implícito (actores evalúan escenarios; IA 'sugiere'). SCOR inferido del alcance de red. Duda: si se exige método nombrado, excluir por 'No AI/ML component'. | TA: included under the sensitivity rule; check the flagged point in the Screening note</t>
        </is>
      </c>
    </row>
    <row r="18">
      <c r="A18" s="69" t="inlineStr">
        <is>
          <t>R0048</t>
        </is>
      </c>
      <c r="B18" s="49" t="inlineStr">
        <is>
          <t>Vukšić, M., Ćelić, J., Bronzin, T., Prole, B., Adameć, D., Stipić, A. and Katovic, D.</t>
        </is>
      </c>
      <c r="C18" s="69" t="n">
        <v>2026</v>
      </c>
      <c r="D18" s="49" t="inlineStr">
        <is>
          <t>2026 49th MIPRO ICT and Electronics Convention, MIPRO 2026 - Proceedings</t>
        </is>
      </c>
      <c r="E18" s="69" t="inlineStr">
        <is>
          <t>10.1109/mipro70003.2026.11591932</t>
        </is>
      </c>
      <c r="F18" s="69" t="n"/>
      <c r="G18" s="69" t="n"/>
      <c r="H18" s="69" t="n"/>
      <c r="I18" s="69" t="n"/>
      <c r="J18" s="69" t="n"/>
      <c r="K18" s="69" t="n"/>
      <c r="L18" s="69" t="n"/>
      <c r="M18" s="69" t="n"/>
      <c r="N18" s="69" t="n"/>
      <c r="O18" s="69" t="n"/>
      <c r="P18" s="69" t="n"/>
      <c r="Q18" s="69" t="n"/>
      <c r="R18" s="69" t="n"/>
      <c r="S18" s="49" t="n"/>
      <c r="T18" s="49" t="n"/>
      <c r="U18" s="69" t="n"/>
      <c r="V18" s="69" t="n"/>
      <c r="W18"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row>
    <row r="19">
      <c r="A19" s="69" t="inlineStr">
        <is>
          <t>R0050</t>
        </is>
      </c>
      <c r="B19" s="49" t="inlineStr">
        <is>
          <t>Zhetessova, G.S., Zharkevich, O.M., Kozhanov, M.G., Khrustaleva, I.N. and Buzauova, T.M.</t>
        </is>
      </c>
      <c r="C19" s="69" t="n">
        <v>2026</v>
      </c>
      <c r="D19" s="49" t="inlineStr">
        <is>
          <t>Material and Mechanical Engineering Technology</t>
        </is>
      </c>
      <c r="E19" s="69" t="inlineStr">
        <is>
          <t>10.52209/2706-977x_2026_2_25</t>
        </is>
      </c>
      <c r="F19" s="69" t="n"/>
      <c r="G19" s="69" t="n"/>
      <c r="H19" s="69" t="n"/>
      <c r="I19" s="69" t="n"/>
      <c r="J19" s="69" t="n"/>
      <c r="K19" s="69" t="n"/>
      <c r="L19" s="69" t="n"/>
      <c r="M19" s="69" t="n"/>
      <c r="N19" s="69" t="n"/>
      <c r="O19" s="69" t="n"/>
      <c r="P19" s="69" t="n"/>
      <c r="Q19" s="69" t="n"/>
      <c r="R19" s="69" t="n"/>
      <c r="S19" s="49" t="n"/>
      <c r="T19" s="49" t="n"/>
      <c r="U19" s="69" t="n"/>
      <c r="V19" s="69" t="n"/>
      <c r="W19" s="49" t="inlineStr">
        <is>
          <t>FT: EXCLUDED - No AI/ML component. Excluido: el 'modelo digital' es un modelo paramétrico (fórmulas 1-6, grafo) calculado para una brida de ejemplo; el gemelo es trabajo futuro. El ML nunca se nombra ni especifica: solo 'model.predict' en código de graficado, sin algoritmo, datos ni métricas; el mapa de carga usa datos de ejemplo. Duda: cabría 'No digital twin'. Texto: PDF del número, pp. 25-34.</t>
        </is>
      </c>
    </row>
    <row r="20">
      <c r="A20" s="69" t="inlineStr">
        <is>
          <t>R0051</t>
        </is>
      </c>
      <c r="B20" s="49" t="inlineStr">
        <is>
          <t>Sayeed, N., Saha, U.S., Karim, F., Mustafizur, Md., Uddin, S.M.M. and Chy, M.A.R.</t>
        </is>
      </c>
      <c r="C20" s="69" t="n">
        <v>2026</v>
      </c>
      <c r="D20" s="49" t="inlineStr">
        <is>
          <t>2026 IEEE International Conference for Convergence in Computing Technology, I3CTCON 2026</t>
        </is>
      </c>
      <c r="E20" s="69" t="inlineStr">
        <is>
          <t>10.1109/i3ctcon68242.2026.11507407</t>
        </is>
      </c>
      <c r="F20" s="69" t="n"/>
      <c r="G20" s="69" t="n"/>
      <c r="H20" s="69" t="n"/>
      <c r="I20" s="69" t="n"/>
      <c r="J20" s="69" t="n"/>
      <c r="K20" s="69" t="n"/>
      <c r="L20" s="69" t="n"/>
      <c r="M20" s="69" t="n"/>
      <c r="N20" s="69" t="n"/>
      <c r="O20" s="69" t="n"/>
      <c r="P20" s="69" t="n"/>
      <c r="Q20" s="69" t="n"/>
      <c r="R20" s="69" t="n"/>
      <c r="S20" s="49" t="n"/>
      <c r="T20" s="49" t="n"/>
      <c r="U20" s="69" t="n"/>
      <c r="V20" s="69" t="n"/>
      <c r="W20"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21">
      <c r="A21" s="69" t="inlineStr">
        <is>
          <t>R0054</t>
        </is>
      </c>
      <c r="B21" s="49" t="inlineStr">
        <is>
          <t>Iqbal, T.</t>
        </is>
      </c>
      <c r="C21" s="69" t="n">
        <v>2026</v>
      </c>
      <c r="D21" s="49" t="inlineStr">
        <is>
          <t>Logforum</t>
        </is>
      </c>
      <c r="E21" s="69" t="inlineStr">
        <is>
          <t>10.17270/j.log.001371</t>
        </is>
      </c>
      <c r="F21" s="69" t="inlineStr">
        <is>
          <t>Simulation/synthetic</t>
        </is>
      </c>
      <c r="G21" s="49" t="inlineStr">
        <is>
          <t>Retail/e-commerce last-mile delivery (Saudi Arabia; pooled courier fleets and parcel lockers)</t>
        </is>
      </c>
      <c r="H21" s="69" t="inlineStr">
        <is>
          <t>Y</t>
        </is>
      </c>
      <c r="I21" s="69" t="inlineStr">
        <is>
          <t>N</t>
        </is>
      </c>
      <c r="J21" s="69" t="inlineStr">
        <is>
          <t>N</t>
        </is>
      </c>
      <c r="K21" s="69" t="inlineStr">
        <is>
          <t>Y</t>
        </is>
      </c>
      <c r="L21" s="69" t="inlineStr">
        <is>
          <t>N</t>
        </is>
      </c>
      <c r="M21" s="69" t="inlineStr">
        <is>
          <t>N</t>
        </is>
      </c>
      <c r="N21" s="69" t="inlineStr">
        <is>
          <t>Classical ML</t>
        </is>
      </c>
      <c r="O21" s="69" t="inlineStr">
        <is>
          <t>Forecasting/estimation</t>
        </is>
      </c>
      <c r="P21" s="69" t="inlineStr">
        <is>
          <t>4 Prescriptive-advisory</t>
        </is>
      </c>
      <c r="Q21" s="69" t="inlineStr">
        <is>
          <t>Not discussed</t>
        </is>
      </c>
      <c r="R21" s="69" t="inlineStr">
        <is>
          <t>Interpret outputs</t>
        </is>
      </c>
      <c r="S21" s="49" t="inlineStr">
        <is>
          <t>Not discussed explicitly; the pipeline is offline and advisory, so managers keep dispatch/planning decisions. Real-time autonomous control (RL-based dispatching on OpenStreetMap networks) is deferred to future work, which would shift dispatch away from humans.</t>
        </is>
      </c>
      <c r="T21" s="49" t="inlineStr">
        <is>
          <t>Gradient-boosting demand/ETA forecasts (LightGBM, CatBoost, SHAP) feed OR-Tools VRP-TW routing and CP-SAT locker siting; a SimPy 'Level-1' digital twin only stress-tests these policies. Pooled fleets cut routing cost 65% and lift on-time delivery from 37% to 100%; 25 lockers cut CO2 to 0.06 kg/parcel; SLA holds under Ramadan/weather stress.</t>
        </is>
      </c>
      <c r="U21" s="49" t="inlineStr">
        <is>
          <t>Key finding: Abstract Methods/Results (printed p. 199, PDF p. 1); Methods 'Digital Twin Simulation (SimPy)' (p. 204, PDF p. 6); Results (pp. 205-208, PDF pp. 7-10: Table 3 'SimPy Twin' rows and Table 4 on p. 207, Table 5 and stress-test paragraph on p. 208). Twin claim: keywords and Abstract (p. 199), Introduction contribution 4 (p. 200), Methods heading (p. 204), Conclusion 'A Level-1 digital twin' (p. 209, PDF p. 11); synthetic customer population acknowledged in Results (p. 208) and Discussion (p. 209). HITL evidence: Abstract Conclusions and Literature review ('actionable insights for logistics managers/operators, urban planners, and policymakers', pp. 199 and 201); Conclusion practical implications (pp. 209-210: managers integrating demand forecasting into daily fleet dispatch) and Conclusion future work (p. 209: reinforcement-learning-based dispatching for adaptive, real-time fleet control). No dispatcher or platform-operator role in the loop is described anywhere; 'operators' means fleet-owning logistics firms whose fleets are pooled (Methods p. 203, Discussion p. 209).</t>
        </is>
      </c>
      <c r="V21" s="69" t="inlineStr">
        <is>
          <t>N</t>
        </is>
      </c>
      <c r="W21" s="49" t="inlineStr">
        <is>
          <t>FT 2026-09-06: Incluido: el autor llama 'digital twin' (Level-1) a una simulación SimPy que sólo valida/estresa políticas ML+OR, sin datos en tiempo real y con clientes sintéticos: ¿basta la autodenominación? IA = gradient boosting predictivo; lo prescriptivo es OR (nivel 3 en lectura estricta). Humano sólo receptor de 'insights' (cabría 'Maintained'); despacho autónomo por RL es trabajo futuro. Inconsistencias (dataset, Tabla 5). | FT 2026-09-06: Incluido: el autor llama 'digital twin' (Level-1) a una simulación SimPy que sólo valida/estresa políticas ML+OR, sin datos en tiempo real y con clientes sintéticos: ¿basta la autodenominación? IA = gradient boosting predictivo; lo prescriptivo es OR (nivel 3 en lectura estricta). Humano sólo receptor de 'insights' (cabría 'Maintained'); despacho autónomo por RL es trabajo futuro. Inconsistencias (dataset, Tabla 5).</t>
        </is>
      </c>
    </row>
    <row r="22">
      <c r="A22" s="69" t="inlineStr">
        <is>
          <t>R0057</t>
        </is>
      </c>
      <c r="B22" s="49" t="inlineStr">
        <is>
          <t>Sahu, D.P., Rathore, B., Iqbal, R.S., Jiang, W., Prakash, S. and Singh, V.K.</t>
        </is>
      </c>
      <c r="C22" s="69" t="n">
        <v>2026</v>
      </c>
      <c r="D22" s="49" t="inlineStr">
        <is>
          <t>IEEE Open Journal of the Communications Society</t>
        </is>
      </c>
      <c r="E22" s="69" t="inlineStr">
        <is>
          <t>10.1109/ojcoms.2026.3714979</t>
        </is>
      </c>
      <c r="F22" s="69" t="inlineStr">
        <is>
          <t>Simulation/synthetic</t>
        </is>
      </c>
      <c r="G22" s="49" t="inlineStr">
        <is>
          <t>Generic/cross-sector (multi-echelon network of warehouses, distribution centres and retailers; no industry specified)</t>
        </is>
      </c>
      <c r="H22" s="69" t="inlineStr">
        <is>
          <t>Y</t>
        </is>
      </c>
      <c r="I22" s="69" t="inlineStr">
        <is>
          <t>Y</t>
        </is>
      </c>
      <c r="J22" s="69" t="inlineStr">
        <is>
          <t>N</t>
        </is>
      </c>
      <c r="K22" s="69" t="inlineStr">
        <is>
          <t>Y</t>
        </is>
      </c>
      <c r="L22" s="69" t="inlineStr">
        <is>
          <t>N</t>
        </is>
      </c>
      <c r="M22" s="69" t="inlineStr">
        <is>
          <t>N</t>
        </is>
      </c>
      <c r="N22" s="69" t="inlineStr">
        <is>
          <t>Hybrid</t>
        </is>
      </c>
      <c r="O22" s="69" t="inlineStr">
        <is>
          <t>Optimisation</t>
        </is>
      </c>
      <c r="P22" s="69" t="inlineStr">
        <is>
          <t>5 Prescriptive-autonomous</t>
        </is>
      </c>
      <c r="Q22" s="69" t="inlineStr">
        <is>
          <t>Not discussed</t>
        </is>
      </c>
      <c r="R22" s="69" t="inlineStr">
        <is>
          <t>Not discussed</t>
        </is>
      </c>
      <c r="S22" s="49" t="inlineStr">
        <is>
          <t>Not discussed (no human appears anywhere in the closed loop; only designer-set cost weights alpha, beta, gamma and tuned hyperparameters are mentioned, without saying who sets them)</t>
        </is>
      </c>
      <c r="T22" s="49" t="inlineStr">
        <is>
          <t>Hybrid GA (global inventory allocation, routing, supplier selection) plus Q-learning MARL agents (reorder, reroute, risk mitigation) in a closed loop with edge digital twins of warehouses, distribution centres and retailers; Python simulations on synthetic plus public data beat GA, MARL, ACO, PSO (fill rate 96.5%, turnover 5.78, stockouts 4.3%).</t>
        </is>
      </c>
      <c r="U22" s="49" t="inlineStr">
        <is>
          <t>Key finding: Abstract; Section III Proposed GA-MARL Framework (Fig. 1, Eqs. 1-11, Algorithms 1-3, III.A Implementation Workflow); Section IV Experimental Setup (datasets, Python simulation, Table 2); Section V Results and Discussion (Figs. 2-10, Table 3); Section VI Conclusion. HITL evidence: none explicit; closest statements in Section II Literature Review (first sentence, shift from manual decision-making to AI systems), Section III (closed-loop decentralized decision-making, MARL agents execute reorder/reroute/risk-mitigation actions, no human step) and Section VII Limitation and Future Scope (validation in real-world industrial settings left as future work). Journal pages 8609-8619; page numbers not visible in the HTML version.</t>
        </is>
      </c>
      <c r="V22" s="69" t="inlineStr">
        <is>
          <t>N</t>
        </is>
      </c>
      <c r="W22" s="49" t="inlineStr">
        <is>
          <t>FT 2026-09-06: Incluido: EEDT (réplica virtual de almacenes, centros de distribución y minoristas con datos IoT en el borde) acoplado a GA + MARL Q-learning en lazo cerrado, simulado en Python con datos sintéticos y públicos (UCI). Dudas: el gemelo equivale al entorno de simulación; sin despliegue real; ningún humano mencionado; Source solo por 'supplier selection' y reorder; nivel 5 vs 4. | FT 2026-09-06: Incluido: EEDT (réplica virtual de almacenes, centros de distribución y minoristas con datos IoT en el borde) acoplado a GA + MARL Q-learning en lazo cerrado, simulado en Python con datos sintéticos y públicos (UCI). Dudas: el gemelo equivale al entorno de simulación; sin despliegue real; ningún humano mencionado; Source solo por 'supplier selection' y reorder; nivel 5 vs 4.</t>
        </is>
      </c>
    </row>
    <row r="23">
      <c r="A23" s="69" t="inlineStr">
        <is>
          <t>R0064</t>
        </is>
      </c>
      <c r="B23" s="49" t="inlineStr">
        <is>
          <t>Yang, L.</t>
        </is>
      </c>
      <c r="C23" s="69" t="n">
        <v>2026</v>
      </c>
      <c r="D23" s="49" t="inlineStr">
        <is>
          <t>Proceedings of SPIE - The International Society for Optical Engineering</t>
        </is>
      </c>
      <c r="E23" s="69" t="inlineStr">
        <is>
          <t>10.1117/12.3107986</t>
        </is>
      </c>
      <c r="F23" s="69" t="n"/>
      <c r="G23" s="69" t="n"/>
      <c r="H23" s="69" t="n"/>
      <c r="I23" s="69" t="n"/>
      <c r="J23" s="69" t="n"/>
      <c r="K23" s="69" t="n"/>
      <c r="L23" s="69" t="n"/>
      <c r="M23" s="69" t="n"/>
      <c r="N23" s="69" t="n"/>
      <c r="O23" s="69" t="n"/>
      <c r="P23" s="69" t="n"/>
      <c r="Q23" s="69" t="n"/>
      <c r="R23" s="69" t="n"/>
      <c r="S23" s="49" t="n"/>
      <c r="T23" s="49" t="n"/>
      <c r="U23" s="69" t="n"/>
      <c r="V23" s="69" t="n"/>
      <c r="W23" s="49" t="inlineStr">
        <is>
          <t>FT: NOT RETRIEVED. NO RECUPERADO: SPIE solo muestra el resumen ('Get Access', 'Access through your institution', 'Purchase with a subscription'). Proxy Hull redirige al host sin proxy (SPIE no configurado) y SPIE devolvió muro CAPTCHA, no resuelto. Semantic Scholar y OpenAlex: cerrado, sin PDF abierto. Descarga manual del PDF (Proc. SPIE 14161, 141611A). Resumen sugiere twin + GNN/RL; verificar rol humano.</t>
        </is>
      </c>
    </row>
    <row r="24">
      <c r="A24" s="69" t="inlineStr">
        <is>
          <t>R0066</t>
        </is>
      </c>
      <c r="B24" s="49" t="inlineStr">
        <is>
          <t>Pramanik, M.T., Reza, S.A., Kamal, M.M., Gomes, S.S., Faysal, A.H.M., Minto, A., Debnath, P. and Hasan, M.R.</t>
        </is>
      </c>
      <c r="C24" s="69" t="n">
        <v>2026</v>
      </c>
      <c r="D24" s="49" t="inlineStr">
        <is>
          <t>International Journal of Computer Information Systems and Industrial Management Applications</t>
        </is>
      </c>
      <c r="E24" s="69" t="inlineStr">
        <is>
          <t>10.70917/ijcisim-2026-2645</t>
        </is>
      </c>
      <c r="F24" s="69" t="n"/>
      <c r="G24" s="69" t="n"/>
      <c r="H24" s="69" t="n"/>
      <c r="I24" s="69" t="n"/>
      <c r="J24" s="69" t="n"/>
      <c r="K24" s="69" t="n"/>
      <c r="L24" s="69" t="n"/>
      <c r="M24" s="69" t="n"/>
      <c r="N24" s="69" t="n"/>
      <c r="O24" s="69" t="n"/>
      <c r="P24" s="69" t="n"/>
      <c r="Q24" s="69" t="n"/>
      <c r="R24" s="69" t="n"/>
      <c r="S24" s="49" t="n"/>
      <c r="T24" s="49" t="n"/>
      <c r="U24" s="69" t="n"/>
      <c r="V24" s="69" t="n"/>
      <c r="W24" s="49" t="inlineStr">
        <is>
          <t>FT: EXCLUDED - No digital twin / digital model. Excluir (criterio 1): autores declaran NO construir gemelo digital; simulador 'inspirado en DT' sobre red sintética (14,800 enlaces y 31 escenarios simulados, no despliegues). Cifras del resumen (87.3%, ROI 3.7x, NLP 18.3 días) ausentes del cuerpo. Alternativa: venue de baja calidad (DOI no registrado; prefijo de Cerebration Science Publishing, no MIR Labs; APC 1,500 USD; ~1,990 artículos fuera de alcance).</t>
        </is>
      </c>
    </row>
    <row r="25">
      <c r="A25" s="69" t="inlineStr">
        <is>
          <t>R0068</t>
        </is>
      </c>
      <c r="B25" s="49" t="inlineStr">
        <is>
          <t>Sharma, M. and Pundeer, S.</t>
        </is>
      </c>
      <c r="C25" s="69" t="n">
        <v>2026</v>
      </c>
      <c r="D25" s="49" t="inlineStr">
        <is>
          <t>Proceedings - 4th IEEE International Conference on Device Intelligence, Computing and Communication Technologies, DICCT 2026</t>
        </is>
      </c>
      <c r="E25" s="69" t="inlineStr">
        <is>
          <t>10.1109/dicct69099.2026.11535970</t>
        </is>
      </c>
      <c r="F25" s="69" t="n"/>
      <c r="G25" s="69" t="n"/>
      <c r="H25" s="69" t="n"/>
      <c r="I25" s="69" t="n"/>
      <c r="J25" s="69" t="n"/>
      <c r="K25" s="69" t="n"/>
      <c r="L25" s="69" t="n"/>
      <c r="M25" s="69" t="n"/>
      <c r="N25" s="69" t="n"/>
      <c r="O25" s="69" t="n"/>
      <c r="P25" s="69" t="n"/>
      <c r="Q25" s="69" t="n"/>
      <c r="R25" s="69" t="n"/>
      <c r="S25" s="49" t="n"/>
      <c r="T25" s="49" t="n"/>
      <c r="U25" s="69" t="n"/>
      <c r="V25" s="69" t="n"/>
      <c r="W25"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26">
      <c r="A26" s="69" t="inlineStr">
        <is>
          <t>R0076</t>
        </is>
      </c>
      <c r="B26" s="49" t="inlineStr">
        <is>
          <t>Fervorari, M., Gentilini, L., Marzano, M.G., Picone, N., Colledani, M., Marguglio, A., Rubattino, C. and Rossi, E.</t>
        </is>
      </c>
      <c r="C26" s="69" t="n">
        <v>2026</v>
      </c>
      <c r="D26" s="49" t="inlineStr">
        <is>
          <t>Springer Proceedings in Mathematics and Statistics</t>
        </is>
      </c>
      <c r="E26" s="69" t="inlineStr">
        <is>
          <t>10.1007/978-3-032-19167-0_15</t>
        </is>
      </c>
      <c r="F26" s="69" t="n"/>
      <c r="G26" s="69" t="n"/>
      <c r="H26" s="69" t="n"/>
      <c r="I26" s="69" t="n"/>
      <c r="J26" s="69" t="n"/>
      <c r="K26" s="69" t="n"/>
      <c r="L26" s="69" t="n"/>
      <c r="M26" s="69" t="n"/>
      <c r="N26" s="69" t="n"/>
      <c r="O26" s="69" t="n"/>
      <c r="P26" s="69" t="n"/>
      <c r="Q26" s="69" t="n"/>
      <c r="R26" s="69" t="n"/>
      <c r="S26" s="49" t="n"/>
      <c r="T26" s="49" t="n"/>
      <c r="U26" s="69" t="n"/>
      <c r="V26" s="69" t="n"/>
      <c r="W26" s="49" t="inlineStr">
        <is>
          <t>FT: NOT RETRIEVED. NO RECUPERADO: vía proxy Hull (8 s) Springer sigue mostrando 'This is a preview of subscription content' (paquete Mathematics and Statistics sin suscripción). Semantic Scholar: DOI no encontrado, sin copia OA. Requiere PDF manual. Pendiente verificar el FLAG: el resumen solo menciona 'digital twin simulations' genéricamente; confirmar si hay un gemelo digital propio y método de IA.</t>
        </is>
      </c>
    </row>
    <row r="27">
      <c r="A27" s="69" t="inlineStr">
        <is>
          <t>R0077</t>
        </is>
      </c>
      <c r="B27" s="49" t="inlineStr">
        <is>
          <t>Dogančić, B., Rožić, J., Jokić, M. and Čeredar, M.</t>
        </is>
      </c>
      <c r="C27" s="69" t="n">
        <v>2026</v>
      </c>
      <c r="D27" s="49" t="inlineStr">
        <is>
          <t>Systems</t>
        </is>
      </c>
      <c r="E27" s="69" t="inlineStr">
        <is>
          <t>10.3390/systems14050469</t>
        </is>
      </c>
      <c r="F27" s="69" t="inlineStr">
        <is>
          <t>Conceptual</t>
        </is>
      </c>
      <c r="G27" s="49" t="inlineStr">
        <is>
          <t>Manufacturing/digital fabrication (3D printing, CNC, laser)</t>
        </is>
      </c>
      <c r="H27" s="69" t="inlineStr">
        <is>
          <t>N</t>
        </is>
      </c>
      <c r="I27" s="69" t="inlineStr">
        <is>
          <t>N</t>
        </is>
      </c>
      <c r="J27" s="69" t="inlineStr">
        <is>
          <t>Y</t>
        </is>
      </c>
      <c r="K27" s="69" t="inlineStr">
        <is>
          <t>N</t>
        </is>
      </c>
      <c r="L27" s="69" t="inlineStr">
        <is>
          <t>N</t>
        </is>
      </c>
      <c r="M27" s="69" t="inlineStr">
        <is>
          <t>N</t>
        </is>
      </c>
      <c r="N27" s="69" t="inlineStr">
        <is>
          <t>Hybrid</t>
        </is>
      </c>
      <c r="O27" s="69" t="inlineStr">
        <is>
          <t>Control</t>
        </is>
      </c>
      <c r="P27" s="69" t="inlineStr">
        <is>
          <t>5 Prescriptive-autonomous</t>
        </is>
      </c>
      <c r="Q27" s="69" t="inlineStr">
        <is>
          <t>Reduced</t>
        </is>
      </c>
      <c r="R27" s="69" t="inlineStr">
        <is>
          <t>Approve/override</t>
        </is>
      </c>
      <c r="S27" s="49" t="inlineStr">
        <is>
          <t>Operator policy in the Admission Controller sets autonomy: manual review of every incoming update, whitelisting (safety-critical firmware auto-applied, process-parameter changes need explicit approval), or fully autonomous AI agent; process compensation and federated propagation run without operator intervention.</t>
        </is>
      </c>
      <c r="T27" s="49" t="inlineStr">
        <is>
          <t>Analytical framework: each fabrication node's Cognitive Gateway hosts a digital-twin nominal model whose twin gap trains a GP/neural-network disturbance estimator that automatically corrects control inputs; federated learning propagates corrections. FOSS governance provides redundancy, substitutability and informational persistence, absorbing supply chain (vendor lock-in), regulatory and process disturbances without central control.</t>
        </is>
      </c>
      <c r="U27" s="49" t="inlineStr">
        <is>
          <t>Key finding: Abstract; Sect. 3 (Cognitive Gateway, Figs. 1-2); Sect. 3.3 (Eqs. 6-8, 11); Sect. 4.3 Case C; Sect. 4.4; Sect. 5.1; Sect. 5.3 Limitations; Sect. 6. HITL: Sect. 1 ('degree of autonomy governed by operator policy'); Sect. 3 (Admission Controller spectrum); Sect. 5.2 (node autonomy spectrum, Klipper example); Sect. 6. Article no. 469, no page numbers (MDPI HTML).</t>
        </is>
      </c>
      <c r="V27" s="69" t="inlineStr">
        <is>
          <t>Y</t>
        </is>
      </c>
      <c r="W27" s="49" t="inlineStr">
        <is>
          <t>FT 2026-09-06: Propuesta de inclusión con dudas. Gemelo digital nodal (máquina) diseñado con componentes y flujos (Fig. 2, Ecs. 6–8); estimador GP/red neuronal y aprendizaje federado especificados, no implementados (marco analítico, sin simulación). Duda principal: el 'supply chain' es dependencia de proveedor (firmware, hardware, filamento), sin flujos de material ni inventario; verificar alcance logístico. HITL: admisión configurable manual↔autónoma; rol Reducido (alternativa: Reemplazado). | FT 2026-09-06: Propuesta de inclusión con dudas. Gemelo digital nodal (máquina) diseñado con componentes y flujos (Fig. 2, Ecs. 6–8); estimador GP/red neuronal y aprendizaje federado especificados, no implementados (marco analítico, sin simulación). Duda principal: el 'supply chain' es dependencia de proveedor (firmware, hardware, filamento), sin flujos de material ni inventario; verificar alcance logístico. HITL: admisión configurable manual↔autónoma; rol Reducido (alternativa: Reemplazado). | FT 2026-09-06: Propuesta de inclusión con dudas. Gemelo digital nodal (máquina) diseñado con componentes y flujos (Fig. 2, Ecs. 6–8); estimador GP/red neuronal y aprendizaje federado especificados, no implementados (marco analítico, sin simulación). Duda principal: el 'supply chain' es dependencia de proveedor (firmware, hardware, filamento), sin flujos de material ni inventario; verificar alcance logístico. HITL: admisión configurable manual↔autónoma; rol Reducido (alternativa: Reemplazado). | FT 2026-09-06: Propuesta de inclusión con dudas. Gemelo digital nodal (máquina) diseñado con componentes y flujos (Fig. 2, Ecs. 6–8); estimador GP/red neuronal y aprendizaje federado especificados, no implementados (marco analítico, sin simulación). Duda principal: el 'supply chain' es dependencia de proveedor (firmware, hardware, filamento), sin flujos de material ni inventario; verificar alcance logístico. HITL: admisión configurable manual↔autónoma; rol Reducido (alternativa: Reemplazado). | TA: Make-annotated production/shop-floor twin with supply chain framing</t>
        </is>
      </c>
    </row>
    <row r="28">
      <c r="A28" s="69" t="inlineStr">
        <is>
          <t>R0078</t>
        </is>
      </c>
      <c r="B28" s="49" t="inlineStr">
        <is>
          <t>Zhang, W., Yu, C., Newman, S.T., Cheung Ho Kin, D. and Zhong, R.Y.</t>
        </is>
      </c>
      <c r="C28" s="69" t="n">
        <v>2026</v>
      </c>
      <c r="D28" s="49" t="inlineStr">
        <is>
          <t>International Journal of Production Research</t>
        </is>
      </c>
      <c r="E28" s="69" t="inlineStr">
        <is>
          <t>10.1080/00207543.2025.2482733</t>
        </is>
      </c>
      <c r="F28" s="69" t="inlineStr">
        <is>
          <t>Empirical data</t>
        </is>
      </c>
      <c r="G28" s="49" t="inlineStr">
        <is>
          <t>Construction</t>
        </is>
      </c>
      <c r="H28" s="69" t="inlineStr">
        <is>
          <t>Y</t>
        </is>
      </c>
      <c r="I28" s="69" t="inlineStr">
        <is>
          <t>Y</t>
        </is>
      </c>
      <c r="J28" s="69" t="inlineStr">
        <is>
          <t>N</t>
        </is>
      </c>
      <c r="K28" s="69" t="inlineStr">
        <is>
          <t>Y</t>
        </is>
      </c>
      <c r="L28" s="69" t="inlineStr">
        <is>
          <t>N</t>
        </is>
      </c>
      <c r="M28" s="69" t="inlineStr">
        <is>
          <t>N</t>
        </is>
      </c>
      <c r="N28" s="69" t="inlineStr">
        <is>
          <t>Classical ML</t>
        </is>
      </c>
      <c r="O28" s="69" t="inlineStr">
        <is>
          <t>Forecasting/estimation</t>
        </is>
      </c>
      <c r="P28" s="69" t="inlineStr">
        <is>
          <t>3 Predictive</t>
        </is>
      </c>
      <c r="Q28" s="69" t="inlineStr">
        <is>
          <t>Maintained</t>
        </is>
      </c>
      <c r="R28" s="69" t="inlineStr">
        <is>
          <t>Interpret outputs</t>
        </is>
      </c>
      <c r="S28" s="49" t="inlineStr">
        <is>
          <t>Not discussed explicitly; humans act when the Kanban warning is triggered by a real-time or forecasted delay (about five days' alert lead time), e.g. reordering or placing expedited orders.</t>
        </is>
      </c>
      <c r="T28" s="49" t="inlineStr">
        <is>
          <t>A digital supply chain twin with a Kanban and AI layer running an improved HMM (M3HMM) forecasts construction material/machine delivery delays; on seven real projects M3HMM reached ~90% accuracy, beating LR, SVR, GMM, LSTM and HMM, with alerts ~5 days ahead for contractors' decisions.</t>
        </is>
      </c>
      <c r="U28" s="49" t="inlineStr">
        <is>
          <t>Key finding: Sections 5.1-5.2 (Tables 1-2), 5.3 and 6 (conclusions i-iv). Twin: Section 1 (contributions), Section 3.2.2 (Figure 3), Section 4.1 (Figure 4), Appendix. HITL evidence: Abstract, Sections 4.1, 5.1, 5.3, Appendix. Page numbers not visible in the HTML version.</t>
        </is>
      </c>
      <c r="V28" s="69" t="inlineStr">
        <is>
          <t>Y</t>
        </is>
      </c>
      <c r="W28" s="49" t="inlineStr">
        <is>
          <t>FT 2026-09-06: Incluido: gemelo de cadena de suministro digital (Fig. 4: capa física, capa digital con Kanban, capa de IA) que integra el M3HMM para pronosticar retrasos de entrega en construcción (7 proyectos reales, Hong Kong). Duda: el gemelo es un marco descrito brevemente sin validación propia; los datos validan solo el modelo ML. HITL implícito: contratistas deciden ante alertas. | FT 2026-09-06: Incluido: gemelo de cadena de suministro digital (Fig. 4: capa física, capa digital con Kanban, capa de IA) que integra el M3HMM para pronosticar retrasos de entrega en construcción (7 proyectos reales, Hong Kong). Duda: el gemelo es un marco descrito brevemente sin validación propia; los datos validan solo el modelo ML. HITL implícito: contratistas deciden ante alertas. | FT 2026-09-06: Incluido: gemelo de cadena de suministro digital (Fig. 4: capa física, capa digital con Kanban, capa de IA) que integra el M3HMM para pronosticar retrasos de entrega en construcción (7 proyectos reales, Hong Kong). Duda: el gemelo es un marco descrito brevemente sin validación propia; los datos validan solo el modelo ML. HITL implícito: contratistas deciden ante alertas. | FT 2026-09-06: Incluido: gemelo de cadena de suministro digital (Fig. 4: capa física, capa digital con Kanban, capa de IA) que integra el M3HMM para pronosticar retrasos de entrega en construcción (7 proyectos reales, Hong Kong). Duda: el gemelo es un marco descrito brevemente sin validación propia; los datos validan solo el modelo ML. HITL implícito: contratistas deciden ante alertas.</t>
        </is>
      </c>
    </row>
    <row r="29">
      <c r="A29" s="69" t="inlineStr">
        <is>
          <t>R0080</t>
        </is>
      </c>
      <c r="B29" s="49" t="inlineStr">
        <is>
          <t>Genetti, S., Scarton, G., Formentini, M. and Iacca, G.</t>
        </is>
      </c>
      <c r="C29" s="69" t="n">
        <v>2026</v>
      </c>
      <c r="D29" s="49" t="inlineStr">
        <is>
          <t>International Journal of Production Economics</t>
        </is>
      </c>
      <c r="E29" s="69" t="inlineStr">
        <is>
          <t>10.1016/j.ijpe.2025.109841</t>
        </is>
      </c>
      <c r="F29" s="69" t="inlineStr">
        <is>
          <t>Empirical case</t>
        </is>
      </c>
      <c r="G29" s="49" t="inlineStr">
        <is>
          <t>Machine tool manufacturing (CNC laser-cutting and tube-processing machines, Adige Spa / BLM Group, Italy; more than half of components outsourced)</t>
        </is>
      </c>
      <c r="H29" s="69" t="inlineStr">
        <is>
          <t>Y</t>
        </is>
      </c>
      <c r="I29" s="69" t="inlineStr">
        <is>
          <t>Y</t>
        </is>
      </c>
      <c r="J29" s="69" t="inlineStr">
        <is>
          <t>Y</t>
        </is>
      </c>
      <c r="K29" s="69" t="inlineStr">
        <is>
          <t>Y</t>
        </is>
      </c>
      <c r="L29" s="69" t="inlineStr">
        <is>
          <t>N</t>
        </is>
      </c>
      <c r="M29" s="69" t="inlineStr">
        <is>
          <t>N</t>
        </is>
      </c>
      <c r="N29" s="69" t="inlineStr">
        <is>
          <t>Hybrid</t>
        </is>
      </c>
      <c r="O29" s="69" t="inlineStr">
        <is>
          <t>Optimisation</t>
        </is>
      </c>
      <c r="P29" s="69" t="inlineStr">
        <is>
          <t>4 Prescriptive-advisory</t>
        </is>
      </c>
      <c r="Q29" s="69" t="inlineStr">
        <is>
          <t>Elevated</t>
        </is>
      </c>
      <c r="R29" s="69" t="inlineStr">
        <is>
          <t>Approve/override</t>
        </is>
      </c>
      <c r="S29" s="49" t="inlineStr">
        <is>
          <t>Expert votes every 10 generations; HITL policy rerun periodically (1-2 weeks) or after major disruptions; feasible given long lead times, harder with hourly rescheduling; interpretability is the precondition for meaningful feedback, since black-box outputs were rejected by planners.</t>
        </is>
      </c>
      <c r="T29" s="49" t="inlineStr">
        <is>
          <t>Action research at Adige Spa: an AnyLogic supply-chain twin drives evolutionary-RL learning of interpretable decision-tree scheduling policies, explained by four LLMs; expert votes steer the search, speeding convergence up to 21% and lowering makespan in 3/5 datasets, while interpretability proved decisive for stakeholder acceptance.</t>
        </is>
      </c>
      <c r="U29" s="49" t="inlineStr">
        <is>
          <t>Key finding: Sect. 7 Results (Figs. 7-8, up to 21% faster convergence, lower makespan in 3 of 5 datasets, Wilcoxon significant on 2 of 5), Sect. 9 Conclusions. Twin and supply chain framing: Sect. 3.1 Research setting (supply chain DT project, supplier sharing), Sect. 4 Problem description (segment of the supply chain, external components c1/c2, trucks to logistics centers), Sect. 5.1, 6.2 (AnyLogic DT models the supply chain segment, SAP MII data), 7 (side note), 8.1, 8.7. AI method: Sect. 5 (first iteration: GA, ACO, Optuna, PPO rejected as opaque), 5.1-5.1.1 (Grammatical Evolution + Q-learning decision trees), 5.2 and 6.4 (gpt-4o, Llama 3.1 405B, Mistral Large, Phi-3 explanations). HITL evidence: Sect. 3.2 (Operations Director requested HITL), Sect. 5 (planners' quotes rejecting black boxes), Sect. 5.3 Human-driven refinement (Figs. 4-5, vote adjusts selection pressure), Sect. 6.2 (feedback every 10 generations), Sect. 8.1 (planners make informed prioritisation decisions), 8.2 (HITL rerun periodically or after disruptions), 8.5 (five production experts' quotes on LLM explanations), 8.6-8.7, Sect. 9 Limitations (richer interaction, multi-user feedback as future work). No page numbers visible in the HTML version.</t>
        </is>
      </c>
      <c r="V29" s="69" t="inlineStr">
        <is>
          <t>Y</t>
        </is>
      </c>
      <c r="W29" s="49" t="inlineStr">
        <is>
          <t>FT 2026-09-06: Incluir. Bandera resuelta: el artículo enmarca el gemelo como DT de cadena de suministro (componentes externos c1/c2, camiones a centros logísticos, intercambio con proveedores), aunque la optimización es programación HFS por makespan. IA: evolución gramatical + Q-learning (árboles de decisión) y LLM explicativos. HITL: voto del experto guía la optimización. Dudas: Source/Deliver solo como fechas de llegada/transporte; hitl_role quizá 'Maintained'. | FT 2026-09-06: Incluir. Bandera resuelta: el artículo enmarca el gemelo como DT de cadena de suministro (componentes externos c1/c2, camiones a centros logísticos, intercambio con proveedores), aunque la optimización es programación HFS por makespan. IA: evolución gramatical + Q-learning (árboles de decisión) y LLM explicativos. HITL: voto del experto guía la optimización. Dudas: Source/Deliver solo como fechas de llegada/transporte; hitl_role quizá 'Maintained'. | FT 2026-09-06: Incluir. Bandera resuelta: el artículo enmarca el gemelo como DT de cadena de suministro (componentes externos c1/c2, camiones a centros logísticos, intercambio con proveedores), aunque la optimización es programación HFS por makespan. IA: evolución gramatical + Q-learning (árboles de decisión) y LLM explicativos. HITL: voto del experto guía la optimización. Dudas: Source/Deliver solo como fechas de llegada/transporte; hitl_role quizá 'Maintained'. | FT 2026-09-06: Incluir. Bandera resuelta: el artículo enmarca el gemelo como DT de cadena de suministro (componentes externos c1/c2, camiones a centros logísticos, intercambio con proveedores), aunque la optimización es programación HFS por makespan. IA: evolución gramatical + Q-learning (árboles de decisión) y LLM explicativos. HITL: voto del experto guía la optimización. Dudas: Source/Deliver solo como fechas de llegada/transporte; hitl_role quizá 'Maintained'. | TA: Make-annotated production/shop-floor twin with supply chain framing; TA flag: Make más débil (C5): encuadre de cadena por palabra clave y una frase de gestión de operaciones y cadena ("adoption of iDTs in operations and supply chain management"); conservado por su relevancia HITL directa ("keeping humans at the core of the process", ML interpretable y LLM); veto posible.</t>
        </is>
      </c>
    </row>
    <row r="30">
      <c r="A30" s="69" t="inlineStr">
        <is>
          <t>R0081</t>
        </is>
      </c>
      <c r="B30" s="49" t="inlineStr">
        <is>
          <t>Luo, Y. and Ball, P.</t>
        </is>
      </c>
      <c r="C30" s="69" t="n">
        <v>2026</v>
      </c>
      <c r="D30" s="49" t="inlineStr">
        <is>
          <t>Lecture Notes in Mechanical Engineering</t>
        </is>
      </c>
      <c r="E30" s="69" t="inlineStr">
        <is>
          <t>10.1007/978-3-032-21157-6_47</t>
        </is>
      </c>
      <c r="F30" s="69" t="n"/>
      <c r="G30" s="69" t="n"/>
      <c r="H30" s="69" t="n"/>
      <c r="I30" s="69" t="n"/>
      <c r="J30" s="69" t="n"/>
      <c r="K30" s="69" t="n"/>
      <c r="L30" s="69" t="n"/>
      <c r="M30" s="69" t="n"/>
      <c r="N30" s="69" t="n"/>
      <c r="O30" s="69" t="n"/>
      <c r="P30" s="69" t="n"/>
      <c r="Q30" s="69" t="n"/>
      <c r="R30" s="69" t="n"/>
      <c r="S30" s="49" t="n"/>
      <c r="T30" s="49" t="n"/>
      <c r="U30" s="69" t="n"/>
      <c r="V30" s="69" t="n"/>
      <c r="W30" s="49" t="inlineStr">
        <is>
          <t>FT: EXCLUDED - No AI/ML component. Excluir por IA: solo 'machine learning algorithms' genéricos, sin método nombrado; la optimización 'remains at the conceptual level' (futuro, 3.2). FLAG: sí hay contenido de cadena de suministro (recolección y transporte de SMS, 'supply chain partners' en el modelo conceptual, Tabla 1), aunque la simulación cubre solo la conversión. Duda: 'energy optimization algorithms minimized power use' (3.2).</t>
        </is>
      </c>
    </row>
    <row r="31">
      <c r="A31" s="69" t="inlineStr">
        <is>
          <t>R0082</t>
        </is>
      </c>
      <c r="B31" s="49" t="inlineStr">
        <is>
          <t>Dhanalakshmi, R., Onkar, S., Vijayaraghavan, N. and Baskar, M.</t>
        </is>
      </c>
      <c r="C31" s="69" t="n">
        <v>2026</v>
      </c>
      <c r="D31" s="49" t="inlineStr">
        <is>
          <t>2026 International Conference on System, Computation, Automation and Networking, ICSCAN 2026</t>
        </is>
      </c>
      <c r="E31" s="69" t="inlineStr">
        <is>
          <t>10.1109/icscan66520.2026.11588493</t>
        </is>
      </c>
      <c r="F31" s="69" t="n"/>
      <c r="G31" s="69" t="n"/>
      <c r="H31" s="69" t="n"/>
      <c r="I31" s="69" t="n"/>
      <c r="J31" s="69" t="n"/>
      <c r="K31" s="69" t="n"/>
      <c r="L31" s="69" t="n"/>
      <c r="M31" s="69" t="n"/>
      <c r="N31" s="69" t="n"/>
      <c r="O31" s="69" t="n"/>
      <c r="P31" s="69" t="n"/>
      <c r="Q31" s="69" t="n"/>
      <c r="R31" s="69" t="n"/>
      <c r="S31" s="49" t="n"/>
      <c r="T31" s="49" t="n"/>
      <c r="U31" s="69" t="n"/>
      <c r="V31" s="69" t="n"/>
      <c r="W31"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32">
      <c r="A32" s="69" t="inlineStr">
        <is>
          <t>R0084</t>
        </is>
      </c>
      <c r="B32" s="49" t="inlineStr">
        <is>
          <t>Ivanov, D.</t>
        </is>
      </c>
      <c r="C32" s="69" t="n">
        <v>2026</v>
      </c>
      <c r="D32" s="49" t="inlineStr">
        <is>
          <t>International Journal of Production Research</t>
        </is>
      </c>
      <c r="E32" s="69" t="inlineStr">
        <is>
          <t>10.1080/00207543.2026.2630277</t>
        </is>
      </c>
      <c r="F32" s="69" t="inlineStr">
        <is>
          <t>Conceptual</t>
        </is>
      </c>
      <c r="G32" s="49" t="inlineStr">
        <is>
          <t>Generic/cross-sector (illustrations: Automotive - Ford deep-tier network; Cloud/IT - Microsoft cloud supply chain)</t>
        </is>
      </c>
      <c r="H32" s="69" t="inlineStr">
        <is>
          <t>Y</t>
        </is>
      </c>
      <c r="I32" s="69" t="inlineStr">
        <is>
          <t>Y</t>
        </is>
      </c>
      <c r="J32" s="69" t="inlineStr">
        <is>
          <t>Y</t>
        </is>
      </c>
      <c r="K32" s="69" t="inlineStr">
        <is>
          <t>Y</t>
        </is>
      </c>
      <c r="L32" s="69" t="inlineStr">
        <is>
          <t>N</t>
        </is>
      </c>
      <c r="M32" s="69" t="inlineStr">
        <is>
          <t>Y</t>
        </is>
      </c>
      <c r="N32" s="69" t="inlineStr">
        <is>
          <t>LLM/agent</t>
        </is>
      </c>
      <c r="O32" s="69" t="inlineStr">
        <is>
          <t>Decision support</t>
        </is>
      </c>
      <c r="P32" s="69" t="inlineStr">
        <is>
          <t>4 Prescriptive-advisory</t>
        </is>
      </c>
      <c r="Q32" s="69" t="inlineStr">
        <is>
          <t>Elevated</t>
        </is>
      </c>
      <c r="R32" s="69" t="inlineStr">
        <is>
          <t>Set objectives/constraints; Approve/override; Interpret outputs; Handle exceptions</t>
        </is>
      </c>
      <c r="S32" s="49" t="inlineStr">
        <is>
          <t>Humans lead in non-standardised situations, define objectives, scenarios and agent rules, and validate/verify outputs; standardised, routine decisions (e.g. order placement, schedule changes) can be delegated to agents; alerts reach managers directly or after MAS pre-processing (stress test TTR&gt;TTS).</t>
        </is>
      </c>
      <c r="T32" s="49" t="inlineStr">
        <is>
          <t>Theorises the A-SCDT (agentic AI + digital twin + model-based optimisation/simulation) via the ICARUS framework: an architecture of data-concierge, co-pilot, LLM role, risk and operational agents around a central human planner; humans lead and validate, AI informs and automates flows, humans monitor anomalies.</t>
        </is>
      </c>
      <c r="U32" s="49" t="inlineStr">
        <is>
          <t>Key finding: Abstract; Sec. 1 Introduction (A-SCDT definition); Sec. 3 ICARUS framework; Sec. 4.2 Agentic supply chain digital twin (Fig. 4 architecture, Microsoft and Ford cases, generalised deployment scenario); Sec. 6.1-6.2. HITL evidence: Sec. 3 (Adaptation: 'keeping a human in the loop'; Synchronisation: decision competence delegated to algorithms); Sec. 4.1 Role of the A-SCDT (Fig. 3, human-AI complementarity); Sec. 4.2 (user as central entity, co-pilot agents, risk-agent alert options, operational agents execute); Sec. 4.3 (where humans lead / AI informs / AI automates / humans monitor); Sec. 5.1 Challenges (third to fifth: deskilling, model misuse, validation independent from AI); Sec. 5.2 (fourth: AI as primary interface); Sec. 6.2 Managerial implications (over-reliance warning). HTML version, no page numbers.</t>
        </is>
      </c>
      <c r="V32" s="69" t="inlineStr">
        <is>
          <t>Y</t>
        </is>
      </c>
      <c r="W32" s="49" t="inlineStr">
        <is>
          <t>FT 2026-09-06: Incluido como conceptual: el objeto es el concepto de gemelo agéntico (A-SCDT) con arquitectura (Fig. 4) y casos Microsoft/Ford tomados de la literatura; sin experimento ni datos propios. Integración mixta: apoyo consultivo centrado en el planificador (4) pero prevé agentes operativos que ejecutan decisiones rutinarias (5). Técnica LLM/agente; ML/RL sólo complementarios (¿Hybrid?). Return no cubierto. | FT 2026-09-06: Incluido como conceptual: el objeto es el concepto de gemelo agéntico (A-SCDT) con arquitectura (Fig. 4) y casos Microsoft/Ford tomados de la literatura; sin experimento ni datos propios. Integración mixta: apoyo consultivo centrado en el planificador (4) pero prevé agentes operativos que ejecutan decisiones rutinarias (5). Técnica LLM/agente; ML/RL sólo complementarios (¿Hybrid?). Return no cubierto. | FT 2026-09-06: Incluido como conceptual: el objeto es el concepto de gemelo agéntico (A-SCDT) con arquitectura (Fig. 4) y casos Microsoft/Ford tomados de la literatura; sin experimento ni datos propios. Integración mixta: apoyo consultivo centrado en el planificador (4) pero prevé agentes operativos que ejecutan decisiones rutinarias (5). Técnica LLM/agente; ML/RL sólo complementarios (¿Hybrid?). Return no cubierto. | FT 2026-09-06: Incluido como conceptual: el objeto es el concepto de gemelo agéntico (A-SCDT) con arquitectura (Fig. 4) y casos Microsoft/Ford tomados de la literatura; sin experimento ni datos propios. Integración mixta: apoyo consultivo centrado en el planificador (4) pero prevé agentes operativos que ejecutan decisiones rutinarias (5). Técnica LLM/agente; ML/RL sólo complementarios (¿Hybrid?). Return no cubierto.</t>
        </is>
      </c>
    </row>
    <row r="33">
      <c r="A33" s="69" t="inlineStr">
        <is>
          <t>R0089</t>
        </is>
      </c>
      <c r="B33" s="49" t="inlineStr">
        <is>
          <t>Zhenzhen, X.</t>
        </is>
      </c>
      <c r="C33" s="69" t="n">
        <v>2026</v>
      </c>
      <c r="D33" s="49" t="inlineStr">
        <is>
          <t>Lecture Notes in Electrical Engineering</t>
        </is>
      </c>
      <c r="E33" s="69" t="inlineStr">
        <is>
          <t>10.1007/978-981-95-8056-9_35</t>
        </is>
      </c>
      <c r="F33" s="69" t="n"/>
      <c r="G33" s="69" t="n"/>
      <c r="H33" s="69" t="n"/>
      <c r="I33" s="69" t="n"/>
      <c r="J33" s="69" t="n"/>
      <c r="K33" s="69" t="n"/>
      <c r="L33" s="69" t="n"/>
      <c r="M33" s="69" t="n"/>
      <c r="N33" s="69" t="n"/>
      <c r="O33" s="69" t="n"/>
      <c r="P33" s="69" t="n"/>
      <c r="Q33" s="69" t="n"/>
      <c r="R33" s="69" t="n"/>
      <c r="S33" s="49" t="n"/>
      <c r="T33" s="49" t="n"/>
      <c r="U33" s="69" t="n"/>
      <c r="V33" s="69" t="n"/>
      <c r="W33" s="49" t="inlineStr">
        <is>
          <t>FT: NOT RETRIEVED. Paywall Springer (LNEE vol. 1595, paquete 'Springer Nature Proceedings excluding Computer Science'): el proxy de Hull sigue mostrando solo el resumen ('preview of subscription content'). Semantic Scholar no indexa el DOI (sin copia OA). Se requiere PDF manual (Tec/compra) antes de codificar; por resumen parece candidato a inclusión (gemelo + ABM/RL + logística urbana).</t>
        </is>
      </c>
    </row>
    <row r="34">
      <c r="A34" s="69" t="inlineStr">
        <is>
          <t>R0094</t>
        </is>
      </c>
      <c r="B34" s="49" t="inlineStr">
        <is>
          <t>Ozturk, C. and O'Sullivan, B.</t>
        </is>
      </c>
      <c r="C34" s="69" t="n">
        <v>2026</v>
      </c>
      <c r="D34" s="49" t="inlineStr">
        <is>
          <t>TRANSPORT TRANSITIONS: ADVANCING SUSTAINABLE AND INCLUSIVE MOBILITY, TRA CONFERENCE 2024, VOL 5</t>
        </is>
      </c>
      <c r="E34" s="69" t="inlineStr">
        <is>
          <t>10.1007/978-3-032-04774-8_75</t>
        </is>
      </c>
      <c r="F34" s="69" t="inlineStr">
        <is>
          <t>Conceptual</t>
        </is>
      </c>
      <c r="G34" s="49" t="inlineStr">
        <is>
          <t>Generic/cross-sector (multi-tier supply chain networks of public and private organisations; requirements from interviews, mainly manufacturing)</t>
        </is>
      </c>
      <c r="H34" s="69" t="inlineStr">
        <is>
          <t>Y</t>
        </is>
      </c>
      <c r="I34" s="69" t="inlineStr">
        <is>
          <t>Y</t>
        </is>
      </c>
      <c r="J34" s="69" t="inlineStr">
        <is>
          <t>Y</t>
        </is>
      </c>
      <c r="K34" s="69" t="inlineStr">
        <is>
          <t>Y</t>
        </is>
      </c>
      <c r="L34" s="69" t="inlineStr">
        <is>
          <t>N</t>
        </is>
      </c>
      <c r="M34" s="69" t="inlineStr">
        <is>
          <t>Y</t>
        </is>
      </c>
      <c r="N34" s="69" t="inlineStr">
        <is>
          <t>Other deep learning</t>
        </is>
      </c>
      <c r="O34" s="69" t="inlineStr">
        <is>
          <t>Simulation surrogate</t>
        </is>
      </c>
      <c r="P34" s="69" t="inlineStr">
        <is>
          <t>4 Prescriptive-advisory</t>
        </is>
      </c>
      <c r="Q34" s="69" t="inlineStr">
        <is>
          <t>Not discussed</t>
        </is>
      </c>
      <c r="R34" s="69" t="inlineStr">
        <is>
          <t>Interpret outputs</t>
        </is>
      </c>
      <c r="S34" s="49" t="inlineStr">
        <is>
          <t>Not discussed explicitly; the ANN surrogate is designed so practitioners can run stress tests without modeling tools, and components are to be developed with continuous stakeholder feedback.</t>
        </is>
      </c>
      <c r="T34" s="49" t="inlineStr">
        <is>
          <t>Conceptual proposal (no implementation or results): a supply-chain digital twin combining a BOM/geospatial graph model, ML disruption prediction, an optimisation decision model and discrete-event simulation with a feedback loop; an ANN metamodel trained on the decision-simulation pair serves as surrogate so practitioners can stress-test without modeling tools.</t>
        </is>
      </c>
      <c r="U34" s="49" t="inlineStr">
        <is>
          <t>Key finding: Abstract; Sect. 3 Adaptive Supply Chain Stress Testing Framework (architecture text + Fig. 1); Sect. 4 Conclusion and the Future Research (all development described as future work). HITL evidence: Sect. 3 (ANN metamodel 'enables stakeholders to use the stress testing framework without needing decision and simulation modeling tools'); Sect. 2 Industry Perspective (status quo: decisions 'rely on expert opinion'); Sect. 2.1 item (3) 'minimizing the complexity of the analytics methods for practitioners'; Sect. 4 ('continuous feedback from engaged industry stakeholders'). SCOR evidence: Sect. 3 BOM/facility graph with 'material flow between facilities' and mitigation by 'resource allocation' (Source/Make/Deliver); Sect. 2 needs (4) 'dual sourcing, buffer allocation, re-allocating capacities and transportation of entities' (Plan/Source/Make/Deliver); Sect. 4 'manufacturing re-purposing' (Make). end_to_end=Y from Abstract 'multi-tier supply chain networks' and Sect. 2 'end-to-end supply chain resilience' / 'the whole value chain', but the customer side appears only as 'demand fluctuations' scenarios. ML disruption predictor: Abstract only (Sect. 3 says disruption duration/probability 'computed through stakeholder historical records and publicly available data via web scraping', no method named). No page numbers visible in the HTML version.</t>
        </is>
      </c>
      <c r="V34" s="69" t="inlineStr">
        <is>
          <t>N</t>
        </is>
      </c>
      <c r="W34" s="49" t="inlineStr">
        <is>
          <t>FT 2026-09-06: Incluido con dudas: marco conceptual (nada implementado) de gemelo digital de cadena multi-nivel con predicción ML de disrupciones, modelo de decisión, simulación DES y metamodelo ANN como sustituto. Dudas: ¿arquitectura (Sección 3 + Fig. 1) suficientemente concreta o «puramente conceptual»? Sección 3 no dice «gemelo digital»; método ML de predicción sin nombrar; HITL solo implícito (apoyo a practicantes). | FT 2026-09-06: Incluido con dudas: marco conceptual (nada implementado) de gemelo digital de cadena multi-nivel con predicción ML de disrupciones, modelo de decisión, simulación DES y metamodelo ANN como sustituto. Dudas: ¿arquitectura (Sección 3 + Fig. 1) suficientemente concreta o «puramente conceptual»? Sección 3 no dice «gemelo digital»; método ML de predicción sin nombrar; HITL solo implícito (apoyo a practicantes).</t>
        </is>
      </c>
    </row>
    <row r="35">
      <c r="A35" s="69" t="inlineStr">
        <is>
          <t>R0097</t>
        </is>
      </c>
      <c r="B35" s="49" t="inlineStr">
        <is>
          <t>Keshvarinia, M., MacKenzie, C.A. and Zhao, Z.</t>
        </is>
      </c>
      <c r="C35" s="69" t="n">
        <v>2025</v>
      </c>
      <c r="D35" s="49" t="inlineStr">
        <is>
          <t>Decision Analytics Journal</t>
        </is>
      </c>
      <c r="E35" s="69" t="inlineStr">
        <is>
          <t>10.1016/j.dajour.2025.100646</t>
        </is>
      </c>
      <c r="F35" s="69" t="inlineStr">
        <is>
          <t>Simulation/synthetic</t>
        </is>
      </c>
      <c r="G35" s="49" t="inlineStr">
        <is>
          <t>Manufacturing (generic, hypothetical job shop)</t>
        </is>
      </c>
      <c r="H35" s="69" t="inlineStr">
        <is>
          <t>Y</t>
        </is>
      </c>
      <c r="I35" s="69" t="inlineStr">
        <is>
          <t>Y</t>
        </is>
      </c>
      <c r="J35" s="69" t="inlineStr">
        <is>
          <t>Y</t>
        </is>
      </c>
      <c r="K35" s="69" t="inlineStr">
        <is>
          <t>N</t>
        </is>
      </c>
      <c r="L35" s="69" t="inlineStr">
        <is>
          <t>N</t>
        </is>
      </c>
      <c r="M35" s="69" t="inlineStr">
        <is>
          <t>N</t>
        </is>
      </c>
      <c r="N35" s="69" t="inlineStr">
        <is>
          <t>Classical ML</t>
        </is>
      </c>
      <c r="O35" s="69" t="inlineStr">
        <is>
          <t>Simulation surrogate</t>
        </is>
      </c>
      <c r="P35" s="69" t="inlineStr">
        <is>
          <t>4 Prescriptive-advisory</t>
        </is>
      </c>
      <c r="Q35" s="69" t="inlineStr">
        <is>
          <t>Maintained</t>
        </is>
      </c>
      <c r="R35" s="69" t="inlineStr">
        <is>
          <t>Approve/override</t>
        </is>
      </c>
      <c r="S35" s="49" t="inlineStr">
        <is>
          <t>Explicitly a 'human-in-the-loop DT system', not autonomous: humans evaluate and execute ML-suggested mitigation sets; role unchanged by real-time updates. Authors note workforce training, data infrastructure and weekly/event-triggered updates as implementation conditions (Sect. 3, 5).</t>
        </is>
      </c>
      <c r="T35" s="49" t="inlineStr">
        <is>
          <t>Simulated DT (Simio DES: five-station plant, five suppliers, (Q,r) inventory, condition-based maintenance) with six ML regressors as surrogates predicting profit of 5,880 mitigation combinations; static recommendations recover 72%/50% of lost profit (32/48-day delays), and real-time state updates at supply arrival change the optimal mix (forklift, reorder quantity, overtime).</t>
        </is>
      </c>
      <c r="U35" s="49" t="inlineStr">
        <is>
          <t>Key finding: Sect. 4.2.1-4.2.2 (Tables 6-10) and Sect. 5 Managerial implications; HITL: Sect. 3 Methods (paragraph after Fig. 1) and Sect. 5; twin and caveat: Sect. 1 Introduction, Sect. 3 Methods (Figs. 1-2); SC framing: Sect. 3.2.2 Inventory, 3.3.1 Supply disruption, 6 Conclusion. No page numbers visible (article no. 100646).</t>
        </is>
      </c>
      <c r="V35" s="69" t="inlineStr">
        <is>
          <t>Y</t>
        </is>
      </c>
      <c r="W35" s="49" t="inlineStr">
        <is>
          <t>FT 2026-09-06: Incluir: DES en Simio que los autores llaman DT (marco Figs. 1-2), con cinco proveedores, lead times, política (Q,r), disrupción de suministro y montacargas; seis regresores ML entrenados con la simulación eligen la mitigación; HITL explícito (asesor, no control). Dudas: sistema hipotético sin datos reales y actualización en tiempo real emulada; OptQuest (metaheurística) solo fija umbrales de mantenimiento. | FT 2026-09-06: Incluir: DES en Simio que los autores llaman DT (marco Figs. 1-2), con cinco proveedores, lead times, política (Q,r), disrupción de suministro y montacargas; seis regresores ML entrenados con la simulación eligen la mitigación; HITL explícito (asesor, no control). Dudas: sistema hipotético sin datos reales y actualización en tiempo real emulada; OptQuest (metaheurística) solo fija umbrales de mantenimiento. | FT 2026-09-06: Incluir: DES en Simio que los autores llaman DT (marco Figs. 1-2), con cinco proveedores, lead times, política (Q,r), disrupción de suministro y montacargas; seis regresores ML entrenados con la simulación eligen la mitigación; HITL explícito (asesor, no control). Dudas: sistema hipotético sin datos reales y actualización en tiempo real emulada; OptQuest (metaheurística) solo fija umbrales de mantenimiento. | FT 2026-09-06: Incluir: DES en Simio que los autores llaman DT (marco Figs. 1-2), con cinco proveedores, lead times, política (Q,r), disrupción de suministro y montacargas; seis regresores ML entrenados con la simulación eligen la mitigación; HITL explícito (asesor, no control). Dudas: sistema hipotético sin datos reales y actualización en tiempo real emulada; OptQuest (metaheurística) solo fija umbrales de mantenimiento. | TA: Make-annotated production/shop-floor twin with supply chain framing</t>
        </is>
      </c>
    </row>
    <row r="36">
      <c r="A36" s="69" t="inlineStr">
        <is>
          <t>R0105</t>
        </is>
      </c>
      <c r="B36" s="49" t="inlineStr">
        <is>
          <t>Rizkia, I. and Yulianto, H.D.</t>
        </is>
      </c>
      <c r="C36" s="69" t="n">
        <v>2025</v>
      </c>
      <c r="D36" s="49" t="inlineStr">
        <is>
          <t>2025 International Conference on ICT for Smart Society, ICISS 2025</t>
        </is>
      </c>
      <c r="E36" s="69" t="inlineStr">
        <is>
          <t>10.1109/iciss66954.2025.11389384</t>
        </is>
      </c>
      <c r="F36" s="69" t="n"/>
      <c r="G36" s="69" t="n"/>
      <c r="H36" s="69" t="n"/>
      <c r="I36" s="69" t="n"/>
      <c r="J36" s="69" t="n"/>
      <c r="K36" s="69" t="n"/>
      <c r="L36" s="69" t="n"/>
      <c r="M36" s="69" t="n"/>
      <c r="N36" s="69" t="n"/>
      <c r="O36" s="69" t="n"/>
      <c r="P36" s="69" t="n"/>
      <c r="Q36" s="69" t="n"/>
      <c r="R36" s="69" t="n"/>
      <c r="S36" s="49" t="n"/>
      <c r="T36" s="49" t="n"/>
      <c r="U36" s="69" t="n"/>
      <c r="V36" s="69" t="n"/>
      <c r="W36"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37">
      <c r="A37" s="69" t="inlineStr">
        <is>
          <t>R0107</t>
        </is>
      </c>
      <c r="B37" s="49" t="inlineStr">
        <is>
          <t>Jacha, H.R.B., Acuña, E.H.A., Acosta, A.K.N., Becerra Felipe, J.L., Rivas, J.R.R. and Carrizales Navarro, J.A.</t>
        </is>
      </c>
      <c r="C37" s="69" t="n">
        <v>2025</v>
      </c>
      <c r="D37" s="49" t="inlineStr">
        <is>
          <t>Proceedings of the 2025 IEEE 32nd International Conference on Electronics, Electrical Engineering and Computing, INTERCON 2025</t>
        </is>
      </c>
      <c r="E37" s="69" t="inlineStr">
        <is>
          <t>10.1109/intercon67304.2025.11244693</t>
        </is>
      </c>
      <c r="F37" s="69" t="n"/>
      <c r="G37" s="69" t="n"/>
      <c r="H37" s="69" t="n"/>
      <c r="I37" s="69" t="n"/>
      <c r="J37" s="69" t="n"/>
      <c r="K37" s="69" t="n"/>
      <c r="L37" s="69" t="n"/>
      <c r="M37" s="69" t="n"/>
      <c r="N37" s="69" t="n"/>
      <c r="O37" s="69" t="n"/>
      <c r="P37" s="69" t="n"/>
      <c r="Q37" s="69" t="n"/>
      <c r="R37" s="69" t="n"/>
      <c r="S37" s="49" t="n"/>
      <c r="T37" s="49" t="n"/>
      <c r="U37" s="69" t="n"/>
      <c r="V37" s="69" t="n"/>
      <c r="W37"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38">
      <c r="A38" s="69" t="inlineStr">
        <is>
          <t>R0108</t>
        </is>
      </c>
      <c r="B38" s="49" t="inlineStr">
        <is>
          <t>Rathnavel, P.</t>
        </is>
      </c>
      <c r="C38" s="69" t="n">
        <v>2025</v>
      </c>
      <c r="D38" s="49" t="inlineStr">
        <is>
          <t>2025 IEEE 7th International Conference on Computing, Communication and Automation, ICCCA 2025</t>
        </is>
      </c>
      <c r="E38" s="69" t="inlineStr">
        <is>
          <t>10.1109/iccca66364.2025.11325651</t>
        </is>
      </c>
      <c r="F38" s="69" t="n"/>
      <c r="G38" s="69" t="n"/>
      <c r="H38" s="69" t="n"/>
      <c r="I38" s="69" t="n"/>
      <c r="J38" s="69" t="n"/>
      <c r="K38" s="69" t="n"/>
      <c r="L38" s="69" t="n"/>
      <c r="M38" s="69" t="n"/>
      <c r="N38" s="69" t="n"/>
      <c r="O38" s="69" t="n"/>
      <c r="P38" s="69" t="n"/>
      <c r="Q38" s="69" t="n"/>
      <c r="R38" s="69" t="n"/>
      <c r="S38" s="49" t="n"/>
      <c r="T38" s="49" t="n"/>
      <c r="U38" s="69" t="n"/>
      <c r="V38" s="69" t="n"/>
      <c r="W38"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39">
      <c r="A39" s="69" t="inlineStr">
        <is>
          <t>R0113</t>
        </is>
      </c>
      <c r="B39" s="49" t="inlineStr">
        <is>
          <t>Fatorachian, H., Kazemi, H. and Pawar, K.</t>
        </is>
      </c>
      <c r="C39" s="69" t="n">
        <v>2025</v>
      </c>
      <c r="D39" s="49" t="inlineStr">
        <is>
          <t>Smart Cities</t>
        </is>
      </c>
      <c r="E39" s="69" t="inlineStr">
        <is>
          <t>10.3390/smartcities8020056</t>
        </is>
      </c>
      <c r="F39" s="69" t="inlineStr">
        <is>
          <t>Empirical data</t>
        </is>
      </c>
      <c r="G39" s="49" t="inlineStr">
        <is>
          <t>Urban logistics / last-mile delivery</t>
        </is>
      </c>
      <c r="H39" s="69" t="inlineStr">
        <is>
          <t>Y</t>
        </is>
      </c>
      <c r="I39" s="69" t="inlineStr">
        <is>
          <t>N</t>
        </is>
      </c>
      <c r="J39" s="69" t="inlineStr">
        <is>
          <t>N</t>
        </is>
      </c>
      <c r="K39" s="69" t="inlineStr">
        <is>
          <t>Y</t>
        </is>
      </c>
      <c r="L39" s="69" t="inlineStr">
        <is>
          <t>N</t>
        </is>
      </c>
      <c r="M39" s="69" t="inlineStr">
        <is>
          <t>N</t>
        </is>
      </c>
      <c r="N39" s="69" t="inlineStr">
        <is>
          <t>Hybrid</t>
        </is>
      </c>
      <c r="O39" s="69" t="inlineStr">
        <is>
          <t>Forecasting/estimation</t>
        </is>
      </c>
      <c r="P39" s="69" t="inlineStr">
        <is>
          <t>5 Prescriptive-autonomous</t>
        </is>
      </c>
      <c r="Q39" s="69" t="inlineStr">
        <is>
          <t>Reduced</t>
        </is>
      </c>
      <c r="R39" s="69" t="inlineStr">
        <is>
          <t>Set objectives/constraints</t>
        </is>
      </c>
      <c r="S39" s="49" t="inlineStr">
        <is>
          <t>Autonomy applies to real-time operational adjustments (routes, schedules) because urban conditions change too fast for manual management; humans retain strategic and policy-level oversight, defining objectives, constraints and long-term targets, and use dashboards/simulations for proactive planning.</t>
        </is>
      </c>
      <c r="T39" s="49" t="inlineStr">
        <is>
          <t>Framework combining IoT data, XGBoost/MLP predictors, a digital twin and a cybernetic feedback loop for last-mile delivery; on real data from a UK logistics firm, delivery-quality prediction accuracy rose from 76.3% (AUC 0.45) to 85.0% with the feedback loop; operational decisions are autonomous, humans set objectives.</t>
        </is>
      </c>
      <c r="U39" s="49" t="inlineStr">
        <is>
          <t>Key finding: Sect. 2.7 (three-layer architecture, Fig. 1); Sect. 3.2-3.4 (XGBoost/MLP formulation, Yorkshire dataset, case study); Sect. 4.2.1 (Fig. 7, 76.3% accuracy) and Sect. 4.3.1-4.3.3 (Figs. 10-12, AUC 0.453, 85.0% accuracy with feedback loop); Sect. 6 Conclusions. HITL evidence: Sect. 3.2.2 (final two paragraphs), Sect. 3.3.3, Sect. 2.6.2, Sect. 5.4. No page numbers visible in the HTML version.</t>
        </is>
      </c>
      <c r="V39" s="69" t="inlineStr">
        <is>
          <t>Y</t>
        </is>
      </c>
      <c r="W39" s="49" t="inlineStr">
        <is>
          <t>FT 2026-09-06: Incluir: gemelo digital diseñado (arquitectura Fig. 1, tres capas) con XGBoost/MLP ejecutados sobre datos reales de un operador logístico de Yorkshire; última milla. Dudas: el gemelo solo se describe, los resultados son del clasificador (AUC 0,45 base); autonomía operativa declarada (nivel 5) vs. rutas «sugeridas» (nivel 4); evidencia: datos empíricos vs. caso; técnica híbrida (XGBoost+MLP). | FT 2026-09-06: Incluir: gemelo digital diseñado (arquitectura Fig. 1, tres capas) con XGBoost/MLP ejecutados sobre datos reales de un operador logístico de Yorkshire; última milla. Dudas: el gemelo solo se describe, los resultados son del clasificador (AUC 0,45 base); autonomía operativa declarada (nivel 5) vs. rutas «sugeridas» (nivel 4); evidencia: datos empíricos vs. caso; técnica híbrida (XGBoost+MLP). | FT 2026-09-06: Incluir: gemelo digital diseñado (arquitectura Fig. 1, tres capas) con XGBoost/MLP ejecutados sobre datos reales de un operador logístico de Yorkshire; última milla. Dudas: el gemelo solo se describe, los resultados son del clasificador (AUC 0,45 base); autonomía operativa declarada (nivel 5) vs. rutas «sugeridas» (nivel 4); evidencia: datos empíricos vs. caso; técnica híbrida (XGBoost+MLP). | FT 2026-09-06: Incluir: gemelo digital diseñado (arquitectura Fig. 1, tres capas) con XGBoost/MLP ejecutados sobre datos reales de un operador logístico de Yorkshire; última milla. Dudas: el gemelo solo se describe, los resultados son del clasificador (AUC 0,45 base); autonomía operativa declarada (nivel 5) vs. rutas «sugeridas» (nivel 4); evidencia: datos empíricos vs. caso; técnica híbrida (XGBoost+MLP).</t>
        </is>
      </c>
    </row>
    <row r="40">
      <c r="A40" s="69" t="inlineStr">
        <is>
          <t>R0116</t>
        </is>
      </c>
      <c r="B40" s="49" t="inlineStr">
        <is>
          <t>Fedorin, D.V., Nastenko, S.K., Polyanichenko, D.S., Sukhanov, A.V., Grishaev, S.Y. and Butakova, M.A.</t>
        </is>
      </c>
      <c r="C40" s="69" t="n">
        <v>2025</v>
      </c>
      <c r="D40" s="49" t="inlineStr">
        <is>
          <t>International Journal of Fuzzy Logic and Intelligent Systems</t>
        </is>
      </c>
      <c r="E40" s="69" t="inlineStr">
        <is>
          <t>10.5391/ijfis.2025.25.1.97</t>
        </is>
      </c>
      <c r="F40" s="69" t="inlineStr">
        <is>
          <t>Empirical data</t>
        </is>
      </c>
      <c r="G40" s="49" t="inlineStr">
        <is>
          <t>Maritime/port</t>
        </is>
      </c>
      <c r="H40" s="69" t="inlineStr">
        <is>
          <t>N</t>
        </is>
      </c>
      <c r="I40" s="69" t="inlineStr">
        <is>
          <t>N</t>
        </is>
      </c>
      <c r="J40" s="69" t="inlineStr">
        <is>
          <t>N</t>
        </is>
      </c>
      <c r="K40" s="69" t="inlineStr">
        <is>
          <t>Y</t>
        </is>
      </c>
      <c r="L40" s="69" t="inlineStr">
        <is>
          <t>N</t>
        </is>
      </c>
      <c r="M40" s="69" t="inlineStr">
        <is>
          <t>N</t>
        </is>
      </c>
      <c r="N40" s="69" t="inlineStr">
        <is>
          <t>Other deep learning</t>
        </is>
      </c>
      <c r="O40" s="69" t="inlineStr">
        <is>
          <t>Other</t>
        </is>
      </c>
      <c r="P40" s="69" t="inlineStr">
        <is>
          <t>1 Descriptive</t>
        </is>
      </c>
      <c r="Q40" s="69" t="inlineStr">
        <is>
          <t>Reduced</t>
        </is>
      </c>
      <c r="R40" s="69" t="inlineStr">
        <is>
          <t>Approve/override</t>
        </is>
      </c>
      <c r="S40" s="49" t="inlineStr">
        <is>
          <t>User adjusts polygon vertices when unsatisfied with AI contours, marks anchors, confirms integration into the twin and triggers updates when offline monitoring alerts to changes; the system can run unvalidated, but quality needs the corrections.</t>
        </is>
      </c>
      <c r="T40" s="49" t="inlineStr">
        <is>
          <t>A GIS-integrated editor with two U-Nets and a YOLOv8-obb detector reconstructs port container-yard topology from satellite images (mAP@0.5 0.95, mean contour deviation -0.153) and exports it to a digital twin's 3D scene; an expert test halved reconstruction labour (20 h to 10 h), with users still correcting contours.</t>
        </is>
      </c>
      <c r="U40" s="49" t="inlineStr">
        <is>
          <t>Key finding: Abstract; 4. Results and Tests (Tables 3-5, Figs. 9-14); 5. Conclusions and Discussion (expert comparison paragraph). HITL: 3. Methodology (workflow paragraphs after Fig. 1: manual vertex adjustment, user-performed integration, offline monitoring/user-initiated update); 3.3 ('minimizing human involvement'); 3.6 (user marks two anchor points); 5. Conclusions and Discussion (limitations paragraph). Twin scope: 2. Related Works (last paragraphs), 3.2, 3.6 ('two separate modules'), 5. Conclusions (roadmap paragraph). HTML page shows no page numbers (journal pp. 97-111).</t>
        </is>
      </c>
      <c r="V40" s="69" t="inlineStr">
        <is>
          <t>Y</t>
        </is>
      </c>
      <c r="W40" s="49" t="inlineStr">
        <is>
          <t>FT 2026-09-06: Incluido con reservas: el gemelo operativo no se implementa; un editor reconstruye en 3D patios de contenedores y exporta la topología a un gemelo externo. Nivel 1; ai_role=Other (visión por computador construye la geometría); Deliver solo por el patio, sin datos de proceso. Si una topología 3D estática no es gemelo, excluir: 'No digital twin / digital model'. | FT 2026-09-06: Incluido con reservas: el gemelo operativo no se implementa; un editor reconstruye en 3D patios de contenedores y exporta la topología a un gemelo externo. Nivel 1; ai_role=Other (visión por computador construye la geometría); Deliver solo por el patio, sin datos de proceso. Si una topología 3D estática no es gemelo, excluir: 'No digital twin / digital model'.</t>
        </is>
      </c>
    </row>
    <row r="41">
      <c r="A41" s="69" t="inlineStr">
        <is>
          <t>R0118</t>
        </is>
      </c>
      <c r="B41" s="49" t="inlineStr">
        <is>
          <t>Bhoite, T.D., Buktar, R.B., Mahalle, P.N., Khond, M.P., Pise, G.S. and More, Y.</t>
        </is>
      </c>
      <c r="C41" s="69" t="n">
        <v>2025</v>
      </c>
      <c r="D41" s="49" t="inlineStr">
        <is>
          <t>Operations Research Forum</t>
        </is>
      </c>
      <c r="E41" s="69" t="inlineStr">
        <is>
          <t>10.1007/s43069-025-00522-0</t>
        </is>
      </c>
      <c r="F41" s="69" t="inlineStr">
        <is>
          <t>Simulation/synthetic</t>
        </is>
      </c>
      <c r="G41" s="49" t="inlineStr">
        <is>
          <t>Automotive</t>
        </is>
      </c>
      <c r="H41" s="69" t="inlineStr">
        <is>
          <t>N</t>
        </is>
      </c>
      <c r="I41" s="69" t="inlineStr">
        <is>
          <t>N</t>
        </is>
      </c>
      <c r="J41" s="69" t="inlineStr">
        <is>
          <t>Y</t>
        </is>
      </c>
      <c r="K41" s="69" t="inlineStr">
        <is>
          <t>N</t>
        </is>
      </c>
      <c r="L41" s="69" t="inlineStr">
        <is>
          <t>N</t>
        </is>
      </c>
      <c r="M41" s="69" t="inlineStr">
        <is>
          <t>N</t>
        </is>
      </c>
      <c r="N41" s="69" t="inlineStr">
        <is>
          <t>Hybrid</t>
        </is>
      </c>
      <c r="O41" s="69" t="inlineStr">
        <is>
          <t>Anomaly detection</t>
        </is>
      </c>
      <c r="P41" s="69" t="inlineStr">
        <is>
          <t>4 Prescriptive-advisory</t>
        </is>
      </c>
      <c r="Q41" s="69" t="inlineStr">
        <is>
          <t>Reduced</t>
        </is>
      </c>
      <c r="R41" s="69" t="inlineStr">
        <is>
          <t>Interpret outputs</t>
        </is>
      </c>
      <c r="S41" s="49" t="inlineStr">
        <is>
          <t>Not discussed</t>
        </is>
      </c>
      <c r="T41" s="49" t="inlineStr">
        <is>
          <t>Layered IoT-digital twin-generative AI architecture with a hybrid BN-SE-PO model (Bayesian network, stacked encoder, Puma optimizer) for anomaly detection and decision suggestions; a claimed digital-twin simulation of a CNC machining cell reports OEE 65-&gt;82%, cycle time -25%, defects -50%, but the twin, data and validation are undocumented.</t>
        </is>
      </c>
      <c r="U41" s="49" t="inlineStr">
        <is>
          <t>Twin: Sect. 3.1 (paragraph after Fig. 11/Table 5, before the Table 4 discussion), Sect. 2.5/Fig. 6 (digital twin modeling layer), Sect. 2.2/Fig. 3 (lathe mirrored in a digital twin environment feeding an AI decision support system); results: Sect. 3.1 Table 4, Fig. 10; AI method: Sects. 2.4.1-2.4.2, Sect. 3 Table 5, Figs. 11-13; HITL: Sect. 2.5 (action layer/HMI: 'operators or autonomous systems'), Sect. 1.3 ('AI automates activities'), Sect. 2.3 ('reducing human efforts'); data doubt: Data Availability statement. HTML version, no page numbers visible.</t>
        </is>
      </c>
      <c r="V41" s="69" t="inlineStr">
        <is>
          <t>N</t>
        </is>
      </c>
      <c r="W41" s="49" t="inlineStr">
        <is>
          <t>FT 2026-09-06: Inclusión dudosa. Gemelo solo afirmado: 'digital twin model of a CNC machining cell' para simular antes/después de IoT (3.1) y 'digital twin modeling layer' en arquitectura (Fig. 6), sin descripción, datos ni validación ('no datasets were generated'). Resultados atribuidos a IoT/redes neuronales; HITL ambiguo ('operators or autonomous systems'). Si se exige gemelo documentado, excluir: No digital twin / digital model. | FT 2026-09-06: Inclusión dudosa. Gemelo solo afirmado: 'digital twin model of a CNC machining cell' para simular antes/después de IoT (3.1) y 'digital twin modeling layer' en arquitectura (Fig. 6), sin descripción, datos ni validación ('no datasets were generated'). Resultados atribuidos a IoT/redes neuronales; HITL ambiguo ('operators or autonomous systems'). Si se exige gemelo documentado, excluir: No digital twin / digital model. | TA: Make-annotated production/shop-floor twin with supply chain framing; TA flag: modelo de IA nombrado ("Bayesian Network-Stacked Encoder-Puma Optimizer (BN-SE-PO) model") y cadena en el título; confirmar en texto completo que el gemelo exista más allá de la descripción genérica.</t>
        </is>
      </c>
    </row>
    <row r="42">
      <c r="A42" s="69" t="inlineStr">
        <is>
          <t>R0119</t>
        </is>
      </c>
      <c r="B42" s="49" t="inlineStr">
        <is>
          <t>Zou, Y., Wu, J., Meng, X., Wang, X. and Manzardo, A.</t>
        </is>
      </c>
      <c r="C42" s="69" t="n">
        <v>2025</v>
      </c>
      <c r="D42" s="49" t="inlineStr">
        <is>
          <t>Journal of Food Engineering</t>
        </is>
      </c>
      <c r="E42" s="69" t="inlineStr">
        <is>
          <t>10.1016/j.jfoodeng.2025.112577</t>
        </is>
      </c>
      <c r="F42" s="69" t="inlineStr">
        <is>
          <t>Empirical data</t>
        </is>
      </c>
      <c r="G42" s="49" t="inlineStr">
        <is>
          <t>Food/cold chain</t>
        </is>
      </c>
      <c r="H42" s="69" t="inlineStr">
        <is>
          <t>N</t>
        </is>
      </c>
      <c r="I42" s="69" t="inlineStr">
        <is>
          <t>N</t>
        </is>
      </c>
      <c r="J42" s="69" t="inlineStr">
        <is>
          <t>N</t>
        </is>
      </c>
      <c r="K42" s="69" t="inlineStr">
        <is>
          <t>Y</t>
        </is>
      </c>
      <c r="L42" s="69" t="inlineStr">
        <is>
          <t>N</t>
        </is>
      </c>
      <c r="M42" s="69" t="inlineStr">
        <is>
          <t>N</t>
        </is>
      </c>
      <c r="N42" s="69" t="inlineStr">
        <is>
          <t>RNN/LSTM/GRU</t>
        </is>
      </c>
      <c r="O42" s="69" t="inlineStr">
        <is>
          <t>Forecasting/estimation</t>
        </is>
      </c>
      <c r="P42" s="69" t="inlineStr">
        <is>
          <t>3 Predictive</t>
        </is>
      </c>
      <c r="Q42" s="69" t="inlineStr">
        <is>
          <t>Not discussed</t>
        </is>
      </c>
      <c r="R42" s="69" t="inlineStr">
        <is>
          <t>Interpret outputs</t>
        </is>
      </c>
      <c r="S42" s="49" t="inlineStr">
        <is>
          <t>Not discussed</t>
        </is>
      </c>
      <c r="T42" s="49" t="inlineStr">
        <is>
          <t>A BiLSTM-attention model inside a five-dimensional cold-chain digital twin, using one pallet-level sensor, predicts in-box fruit temperature within ±0.3 °C (about 60% error reduction vs ambient-only), giving shelf-life errors under ±1.2 days and simulated food-loss reductions of 8.6-15.5%; box-level twins are the most precise unit.</t>
        </is>
      </c>
      <c r="U42" s="49" t="inlineStr">
        <is>
          <t>Key finding: Abstract; 3.3 Dynamic quality losses and their uncertainty analysis under box-level twins; 4. Discussion; 5. Conclusion. Twin architecture and HITL evidence: 2.1 Architecture of digital twin enabled cold supply chains (application services statement). AI method: 2.2.1 Prediction process; 2.2.2 Deep learning neural network. No page numbers visible (HTML version).</t>
        </is>
      </c>
      <c r="V42" s="69" t="inlineStr">
        <is>
          <t>N</t>
        </is>
      </c>
      <c r="W42" s="49" t="inlineStr">
        <is>
          <t>FT 2026-09-06: Incluir: gemelo digital de cadena de frío (modelo de cinco dimensiones; gemelos a nivel caja/palé/contenedor) implementado con BiLSTM+atención en PyTorch sobre datos experimentales reales; cadena de fruta (procesado, almacenamiento, carga/descarga, transporte). Dudas: reducción de pérdidas es simulada (¿Empirical data o Simulation?); 'processing' podría contarse como Make; HITL solo implícito (usuarios monitorizan y deciden vía servicios de aplicación). | FT 2026-09-06: Incluir: gemelo digital de cadena de frío (modelo de cinco dimensiones; gemelos a nivel caja/palé/contenedor) implementado con BiLSTM+atención en PyTorch sobre datos experimentales reales; cadena de fruta (procesado, almacenamiento, carga/descarga, transporte). Dudas: reducción de pérdidas es simulada (¿Empirical data o Simulation?); 'processing' podría contarse como Make; HITL solo implícito (usuarios monitorizan y deciden vía servicios de aplicación). | FT 2026-09-06: Incluir: gemelo digital de cadena de frío (modelo de cinco dimensiones; gemelos a nivel caja/palé/contenedor) implementado con BiLSTM+atención en PyTorch sobre datos experimentales reales; cadena de fruta (procesado, almacenamiento, carga/descarga, transporte). Dudas: reducción de pérdidas es simulada (¿Empirical data o Simulation?); 'processing' podría contarse como Make; HITL solo implícito (usuarios monitorizan y deciden vía servicios de aplicación). | FT 2026-09-06: Incluir: gemelo digital de cadena de frío (modelo de cinco dimensiones; gemelos a nivel caja/palé/contenedor) implementado con BiLSTM+atención en PyTorch sobre datos experimentales reales; cadena de fruta (procesado, almacenamiento, carga/descarga, transporte). Dudas: reducción de pérdidas es simulada (¿Empirical data o Simulation?); 'processing' podría contarse como Make; HITL solo implícito (usuarios monitorizan y deciden vía servicios de aplicación).</t>
        </is>
      </c>
    </row>
    <row r="43">
      <c r="A43" s="69" t="inlineStr">
        <is>
          <t>R0127</t>
        </is>
      </c>
      <c r="B43" s="49" t="inlineStr">
        <is>
          <t>Dubey, A.</t>
        </is>
      </c>
      <c r="C43" s="69" t="n">
        <v>2025</v>
      </c>
      <c r="D43" s="49" t="inlineStr">
        <is>
          <t>Proceedings - 2025 IEEE International Symposium on Emerging Metaverse, ISEMV 2025</t>
        </is>
      </c>
      <c r="E43" s="69" t="inlineStr">
        <is>
          <t>10.1109/isemv67326.2025.00034</t>
        </is>
      </c>
      <c r="F43" s="69" t="n"/>
      <c r="G43" s="69" t="n"/>
      <c r="H43" s="69" t="n"/>
      <c r="I43" s="69" t="n"/>
      <c r="J43" s="69" t="n"/>
      <c r="K43" s="69" t="n"/>
      <c r="L43" s="69" t="n"/>
      <c r="M43" s="69" t="n"/>
      <c r="N43" s="69" t="n"/>
      <c r="O43" s="69" t="n"/>
      <c r="P43" s="69" t="n"/>
      <c r="Q43" s="69" t="n"/>
      <c r="R43" s="69" t="n"/>
      <c r="S43" s="49" t="n"/>
      <c r="T43" s="49" t="n"/>
      <c r="U43" s="69" t="n"/>
      <c r="V43" s="69" t="n"/>
      <c r="W43"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44">
      <c r="A44" s="69" t="inlineStr">
        <is>
          <t>R0129</t>
        </is>
      </c>
      <c r="B44" s="49" t="inlineStr">
        <is>
          <t>Badakhshan, E. and Ivanov, D.</t>
        </is>
      </c>
      <c r="C44" s="69" t="n">
        <v>2025</v>
      </c>
      <c r="D44" s="49" t="inlineStr">
        <is>
          <t>International Journal of Production Research</t>
        </is>
      </c>
      <c r="E44" s="69" t="inlineStr">
        <is>
          <t>10.1080/00207543.2025.2507112</t>
        </is>
      </c>
      <c r="F44" s="69" t="inlineStr">
        <is>
          <t>Simulation/synthetic</t>
        </is>
      </c>
      <c r="G44" s="49" t="inlineStr">
        <is>
          <t>Generic/cross-sector</t>
        </is>
      </c>
      <c r="H44" s="69" t="inlineStr">
        <is>
          <t>Y</t>
        </is>
      </c>
      <c r="I44" s="69" t="inlineStr">
        <is>
          <t>Y</t>
        </is>
      </c>
      <c r="J44" s="69" t="inlineStr">
        <is>
          <t>Y</t>
        </is>
      </c>
      <c r="K44" s="69" t="inlineStr">
        <is>
          <t>Y</t>
        </is>
      </c>
      <c r="L44" s="69" t="inlineStr">
        <is>
          <t>N</t>
        </is>
      </c>
      <c r="M44" s="69" t="inlineStr">
        <is>
          <t>Y</t>
        </is>
      </c>
      <c r="N44" s="69" t="inlineStr">
        <is>
          <t>Classical ML</t>
        </is>
      </c>
      <c r="O44" s="69" t="inlineStr">
        <is>
          <t>Decision support</t>
        </is>
      </c>
      <c r="P44" s="69" t="inlineStr">
        <is>
          <t>4 Prescriptive-advisory</t>
        </is>
      </c>
      <c r="Q44" s="69" t="inlineStr">
        <is>
          <t>Maintained</t>
        </is>
      </c>
      <c r="R44" s="69" t="inlineStr">
        <is>
          <t>Interpret outputs</t>
        </is>
      </c>
      <c r="S44" s="49" t="inlineStr">
        <is>
          <t>Not discussed explicitly; the framework lists thresholds for triggering responses, update frequency, metrics and ML choices as 'decision variables', and cites organisational resistance to AI-driven financial policy adjustments as an adoption barrier.</t>
        </is>
      </c>
      <c r="T44" s="49" t="inlineStr">
        <is>
          <t>Blockchain data sharing alone reduces but does not eliminate the cash-flow bullwhip; adding the digital twin (DES + supervised ML generating inventory/credit decision rules) eliminates it and further raises inventory turnover, shortens cash conversion cycles and lowers costs for distributors and manufacturer, with service level unchanged.</t>
        </is>
      </c>
      <c r="U44" s="49" t="inlineStr">
        <is>
          <t>Key finding: Sections 5.1-5.3 (Figures 7-10, Tables 1-4) and Section 6 Conclusions. HITL evidence: Section 4 Steps 2-4 ('decision variables'), Section 5.2 (decision rules for decision-makers), Sections 5.4.2 and 5.4.6 (managers adjust policies; organisational resistance to AI-driven adjustments). HTML version, no page numbers.</t>
        </is>
      </c>
      <c r="V44" s="69" t="inlineStr">
        <is>
          <t>Y</t>
        </is>
      </c>
      <c r="W44" s="49" t="inlineStr">
        <is>
          <t>FT 2026-09-06: Incluir: gemelo digital de cadena de suministro (DES en SimPy + ML) con arquitectura de 4 pasos alimentada por blockchain; ML ejecutado (8 clasificadores; árboles de decisión generan reglas de política). Dudas: Make sólo como capacidad del fabricante; HITL implícito (reglas para decisores, sin discusión explícita); extensión 4 vs 5 según 'recomendaciones' o 'ajuste dinámico'. Texto vía proxy Hull. | FT 2026-09-06: Incluir: gemelo digital de cadena de suministro (DES en SimPy + ML) con arquitectura de 4 pasos alimentada por blockchain; ML ejecutado (8 clasificadores; árboles de decisión generan reglas de política). Dudas: Make sólo como capacidad del fabricante; HITL implícito (reglas para decisores, sin discusión explícita); extensión 4 vs 5 según 'recomendaciones' o 'ajuste dinámico'. Texto vía proxy Hull. | FT 2026-09-06: Incluir: gemelo digital de cadena de suministro (DES en SimPy + ML) con arquitectura de 4 pasos alimentada por blockchain; ML ejecutado (8 clasificadores; árboles de decisión generan reglas de política). Dudas: Make sólo como capacidad del fabricante; HITL implícito (reglas para decisores, sin discusión explícita); extensión 4 vs 5 según 'recomendaciones' o 'ajuste dinámico'. Texto vía proxy Hull. | FT 2026-09-06: Incluir: gemelo digital de cadena de suministro (DES en SimPy + ML) con arquitectura de 4 pasos alimentada por blockchain; ML ejecutado (8 clasificadores; árboles de decisión generan reglas de política). Dudas: Make sólo como capacidad del fabricante; HITL implícito (reglas para decisores, sin discusión explícita); extensión 4 vs 5 según 'recomendaciones' o 'ajuste dinámico'. Texto vía proxy Hull.</t>
        </is>
      </c>
    </row>
    <row r="45">
      <c r="A45" s="69" t="inlineStr">
        <is>
          <t>R0137</t>
        </is>
      </c>
      <c r="B45" s="49" t="inlineStr">
        <is>
          <t>Ivanov, D.</t>
        </is>
      </c>
      <c r="C45" s="69" t="n">
        <v>2025</v>
      </c>
      <c r="D45" s="49" t="inlineStr">
        <is>
          <t>IFAC-PapersOnLine</t>
        </is>
      </c>
      <c r="E45" s="69" t="inlineStr">
        <is>
          <t>10.1016/j.ifacol.2025.09.014</t>
        </is>
      </c>
      <c r="F45" s="69" t="inlineStr">
        <is>
          <t>Conceptual</t>
        </is>
      </c>
      <c r="G45" s="49" t="inlineStr">
        <is>
          <t>Generic/cross-sector (supply chain resilience, ripple effect and stress-testing; no industry case)</t>
        </is>
      </c>
      <c r="H45" s="69" t="inlineStr">
        <is>
          <t>Y</t>
        </is>
      </c>
      <c r="I45" s="69" t="inlineStr">
        <is>
          <t>Y</t>
        </is>
      </c>
      <c r="J45" s="69" t="inlineStr">
        <is>
          <t>Y</t>
        </is>
      </c>
      <c r="K45" s="69" t="inlineStr">
        <is>
          <t>Y</t>
        </is>
      </c>
      <c r="L45" s="69" t="inlineStr">
        <is>
          <t>N</t>
        </is>
      </c>
      <c r="M45" s="69" t="inlineStr">
        <is>
          <t>Y</t>
        </is>
      </c>
      <c r="N45" s="69" t="inlineStr">
        <is>
          <t>LLM/agent</t>
        </is>
      </c>
      <c r="O45" s="69" t="inlineStr">
        <is>
          <t>Decision support</t>
        </is>
      </c>
      <c r="P45" s="69" t="inlineStr">
        <is>
          <t>4 Prescriptive-advisory</t>
        </is>
      </c>
      <c r="Q45" s="69" t="inlineStr">
        <is>
          <t>Elevated</t>
        </is>
      </c>
      <c r="R45" s="69" t="inlineStr">
        <is>
          <t>Handle exceptions</t>
        </is>
      </c>
      <c r="S45" s="49" t="inlineStr">
        <is>
          <t>AI takes standardized tasks; humans handle non-standardized situations and delegate decision tasks to AI back and forth; experts supply a priori knowledge (ontologies) while generative AI and data automate model building and adaptation.</t>
        </is>
      </c>
      <c r="T45" s="49" t="inlineStr">
        <is>
          <t>Conceptual extension of the intelligent digital twin to a digital supply chain ecosystem: ontologies plus generative AI let the system build and adapt its simulation models and generate disruption scenarios for resilience stress-testing, within a human-AI collaboration where decision tasks are delegated back and forth (human-in-the-loop, not full automation).</t>
        </is>
      </c>
      <c r="U45" s="49" t="inlineStr">
        <is>
          <t>Key finding: Abstract (p. 72); Section 3 Digital supply chain ecosystems (p. 74, Figs. 2-3: ontologies + generative AI for automatic model generation/adaptation and scenario generation); Section 4 Supply chain resilience modeling in digital ecosystems (pp. 74-75: knowledge base + generative AI for crisis scenarios, process mining, AI-based decision recommendations, alerting); Section 5 Discussion and conclusions (p. 75). HITL evidence: Section 1 Introduction (p. 72, iDT defined as a human-AI collaboration system); Section 2 From digital replicas to intelligent digital twins (pp. 73-74: CDT lacks 'human-AI collaboration with decision-making delegation'; iDT 'human-machine decision-making loop'; delegation back and forth; 'not full automation ... human-in-the-loop'; standardized tasks for AI vs non-standardized situations for humans; AI enhances human metaknowledge); Section 3 (p. 74: expert-built vs system-built models; a priori knowledge from experts and ontologies); Section 5 (p. 75: knowledge transfer through human-machine interfaces, human expertise plus machine-based analysis). SCOR scope: Section 1 (p. 72, suppliers' suppliers, last-mile logistics, end-to-end visibility) and Section 2 (p. 73, network structure, products, customers, production, distribution, sourcing, production-inventory control).</t>
        </is>
      </c>
      <c r="V45" s="69" t="inlineStr">
        <is>
          <t>Y</t>
        </is>
      </c>
      <c r="W45" s="49" t="inlineStr">
        <is>
          <t>FT 2026-09-06: Incluido como conceptual (línea Ivanov): extiende el iDT a ecosistemas digitales de cadena; IA generativa con ontologías genera y adapta modelos de simulación y escenarios de disrupción, con colaboración humano-IA y delegación bidireccional (HITL explícito, 'no automatización total'). Dudas: sin implementación ni caso; nivel 4 vs 5 por la delegación; hitl_role Elevated vs Maintained; ai_technique LLM/agent vs Hybrid. | FT 2026-09-06: Incluido como conceptual (línea Ivanov): extiende el iDT a ecosistemas digitales de cadena; IA generativa con ontologías genera y adapta modelos de simulación y escenarios de disrupción, con colaboración humano-IA y delegación bidireccional (HITL explícito, 'no automatización total'). Dudas: sin implementación ni caso; nivel 4 vs 5 por la delegación; hitl_role Elevated vs Maintained; ai_technique LLM/agent vs Hybrid. | FT 2026-09-06: Incluido como conceptual (línea Ivanov): extiende el iDT a ecosistemas digitales de cadena; IA generativa con ontologías genera y adapta modelos de simulación y escenarios de disrupción, con colaboración humano-IA y delegación bidireccional (HITL explícito, 'no automatización total'). Dudas: sin implementación ni caso; nivel 4 vs 5 por la delegación; hitl_role Elevated vs Maintained; ai_technique LLM/agent vs Hybrid. | FT 2026-09-06: Incluido como conceptual (línea Ivanov): extiende el iDT a ecosistemas digitales de cadena; IA generativa con ontologías genera y adapta modelos de simulación y escenarios de disrupción, con colaboración humano-IA y delegación bidireccional (HITL explícito, 'no automatización total'). Dudas: sin implementación ni caso; nivel 4 vs 5 por la delegación; hitl_role Elevated vs Maintained; ai_technique LLM/agent vs Hybrid.</t>
        </is>
      </c>
    </row>
    <row r="46">
      <c r="A46" s="69" t="inlineStr">
        <is>
          <t>R0142</t>
        </is>
      </c>
      <c r="B46" s="49" t="inlineStr">
        <is>
          <t>Kandsi, L., Jabir, A. and Jawab, F.</t>
        </is>
      </c>
      <c r="C46" s="69" t="n">
        <v>2025</v>
      </c>
      <c r="D46" s="49" t="inlineStr">
        <is>
          <t>2025 IEEE International Conference on Advanced Technologies in Supply Chain Management, ATSCM 2025</t>
        </is>
      </c>
      <c r="E46" s="69" t="inlineStr">
        <is>
          <t>10.1109/atscm67505.2025.11473850</t>
        </is>
      </c>
      <c r="F46" s="69" t="n"/>
      <c r="G46" s="69" t="n"/>
      <c r="H46" s="69" t="n"/>
      <c r="I46" s="69" t="n"/>
      <c r="J46" s="69" t="n"/>
      <c r="K46" s="69" t="n"/>
      <c r="L46" s="69" t="n"/>
      <c r="M46" s="69" t="n"/>
      <c r="N46" s="69" t="n"/>
      <c r="O46" s="69" t="n"/>
      <c r="P46" s="69" t="n"/>
      <c r="Q46" s="69" t="n"/>
      <c r="R46" s="69" t="n"/>
      <c r="S46" s="49" t="n"/>
      <c r="T46" s="49" t="n"/>
      <c r="U46" s="69" t="n"/>
      <c r="V46" s="69" t="n"/>
      <c r="W46"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47">
      <c r="A47" s="69" t="inlineStr">
        <is>
          <t>R0146</t>
        </is>
      </c>
      <c r="B47" s="49" t="inlineStr">
        <is>
          <t>Sampath, B., Kumar, P.S., Sirisha, U. and Mahesh, A.V.</t>
        </is>
      </c>
      <c r="C47" s="69" t="n">
        <v>2025</v>
      </c>
      <c r="D47" s="49" t="inlineStr">
        <is>
          <t>EPJ Web of Conferences</t>
        </is>
      </c>
      <c r="E47" s="69" t="inlineStr">
        <is>
          <t>10.1051/epjconf/202534101055</t>
        </is>
      </c>
      <c r="F47" s="69" t="n"/>
      <c r="G47" s="69" t="n"/>
      <c r="H47" s="69" t="n"/>
      <c r="I47" s="69" t="n"/>
      <c r="J47" s="69" t="n"/>
      <c r="K47" s="69" t="n"/>
      <c r="L47" s="69" t="n"/>
      <c r="M47" s="69" t="n"/>
      <c r="N47" s="69" t="n"/>
      <c r="O47" s="69" t="n"/>
      <c r="P47" s="69" t="n"/>
      <c r="Q47" s="69" t="n"/>
      <c r="R47" s="69" t="n"/>
      <c r="S47" s="49" t="n"/>
      <c r="T47" s="49" t="n"/>
      <c r="U47" s="69" t="n"/>
      <c r="V47" s="69" t="n"/>
      <c r="W47" s="49" t="inlineStr">
        <is>
          <t>FT: EXCLUDED - Other (note reason). OA. Gemelo (QIDTO) y RL cuántico sólo afirmados: el gemelo es un bloque de Fig. 1 más una ecuación de conservación; experimentos sin datos, simulador ni código; baselines [3,8,15] son pricing, diseño de red y selección de proveedores, no optimizadores de rutas; anuncia ocho ecuaciones, da siete. Bucle cerrado sin humano. Alternativa: incluir como conceptual (nivel 5, sin HITL).</t>
        </is>
      </c>
    </row>
    <row r="48">
      <c r="A48" s="69" t="inlineStr">
        <is>
          <t>R0148</t>
        </is>
      </c>
      <c r="B48" s="49" t="inlineStr">
        <is>
          <t>Nagpal, M., Ghale, B., Baxi, P., Pattnaik, S.C., Aroul Canessane, R. and Chaudhary, P.</t>
        </is>
      </c>
      <c r="C48" s="69" t="n">
        <v>2025</v>
      </c>
      <c r="D48" s="49" t="inlineStr">
        <is>
          <t>Proceedings - 2025 IEEE 1st International Conference on Smart Innovations in Systems, Infrastructure, Mechanical, Power, AI and Computing Technologies, SISIMPACT 2025</t>
        </is>
      </c>
      <c r="E48" s="69" t="inlineStr">
        <is>
          <t>10.1109/sisimpact67725.2025.11439853</t>
        </is>
      </c>
      <c r="F48" s="69" t="n"/>
      <c r="G48" s="69" t="n"/>
      <c r="H48" s="69" t="n"/>
      <c r="I48" s="69" t="n"/>
      <c r="J48" s="69" t="n"/>
      <c r="K48" s="69" t="n"/>
      <c r="L48" s="69" t="n"/>
      <c r="M48" s="69" t="n"/>
      <c r="N48" s="69" t="n"/>
      <c r="O48" s="69" t="n"/>
      <c r="P48" s="69" t="n"/>
      <c r="Q48" s="69" t="n"/>
      <c r="R48" s="69" t="n"/>
      <c r="S48" s="49" t="n"/>
      <c r="T48" s="49" t="n"/>
      <c r="U48" s="69" t="n"/>
      <c r="V48" s="69" t="n"/>
      <c r="W48"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Two same-titled IEEE papers; target (SISIMPACT) is 1st hit; no badge</t>
        </is>
      </c>
    </row>
    <row r="49">
      <c r="A49" s="69" t="inlineStr">
        <is>
          <t>R0150</t>
        </is>
      </c>
      <c r="B49" s="49" t="inlineStr">
        <is>
          <t>Mustafa, M.A.S.</t>
        </is>
      </c>
      <c r="C49" s="69" t="n">
        <v>2025</v>
      </c>
      <c r="D49" s="49" t="inlineStr">
        <is>
          <t>Journal of Engineering Management and Systems Engineering</t>
        </is>
      </c>
      <c r="E49" s="69" t="inlineStr">
        <is>
          <t>10.56578/jemse040305</t>
        </is>
      </c>
      <c r="F49" s="69" t="n"/>
      <c r="G49" s="69" t="n"/>
      <c r="H49" s="69" t="n"/>
      <c r="I49" s="69" t="n"/>
      <c r="J49" s="69" t="n"/>
      <c r="K49" s="69" t="n"/>
      <c r="L49" s="69" t="n"/>
      <c r="M49" s="69" t="n"/>
      <c r="N49" s="69" t="n"/>
      <c r="O49" s="69" t="n"/>
      <c r="P49" s="69" t="n"/>
      <c r="Q49" s="69" t="n"/>
      <c r="R49" s="69" t="n"/>
      <c r="S49" s="49" t="n"/>
      <c r="T49" s="49" t="n"/>
      <c r="U49" s="69" t="n"/>
      <c r="V49" s="69" t="n"/>
      <c r="W49" s="49" t="inlineStr">
        <is>
          <t>FT: EXCLUDED - No digital twin / digital model. Excluir: el gemelo digital solo se afirma (resumen, introducción); la implementación (§1.3) describe sensores IoT + LSTM/RF sin gemelo ni arquitectura; §8–10 lo tratan genéricamente. Además es 'Review article' autodeclarado, con cifras inconsistentes (18/20%, 15/25%) y tablas copiadas de [22]. Rol humano solo genérico: supervisión humana, técnico decide casos complejos (§10.2).</t>
        </is>
      </c>
    </row>
    <row r="50">
      <c r="A50" s="69" t="inlineStr">
        <is>
          <t>R0152</t>
        </is>
      </c>
      <c r="B50" s="49" t="inlineStr">
        <is>
          <t>Mhiri, M., Mkacher, H., Al-Khatib, M., Kharbeche, M., AlNouss, A. and Haouari, M.</t>
        </is>
      </c>
      <c r="C50" s="69" t="n">
        <v>2025</v>
      </c>
      <c r="D50" s="49" t="inlineStr">
        <is>
          <t>Gas Science and Engineering</t>
        </is>
      </c>
      <c r="E50" s="69" t="inlineStr">
        <is>
          <t>10.1016/j.jgsce.2025.205714</t>
        </is>
      </c>
      <c r="F50" s="69" t="inlineStr">
        <is>
          <t>Simulation/synthetic</t>
        </is>
      </c>
      <c r="G50" s="49" t="inlineStr">
        <is>
          <t>Energy (LNG / oil &amp; gas)</t>
        </is>
      </c>
      <c r="H50" s="69" t="inlineStr">
        <is>
          <t>N</t>
        </is>
      </c>
      <c r="I50" s="69" t="inlineStr">
        <is>
          <t>N</t>
        </is>
      </c>
      <c r="J50" s="69" t="inlineStr">
        <is>
          <t>Y</t>
        </is>
      </c>
      <c r="K50" s="69" t="inlineStr">
        <is>
          <t>N</t>
        </is>
      </c>
      <c r="L50" s="69" t="inlineStr">
        <is>
          <t>N</t>
        </is>
      </c>
      <c r="M50" s="69" t="inlineStr">
        <is>
          <t>N</t>
        </is>
      </c>
      <c r="N50" s="69" t="inlineStr">
        <is>
          <t>Classical ML</t>
        </is>
      </c>
      <c r="O50" s="69" t="inlineStr">
        <is>
          <t>Forecasting/estimation</t>
        </is>
      </c>
      <c r="P50" s="69" t="inlineStr">
        <is>
          <t>5 Prescriptive-autonomous</t>
        </is>
      </c>
      <c r="Q50" s="69" t="inlineStr">
        <is>
          <t>Not discussed</t>
        </is>
      </c>
      <c r="R50" s="69" t="inlineStr">
        <is>
          <t>None</t>
        </is>
      </c>
      <c r="S50" s="49" t="inlineStr">
        <is>
          <t>Not discussed as such; by design, restoration is automated via controllers, and corrective repair (assignment of a qualified maintenance person) remains only when ML misses a failure that HYSYS validation reveals.</t>
        </is>
      </c>
      <c r="T50" s="49" t="inlineStr">
        <is>
          <t>Proof-of-concept twin (Aspen HYSYS model of a cryogenic heat exchanger + decision-tree surrogate + VAR forecaster) predicts the next operating state and autonomously restores it to the nearest safe state; on synthetic scenarios it detects 52-57% of failures early and cuts cumulative downtime about 30% versus corrective maintenance.</t>
        </is>
      </c>
      <c r="U50" s="49" t="inlineStr">
        <is>
          <t>Key finding: Section 3.2 (Table 9, Tables F.1-F.3) and Section 5 Conclusions. Twin: Sections 2, 2.2, 2.3 (Fig. 1, 3, 4). AI method: Sections 2.3, 2.4, 3.1 (Tables 5-6, Fig. 10). Supply chain framing: Section 1, Section 2, Fig. 2, Section 5. HITL/automation: Section 2.4 (workflow, Fig. 7-8, 'automated corrective actions', 'controllers'), Section 4 Discussion (limitations: skilled personnel not addressed), Appendix C.5 (restored state vector) and C.7 (time-to-repair: assignment of a qualified person). Synthetic data and expert validation: Section 2.2, Section 4. No page numbers visible (HTML version).</t>
        </is>
      </c>
      <c r="V50" s="69" t="inlineStr">
        <is>
          <t>Y</t>
        </is>
      </c>
      <c r="W50" s="49" t="inlineStr">
        <is>
          <t>FT 2026-09-06: Incluir. Gemelo HYSYS+ML del intercambiador criogénico (etapa Make). Marco de cadena de suministro explícito (objetivo, Fig. 2, efecto dominó) pero no modela flujos aguas abajo; KPIs de equipo (detección temprana, downtime): caso límite para criterio 2. Datos sintéticos; VAR es estadístico. Sin humano en el lazo (corrección automática); rol humano no discutido: experto valida datos, reparación solo como respaldo. | FT 2026-09-06: Incluir. Gemelo HYSYS+ML del intercambiador criogénico (etapa Make). Marco de cadena de suministro explícito (objetivo, Fig. 2, efecto dominó) pero no modela flujos aguas abajo; KPIs de equipo (detección temprana, downtime): caso límite para criterio 2. Datos sintéticos; VAR es estadístico. Sin humano en el lazo (corrección automática); rol humano no discutido: experto valida datos, reparación solo como respaldo. | FT 2026-09-06: Incluir. Gemelo HYSYS+ML del intercambiador criogénico (etapa Make). Marco de cadena de suministro explícito (objetivo, Fig. 2, efecto dominó) pero no modela flujos aguas abajo; KPIs de equipo (detección temprana, downtime): caso límite para criterio 2. Datos sintéticos; VAR es estadístico. Sin humano en el lazo (corrección automática); rol humano no discutido: experto valida datos, reparación solo como respaldo. | FT 2026-09-06: Incluir. Gemelo HYSYS+ML del intercambiador criogénico (etapa Make). Marco de cadena de suministro explícito (objetivo, Fig. 2, efecto dominó) pero no modela flujos aguas abajo; KPIs de equipo (detección temprana, downtime): caso límite para criterio 2. Datos sintéticos; VAR es estadístico. Sin humano en el lazo (corrección automática); rol humano no discutido: experto valida datos, reparación solo como respaldo. | TA: Make-annotated production/shop-floor twin with supply chain framing</t>
        </is>
      </c>
    </row>
    <row r="51">
      <c r="A51" s="69" t="inlineStr">
        <is>
          <t>R0157</t>
        </is>
      </c>
      <c r="B51" s="49" t="inlineStr">
        <is>
          <t>Xiros, V., Gonzalez Castro, J.M., Fernandez-Pelaez, F., Magoutas, B. and Christidis, K.</t>
        </is>
      </c>
      <c r="C51" s="69" t="n">
        <v>2025</v>
      </c>
      <c r="D51" s="49" t="inlineStr">
        <is>
          <t>Applied Sciences (Switzerland)</t>
        </is>
      </c>
      <c r="E51" s="69" t="inlineStr">
        <is>
          <t>10.3390/app15126939</t>
        </is>
      </c>
      <c r="F51" s="69" t="inlineStr">
        <is>
          <t>Empirical case</t>
        </is>
      </c>
      <c r="G51" s="49" t="inlineStr">
        <is>
          <t>Circular manufacturing (food processing; WEEE magnet recycling)</t>
        </is>
      </c>
      <c r="H51" s="69" t="inlineStr">
        <is>
          <t>Y</t>
        </is>
      </c>
      <c r="I51" s="69" t="inlineStr">
        <is>
          <t>Y</t>
        </is>
      </c>
      <c r="J51" s="69" t="inlineStr">
        <is>
          <t>Y</t>
        </is>
      </c>
      <c r="K51" s="69" t="inlineStr">
        <is>
          <t>N</t>
        </is>
      </c>
      <c r="L51" s="69" t="inlineStr">
        <is>
          <t>Y</t>
        </is>
      </c>
      <c r="M51" s="69" t="inlineStr">
        <is>
          <t>N</t>
        </is>
      </c>
      <c r="N51" s="69" t="inlineStr">
        <is>
          <t>Classical ML</t>
        </is>
      </c>
      <c r="O51" s="69" t="inlineStr">
        <is>
          <t>Forecasting/estimation</t>
        </is>
      </c>
      <c r="P51" s="69" t="inlineStr">
        <is>
          <t>3 Predictive</t>
        </is>
      </c>
      <c r="Q51" s="69" t="inlineStr">
        <is>
          <t>Maintained</t>
        </is>
      </c>
      <c r="R51" s="69" t="inlineStr">
        <is>
          <t>Interpret outputs</t>
        </is>
      </c>
      <c r="S51" s="49" t="inlineStr">
        <is>
          <t>Humans intervene when the system raises an anomaly alert or a parameter/footprint change is required; engineers then simulate alternatives and decide. Privileges are role-based (administrators, production engineers, factory users); operators also enter data manually.</t>
        </is>
      </c>
      <c r="T51" s="49" t="inlineStr">
        <is>
          <t>A containerized, data-space-compliant analytics service attached to existing factory digital twins adds ML anomaly detection, forecasting and trained regressors (magnet properties) in a juice plant and a three-actor WEEE magnet-recycling chain; outputs stay advisory: alerts and predictions feed engineers who simulate parameters and decide.</t>
        </is>
      </c>
      <c r="U51" s="49" t="inlineStr">
        <is>
          <t>Key finding: Sec. 3.2 Conceptual Architecture; Sec. 3.3; Sec. 4.2 Analytic Tools for Each Demonstrator; Sec. 4.3 Validation ('Intelligence' bullet); Sec. 5 Discussion and Conclusions. HITL evidence: Sec. 3.1.3 User-Centric Interface Design and Role-Based Interaction; Sec. 4.1.1 Greek Pilot (anomaly notification -&gt; engineer simulates); Sec. 4.2 (Spanish tools 'do not make decisions'); Figure 6 caption (manual data entry by operators). Article no. 6939; no page numbers visible in HTML.</t>
        </is>
      </c>
      <c r="V51" s="69" t="inlineStr">
        <is>
          <t>Y</t>
        </is>
      </c>
      <c r="W51" s="49" t="inlineStr">
        <is>
          <t>FT 2026-09-06: Incluido: servicio analítico contenedorizado acoplado a gemelos digitales existentes, desplegado en dos pilotos (zumo, Grecia; reciclaje de imanes WEEE en cadena de tres actores, España). ML real: regresores entrenados para propiedades magnéticas, más detección de anomalías y forecasting. Dudas: algoritmos no nombrados ni evaluados; piloto griego intra-planta; Plan y Return codificados débilmente (rutas por lote; cadena inversa EOL). | FT 2026-09-06: Incluido: servicio analítico contenedorizado acoplado a gemelos digitales existentes, desplegado en dos pilotos (zumo, Grecia; reciclaje de imanes WEEE en cadena de tres actores, España). ML real: regresores entrenados para propiedades magnéticas, más detección de anomalías y forecasting. Dudas: algoritmos no nombrados ni evaluados; piloto griego intra-planta; Plan y Return codificados débilmente (rutas por lote; cadena inversa EOL). | FT 2026-09-06: Incluido: servicio analítico contenedorizado acoplado a gemelos digitales existentes, desplegado en dos pilotos (zumo, Grecia; reciclaje de imanes WEEE en cadena de tres actores, España). ML real: regresores entrenados para propiedades magnéticas, más detección de anomalías y forecasting. Dudas: algoritmos no nombrados ni evaluados; piloto griego intra-planta; Plan y Return codificados débilmente (rutas por lote; cadena inversa EOL). | FT 2026-09-06: Incluido: servicio analítico contenedorizado acoplado a gemelos digitales existentes, desplegado en dos pilotos (zumo, Grecia; reciclaje de imanes WEEE en cadena de tres actores, España). ML real: regresores entrenados para propiedades magnéticas, más detección de anomalías y forecasting. Dudas: algoritmos no nombrados ni evaluados; piloto griego intra-planta; Plan y Return codificados débilmente (rutas por lote; cadena inversa EOL). | TA flag: el ML se sostiene en "utilizing machine learning to propose sustainability initiatives" y en la palabra clave de autor; confirmar el componente ML de la capa inteligente en texto completo.</t>
        </is>
      </c>
    </row>
    <row r="52">
      <c r="A52" s="69" t="inlineStr">
        <is>
          <t>R0158</t>
        </is>
      </c>
      <c r="B52" s="49" t="inlineStr">
        <is>
          <t>Pandey, S., Kandhari, H., Anwar, S.R., Manju Bargavi, S.K., Das Adhikary, D.R. and Jegan Antony Marcilin, L.</t>
        </is>
      </c>
      <c r="C52" s="69" t="n">
        <v>2025</v>
      </c>
      <c r="D52" s="49" t="inlineStr">
        <is>
          <t>Proceedings of the 2025 International Conference on Computational Intelligence, Security, and Artificial Intelligence, IntelliSecAI 2025</t>
        </is>
      </c>
      <c r="E52" s="69" t="inlineStr">
        <is>
          <t>10.1109/intellisecai66368.2025.11472943</t>
        </is>
      </c>
      <c r="F52" s="69" t="n"/>
      <c r="G52" s="69" t="n"/>
      <c r="H52" s="69" t="n"/>
      <c r="I52" s="69" t="n"/>
      <c r="J52" s="69" t="n"/>
      <c r="K52" s="69" t="n"/>
      <c r="L52" s="69" t="n"/>
      <c r="M52" s="69" t="n"/>
      <c r="N52" s="69" t="n"/>
      <c r="O52" s="69" t="n"/>
      <c r="P52" s="69" t="n"/>
      <c r="Q52" s="69" t="n"/>
      <c r="R52" s="69" t="n"/>
      <c r="S52" s="49" t="n"/>
      <c r="T52" s="49" t="n"/>
      <c r="U52" s="69" t="n"/>
      <c r="V52" s="69" t="n"/>
      <c r="W52"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53">
      <c r="A53" s="69" t="inlineStr">
        <is>
          <t>R0162</t>
        </is>
      </c>
      <c r="B53" s="49" t="inlineStr">
        <is>
          <t>Croft, B.L.</t>
        </is>
      </c>
      <c r="C53" s="69" t="n">
        <v>2025</v>
      </c>
      <c r="D53" s="49" t="inlineStr">
        <is>
          <t>Communications in Computer and Information Science</t>
        </is>
      </c>
      <c r="E53" s="69" t="inlineStr">
        <is>
          <t>10.1007/978-3-031-78531-3_20</t>
        </is>
      </c>
      <c r="F53" s="69" t="n"/>
      <c r="G53" s="69" t="n"/>
      <c r="H53" s="69" t="n"/>
      <c r="I53" s="69" t="n"/>
      <c r="J53" s="69" t="n"/>
      <c r="K53" s="69" t="n"/>
      <c r="L53" s="69" t="n"/>
      <c r="M53" s="69" t="n"/>
      <c r="N53" s="69" t="n"/>
      <c r="O53" s="69" t="n"/>
      <c r="P53" s="69" t="n"/>
      <c r="Q53" s="69" t="n"/>
      <c r="R53" s="69" t="n"/>
      <c r="S53" s="49" t="n"/>
      <c r="T53" s="49" t="n"/>
      <c r="U53" s="69" t="n"/>
      <c r="V53" s="69" t="n"/>
      <c r="W53" s="49" t="inlineStr">
        <is>
          <t>FT: NOT RETRIEVED. NO RECUPERADO: la página Springer vía proxy Hull muestra solo el resumen y 'This is a preview of subscription content' (esperé 8 s). Semantic Scholar: DOI no indexado; sin copia abierta. Requiere PDF manual (CCIS 2320, HCII 2024 poster). Ojo: el gemelo con GOAP es 'Phase Two' en futuro; escenario de entrega terrestre logística de origen militar (NIWC Pacific).</t>
        </is>
      </c>
    </row>
    <row r="54">
      <c r="A54" s="69" t="inlineStr">
        <is>
          <t>R0164</t>
        </is>
      </c>
      <c r="B54" s="49" t="inlineStr">
        <is>
          <t>Luo, B. and Chen, H.</t>
        </is>
      </c>
      <c r="C54" s="69" t="n">
        <v>2025</v>
      </c>
      <c r="D54" s="49" t="inlineStr">
        <is>
          <t>Proceedings of the 2025 5th International Conference on Internet of Things and Machine Learning, IoTML 2025</t>
        </is>
      </c>
      <c r="E54" s="69" t="inlineStr">
        <is>
          <t>10.1145/3749566.3749610</t>
        </is>
      </c>
      <c r="F54" s="69" t="inlineStr">
        <is>
          <t>Simulation/synthetic</t>
        </is>
      </c>
      <c r="G54" s="49" t="inlineStr">
        <is>
          <t>Cross-border export logistics (Dongguan electronics/manufacturing cluster; ports, customs, multimodal freight)</t>
        </is>
      </c>
      <c r="H54" s="69" t="inlineStr">
        <is>
          <t>Y</t>
        </is>
      </c>
      <c r="I54" s="69" t="inlineStr">
        <is>
          <t>N</t>
        </is>
      </c>
      <c r="J54" s="69" t="inlineStr">
        <is>
          <t>N</t>
        </is>
      </c>
      <c r="K54" s="69" t="inlineStr">
        <is>
          <t>Y</t>
        </is>
      </c>
      <c r="L54" s="69" t="inlineStr">
        <is>
          <t>N</t>
        </is>
      </c>
      <c r="M54" s="69" t="inlineStr">
        <is>
          <t>N</t>
        </is>
      </c>
      <c r="N54" s="69" t="inlineStr">
        <is>
          <t>Reinforcement learning</t>
        </is>
      </c>
      <c r="O54" s="69" t="inlineStr">
        <is>
          <t>Optimisation</t>
        </is>
      </c>
      <c r="P54" s="69" t="inlineStr">
        <is>
          <t>5 Prescriptive-autonomous</t>
        </is>
      </c>
      <c r="Q54" s="69" t="inlineStr">
        <is>
          <t>Replaced</t>
        </is>
      </c>
      <c r="R54" s="69" t="inlineStr">
        <is>
          <t>Interpret outputs; Set objectives/constraints</t>
        </is>
      </c>
      <c r="S54" s="49" t="inlineStr">
        <is>
          <t>Not discussed; the paper only contrasts system response times with manual processes and offers an interpretability module that visualises the agents' game for analysts; no approval, override or escalation conditions are described.</t>
        </is>
      </c>
      <c r="T54" s="49" t="inlineStr">
        <is>
          <t>MARL (Double Dueling DQN agents for manufacturers, logistics providers, ports, customs) trained in a digital-twin simulation of the Dongguan export corridor reportedly cuts cost/TEU 22% vs GA, raises deadline compliance to 94.2% and re-plans disruptions in 43 s; agents coordinate without centralised oversight. Reported figures are internally inconsistent.</t>
        </is>
      </c>
      <c r="U54" s="49" t="inlineStr">
        <is>
          <t>Key finding: Abstract (43 s re-planning, 270x vs manual, 300 enterprises, deployment claim); 3.1.2 Experimental Validation (Table 1: 2,348 vs 3,015 yuan/TEU, 94.2% deadline compliance); 3.1.3 Operational Insights (22.1% vs GA); 3.1.4 Industrial Impacts (17 companies); 4 Design Validation (22.6% vs ACO); 5 Conclusions (18.7%, 23.4%, limitations). HITL evidence: Abstract (interpretability module; manual processes), Figure 1 caption (parameter adjustments on the Pareto frontier), 3.1.4 (22 min vs 6.3 h manual), 4 Design Validation ('autonomous decision-making intelligent agent', 'autonomous evolution capabilities'), 5 Conclusions ('without the need for centralised oversight'). ACM HTML without page numbers (proceedings pp. 209-215).</t>
        </is>
      </c>
      <c r="V54" s="69" t="inlineStr">
        <is>
          <t>Y</t>
        </is>
      </c>
      <c r="W54" s="49" t="inlineStr">
        <is>
          <t>FT 2026-09-06: Incluido: cumple los tres criterios (gemelo digital de simulación del corredor exportador, MARL Double Dueling DQN, logística de exportación). Dudas serias de calidad: ACM ICPS; cifras contradictorias (300 vs 17 empresas; 22,1%/22,6%/18,7%); datos «de 2025» en congreso de mayo 2025; referencia [9] citada como Syntetos. Considerar «Not peer-reviewed / low-quality venue». HITL implícito; alternativas: nivel 4, Not discussed. | FT 2026-09-06: Incluido: cumple los tres criterios (gemelo digital de simulación del corredor exportador, MARL Double Dueling DQN, logística de exportación). Dudas serias de calidad: ACM ICPS; cifras contradictorias (300 vs 17 empresas; 22,1%/22,6%/18,7%); datos «de 2025» en congreso de mayo 2025; referencia [9] citada como Syntetos. Considerar «Not peer-reviewed / low-quality venue». HITL implícito; alternativas: nivel 4, Not discussed.</t>
        </is>
      </c>
    </row>
    <row r="55">
      <c r="A55" s="69" t="inlineStr">
        <is>
          <t>R0166</t>
        </is>
      </c>
      <c r="B55" s="49" t="inlineStr">
        <is>
          <t>William, P., Singh, T.P., Ayasrah, F.T., Sivaperumal, S., Aluvalu, R. and Kavitha Rani, P.</t>
        </is>
      </c>
      <c r="C55" s="69" t="n">
        <v>2025</v>
      </c>
      <c r="D55" s="49" t="inlineStr">
        <is>
          <t>2025 3rd International Conference on Foundation and Large Language Models, FLLM 2025</t>
        </is>
      </c>
      <c r="E55" s="69" t="inlineStr">
        <is>
          <t>10.1109/fllm67465.2025.11391005</t>
        </is>
      </c>
      <c r="F55" s="69" t="n"/>
      <c r="G55" s="69" t="n"/>
      <c r="H55" s="69" t="n"/>
      <c r="I55" s="69" t="n"/>
      <c r="J55" s="69" t="n"/>
      <c r="K55" s="69" t="n"/>
      <c r="L55" s="69" t="n"/>
      <c r="M55" s="69" t="n"/>
      <c r="N55" s="69" t="n"/>
      <c r="O55" s="69" t="n"/>
      <c r="P55" s="69" t="n"/>
      <c r="Q55" s="69" t="n"/>
      <c r="R55" s="69" t="n"/>
      <c r="S55" s="49" t="n"/>
      <c r="T55" s="49" t="n"/>
      <c r="U55" s="69" t="n"/>
      <c r="V55" s="69" t="n"/>
      <c r="W55"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56">
      <c r="A56" s="69" t="inlineStr">
        <is>
          <t>R0167</t>
        </is>
      </c>
      <c r="B56" s="49" t="inlineStr">
        <is>
          <t>Gottimukkala, S.R. and Bhuram, S.K.</t>
        </is>
      </c>
      <c r="C56" s="69" t="n">
        <v>2025</v>
      </c>
      <c r="D56" s="49" t="inlineStr">
        <is>
          <t>2025 IEEE International Conference on Pattern Recognition, Machine Vision and Artificial Intelligence, PRMVAI 2025</t>
        </is>
      </c>
      <c r="E56" s="69" t="inlineStr">
        <is>
          <t>10.1109/prmvai65741.2025.11108465</t>
        </is>
      </c>
      <c r="F56" s="69" t="n"/>
      <c r="G56" s="69" t="n"/>
      <c r="H56" s="69" t="n"/>
      <c r="I56" s="69" t="n"/>
      <c r="J56" s="69" t="n"/>
      <c r="K56" s="69" t="n"/>
      <c r="L56" s="69" t="n"/>
      <c r="M56" s="69" t="n"/>
      <c r="N56" s="69" t="n"/>
      <c r="O56" s="69" t="n"/>
      <c r="P56" s="69" t="n"/>
      <c r="Q56" s="69" t="n"/>
      <c r="R56" s="69" t="n"/>
      <c r="S56" s="49" t="n"/>
      <c r="T56" s="49" t="n"/>
      <c r="U56" s="69" t="n"/>
      <c r="V56" s="69" t="n"/>
      <c r="W56"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57">
      <c r="A57" s="69" t="inlineStr">
        <is>
          <t>R0172</t>
        </is>
      </c>
      <c r="B57" s="49" t="inlineStr">
        <is>
          <t>Lad, M. and Singla, L.</t>
        </is>
      </c>
      <c r="C57" s="69" t="n">
        <v>2025</v>
      </c>
      <c r="D57" s="49" t="inlineStr">
        <is>
          <t>Proceedings - 2025 3rd International Conference on Logistics Engineering, Supply Chain and Digital Transformation, LESCDT 2025</t>
        </is>
      </c>
      <c r="E57" s="69" t="inlineStr">
        <is>
          <t>10.1109/lescdt66758.2025.00026</t>
        </is>
      </c>
      <c r="F57" s="69" t="n"/>
      <c r="G57" s="69" t="n"/>
      <c r="H57" s="69" t="n"/>
      <c r="I57" s="69" t="n"/>
      <c r="J57" s="69" t="n"/>
      <c r="K57" s="69" t="n"/>
      <c r="L57" s="69" t="n"/>
      <c r="M57" s="69" t="n"/>
      <c r="N57" s="69" t="n"/>
      <c r="O57" s="69" t="n"/>
      <c r="P57" s="69" t="n"/>
      <c r="Q57" s="69" t="n"/>
      <c r="R57" s="69" t="n"/>
      <c r="S57" s="49" t="n"/>
      <c r="T57" s="49" t="n"/>
      <c r="U57" s="69" t="n"/>
      <c r="V57" s="69" t="n"/>
      <c r="W57"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58">
      <c r="A58" s="69" t="inlineStr">
        <is>
          <t>R0173</t>
        </is>
      </c>
      <c r="B58" s="49" t="inlineStr">
        <is>
          <t>Paul, S.</t>
        </is>
      </c>
      <c r="C58" s="69" t="n">
        <v>2025</v>
      </c>
      <c r="D58" s="49" t="inlineStr">
        <is>
          <t>2025 6th International Conference on Communications, Information, Electronic and Energy Systems, CIEES 2025 - Conference Proceedings</t>
        </is>
      </c>
      <c r="E58" s="69" t="inlineStr">
        <is>
          <t>10.1109/ciees66347.2025.11300246</t>
        </is>
      </c>
      <c r="F58" s="69" t="inlineStr">
        <is>
          <t>Conceptual</t>
        </is>
      </c>
      <c r="G58" s="49" t="inlineStr">
        <is>
          <t>Electronics manufacturing services (EMS)</t>
        </is>
      </c>
      <c r="H58" s="69" t="inlineStr">
        <is>
          <t>Y</t>
        </is>
      </c>
      <c r="I58" s="69" t="inlineStr">
        <is>
          <t>Y</t>
        </is>
      </c>
      <c r="J58" s="69" t="inlineStr">
        <is>
          <t>Y</t>
        </is>
      </c>
      <c r="K58" s="69" t="inlineStr">
        <is>
          <t>Y</t>
        </is>
      </c>
      <c r="L58" s="69" t="inlineStr">
        <is>
          <t>N</t>
        </is>
      </c>
      <c r="M58" s="69" t="inlineStr">
        <is>
          <t>N</t>
        </is>
      </c>
      <c r="N58" s="69" t="inlineStr">
        <is>
          <t>Hybrid</t>
        </is>
      </c>
      <c r="O58" s="69" t="inlineStr">
        <is>
          <t>Decision support</t>
        </is>
      </c>
      <c r="P58" s="69" t="inlineStr">
        <is>
          <t>5 Prescriptive-autonomous</t>
        </is>
      </c>
      <c r="Q58" s="69" t="inlineStr">
        <is>
          <t>Maintained</t>
        </is>
      </c>
      <c r="R58" s="69" t="inlineStr">
        <is>
          <t>Interpret outputs</t>
        </is>
      </c>
      <c r="S58" s="49" t="inlineStr">
        <is>
          <t>Humans stay only at the interface: operators and planners read DT/ERP visualisations via AR/VR for training and decision support; trust requires clear ERP suggestions; no approval gate is specified before automatic work or purchase orders.</t>
        </is>
      </c>
      <c r="T58" s="49" t="inlineStr">
        <is>
          <t>Conceptual five-layer architecture (physical, digital twin, MES, ERP, AI-orchestration) in which the twin mirrors SMT/PCBA lines and feeds an AI layer that forecasts demand, reschedules production, optimises inventory and triggers work and purchase orders automatically; supplier, OEM and 3PL links run through ERP B2B messages.</t>
        </is>
      </c>
      <c r="U58" s="49" t="inlineStr">
        <is>
          <t>III. Research Methodology: Fig. 1 description and A.1-A.5 Multi-Layer Architecture (pp. 4-5, incl. A.4 ERP Layer 'logistics, procurement, order fulfillment'); B.2 AI-Enabled ERP and B.3 Closed-loop Feedback (p. 5); C.1-C.5 Key Functional Modules (p. 5); Fig. 2 sequence description (p. 5, 'triggering automatic purchase order'); D.2 Human-AI Collaborative interface (p. 5); E.4 Trust in AI (p. 6); V. Conclusion (p. 6, 'operate autonomously for predictive tasks')</t>
        </is>
      </c>
      <c r="V58" s="69" t="inlineStr">
        <is>
          <t>N</t>
        </is>
      </c>
      <c r="W58" s="49" t="inlineStr">
        <is>
          <t>FT 2026-09-06: Marco conceptual DT+ERP-IA para EMS: arquitectura de cinco capas con flujos de datos; encaje Make y tambien Plan/Source/Deliver (compras, 3PL, OEM). Dudas para Rodrigo: la IA solo se nombra por familias (ML, vision, NLP, GenAI, agentes), sin algoritmo ni validacion; el gemelo es de planta, el alcance extremo a extremo es del ERP; humano solo como interfaz AR/VR. | FT 2026-09-06: Marco conceptual DT+ERP-IA para EMS: arquitectura de cinco capas con flujos de datos; encaje Make y tambien Plan/Source/Deliver (compras, 3PL, OEM). Dudas para Rodrigo: la IA solo se nombra por familias (ML, vision, NLP, GenAI, agentes), sin algoritmo ni validacion; el gemelo es de planta, el alcance extremo a extremo es del ERP; humano solo como interfaz AR/VR. | TA: Make-annotated production/shop-floor twin with supply chain framing</t>
        </is>
      </c>
    </row>
    <row r="59">
      <c r="A59" s="69" t="inlineStr">
        <is>
          <t>R0174</t>
        </is>
      </c>
      <c r="B59" s="49" t="inlineStr">
        <is>
          <t>Manoharan, G., Gharat, A., Banu, R.N., Soni, A., Sudhakar, K. and Dhanke, J.A.</t>
        </is>
      </c>
      <c r="C59" s="69" t="n">
        <v>2025</v>
      </c>
      <c r="D59" s="49" t="inlineStr">
        <is>
          <t>Proceedings of the 6th International Conference on Smart Electronics and Communication, ICOSEC 2025</t>
        </is>
      </c>
      <c r="E59" s="69" t="inlineStr">
        <is>
          <t>10.1109/icosec67334.2025.11459761</t>
        </is>
      </c>
      <c r="F59" s="69" t="inlineStr">
        <is>
          <t>Simulation/synthetic</t>
        </is>
      </c>
      <c r="G59" s="49" t="inlineStr">
        <is>
          <t>Generic/cross-sector</t>
        </is>
      </c>
      <c r="H59" s="69" t="inlineStr">
        <is>
          <t>Y</t>
        </is>
      </c>
      <c r="I59" s="69" t="inlineStr">
        <is>
          <t>N</t>
        </is>
      </c>
      <c r="J59" s="69" t="inlineStr">
        <is>
          <t>Y</t>
        </is>
      </c>
      <c r="K59" s="69" t="inlineStr">
        <is>
          <t>Y</t>
        </is>
      </c>
      <c r="L59" s="69" t="inlineStr">
        <is>
          <t>N</t>
        </is>
      </c>
      <c r="M59" s="69" t="inlineStr">
        <is>
          <t>N</t>
        </is>
      </c>
      <c r="N59" s="69" t="inlineStr">
        <is>
          <t>Hybrid</t>
        </is>
      </c>
      <c r="O59" s="69" t="inlineStr">
        <is>
          <t>Control</t>
        </is>
      </c>
      <c r="P59" s="69" t="inlineStr">
        <is>
          <t>5 Prescriptive-autonomous</t>
        </is>
      </c>
      <c r="Q59" s="69" t="inlineStr">
        <is>
          <t>Replaced</t>
        </is>
      </c>
      <c r="R59" s="69" t="inlineStr">
        <is>
          <t>None</t>
        </is>
      </c>
      <c r="S59" s="49" t="inlineStr">
        <is>
          <t>Not discussed</t>
        </is>
      </c>
      <c r="T59" s="49" t="inlineStr">
        <is>
          <t>A designed DT-FL-MASChain framework pairs an asset-level digital twin with an autonomous agent at each node; federated averaging trains local predictive models (efficiency label, downtime) without sharing raw data, and agents plus smart contracts trigger maintenance, restocking and routing automatically, with no human approval step.</t>
        </is>
      </c>
      <c r="U59" s="49" t="inlineStr">
        <is>
          <t>IV. Methodology B 'Digital Twin-Based Condition Monitoring and Maintenance Feedback' (p.3, eqns 3-4); IV.C 'Distributed Decision-Making via Multi-Agent System Integration' (p.4, eqns 5-6); IV.D 'Federated Learning Architecture' (p.4, eqn 7); IV.E 'Smart Contract-Driven Blockchain Layer' (p.4, HITL evidence: 'eliminates the need for manual verification'); Algorithm 1 (p.5); V. Result and Discussion, Tables I-III and Figs 4-5 (pp.5-6); VI. Conclusion and Future Work (p.6)</t>
        </is>
      </c>
      <c r="V59" s="69" t="inlineStr">
        <is>
          <t>N</t>
        </is>
      </c>
      <c r="W59" s="49" t="inlineStr">
        <is>
          <t>FT 2026-09-06: Incluido: gemelo por activo con degradacion (ec.3-4), ambito logistico claro y FL+MAS sobre dataset sintetico de Kaggle; agentes deciden y ejecutan sin humano. DUDAS: F1 98,9 imposible con P96,5/R98,7 y choca con el ~90% de Fig.4; refs [10],[12],[14],[16] no corresponden al texto; URL con utm_source=chatgpt.com. Sugiero baja calidad en sensibilidad. Make dudoso: solo mantenimiento de activos fabriles. | FT 2026-09-06: Incluido: gemelo por activo con degradacion (ec.3-4), ambito logistico claro y FL+MAS sobre dataset sintetico de Kaggle; agentes deciden y ejecutan sin humano. DUDAS: F1 98,9 imposible con P96,5/R98,7 y choca con el ~90% de Fig.4; refs [10],[12],[14],[16] no corresponden al texto; URL con utm_source=chatgpt.com. Sugiero baja calidad en sensibilidad. Make dudoso: solo mantenimiento de activos fabriles. | TA: included under the sensitivity rule; check the flagged point in the Screening note</t>
        </is>
      </c>
    </row>
    <row r="60">
      <c r="A60" s="69" t="inlineStr">
        <is>
          <t>R0178</t>
        </is>
      </c>
      <c r="B60" s="49" t="inlineStr">
        <is>
          <t>Abdullahi, I., Larijani, H., Liarokapis, D., Paterson, J., Jones, D. and Murray, S.</t>
        </is>
      </c>
      <c r="C60" s="69" t="n">
        <v>2025</v>
      </c>
      <c r="D60" s="49" t="inlineStr">
        <is>
          <t>Applied Sciences (Switzerland)</t>
        </is>
      </c>
      <c r="E60" s="69" t="inlineStr">
        <is>
          <t>10.3390/app15020601</t>
        </is>
      </c>
      <c r="F60" s="69" t="inlineStr">
        <is>
          <t>Empirical case</t>
        </is>
      </c>
      <c r="G60" s="49" t="inlineStr">
        <is>
          <t>Road freight transport / logistics services</t>
        </is>
      </c>
      <c r="H60" s="69" t="inlineStr">
        <is>
          <t>Y</t>
        </is>
      </c>
      <c r="I60" s="69" t="inlineStr">
        <is>
          <t>N</t>
        </is>
      </c>
      <c r="J60" s="69" t="inlineStr">
        <is>
          <t>N</t>
        </is>
      </c>
      <c r="K60" s="69" t="inlineStr">
        <is>
          <t>Y</t>
        </is>
      </c>
      <c r="L60" s="69" t="inlineStr">
        <is>
          <t>N</t>
        </is>
      </c>
      <c r="M60" s="69" t="inlineStr">
        <is>
          <t>N</t>
        </is>
      </c>
      <c r="N60" s="69" t="inlineStr">
        <is>
          <t>Reinforcement learning</t>
        </is>
      </c>
      <c r="O60" s="69" t="inlineStr">
        <is>
          <t>Optimisation</t>
        </is>
      </c>
      <c r="P60" s="69" t="inlineStr">
        <is>
          <t>4 Prescriptive-advisory</t>
        </is>
      </c>
      <c r="Q60" s="69" t="inlineStr">
        <is>
          <t>Maintained</t>
        </is>
      </c>
      <c r="R60" s="69" t="inlineStr">
        <is>
          <t>Approve/override</t>
        </is>
      </c>
      <c r="S60" s="49" t="inlineStr">
        <is>
          <t>Planners accept/reject every recommendation; human judgement covers internal business rules and expertise absent from the data; each response feeds the RL reward so the model improves over time. No future reduction of the human role is stated.</t>
        </is>
      </c>
      <c r="T60" s="49" t="inlineStr">
        <is>
          <t>A distributed logistics DT (Azure Digital Twins + Databricks) streams fleet telematics and ERP orders into an RL job-assignment/routing model; planners accept or reject its recommendations and their responses act as RL reward. Preliminary what-if simulations on 2023 company data indicate a 20-30% carbon-footprint reduction from avoided empty runs.</t>
        </is>
      </c>
      <c r="U60" s="49" t="inlineStr">
        <is>
          <t>Key finding: Abstract; Sect. 2.3 'Digital Twin Framework' (Tools); Sect. 2.4 'Fleet Utilization Using Reinforcement Learning and Traveling Salesman Problem'; Sect. 4.2 'Training and Inference'; Sect. 4.3 'Discussion: Preliminary Results'. HITL evidence: Sect. 1.3 'Case Study' (objectives); Sect. 2.4 (reward incorporates planner feedback, Fig. 4); Sect. 3 'Proposed Solution' incl. subsection 'Human in the Loop' (Figs. 6 and 8); Sect. 5.2 'Limitations'; Sect. 5.3 'Future Work'. No page numbers (article number 601).</t>
        </is>
      </c>
      <c r="V60" s="69" t="inlineStr">
        <is>
          <t>Y</t>
        </is>
      </c>
      <c r="W60" s="49" t="inlineStr">
        <is>
          <t>FT 2026-09-06: Incluido: gemelo logístico implementado (Azure Digital Twins + Databricks, flujo bidireccional) en John G Russell Transport, con RL (MDP+TSP) que recomienda asignaciones/rutas y planificadores que aceptan/rechazan (feedback como recompensa). Dudas: resultados preliminares (escenarios what-if sobre datos reales 2023, no despliegue en vivo) → ¿Empirical case vs Simulation? Plan=Y por planificación de trabajos (sP4); hitl_role podría ser Elevated. | FT 2026-09-06: Incluido: gemelo logístico implementado (Azure Digital Twins + Databricks, flujo bidireccional) en John G Russell Transport, con RL (MDP+TSP) que recomienda asignaciones/rutas y planificadores que aceptan/rechazan (feedback como recompensa). Dudas: resultados preliminares (escenarios what-if sobre datos reales 2023, no despliegue en vivo) → ¿Empirical case vs Simulation? Plan=Y por planificación de trabajos (sP4); hitl_role podría ser Elevated. | FT 2026-09-06: Incluido: gemelo logístico implementado (Azure Digital Twins + Databricks, flujo bidireccional) en John G Russell Transport, con RL (MDP+TSP) que recomienda asignaciones/rutas y planificadores que aceptan/rechazan (feedback como recompensa). Dudas: resultados preliminares (escenarios what-if sobre datos reales 2023, no despliegue en vivo) → ¿Empirical case vs Simulation? Plan=Y por planificación de trabajos (sP4); hitl_role podría ser Elevated. | FT 2026-09-06: Incluido: gemelo logístico implementado (Azure Digital Twins + Databricks, flujo bidireccional) en John G Russell Transport, con RL (MDP+TSP) que recomienda asignaciones/rutas y planificadores que aceptan/rechazan (feedback como recompensa). Dudas: resultados preliminares (escenarios what-if sobre datos reales 2023, no despliegue en vivo) → ¿Empirical case vs Simulation? Plan=Y por planificación de trabajos (sP4); hitl_role podría ser Elevated.</t>
        </is>
      </c>
    </row>
    <row r="61">
      <c r="A61" s="69" t="inlineStr">
        <is>
          <t>R0183</t>
        </is>
      </c>
      <c r="B61" s="49" t="inlineStr">
        <is>
          <t>Velmurugadass, P., Anusha, P., Sri, T.N., Lakshmi, K.C. and Charvitha, Y.</t>
        </is>
      </c>
      <c r="C61" s="69" t="n">
        <v>2025</v>
      </c>
      <c r="D61" s="49" t="inlineStr">
        <is>
          <t>2025 IEEE 1st International Conference on Recent Trends in Computing and Smart Mobility, RCSM 2025</t>
        </is>
      </c>
      <c r="E61" s="69" t="inlineStr">
        <is>
          <t>10.1109/rcsm67767.2025.11507641</t>
        </is>
      </c>
      <c r="F61" s="69" t="n"/>
      <c r="G61" s="69" t="n"/>
      <c r="H61" s="69" t="n"/>
      <c r="I61" s="69" t="n"/>
      <c r="J61" s="69" t="n"/>
      <c r="K61" s="69" t="n"/>
      <c r="L61" s="69" t="n"/>
      <c r="M61" s="69" t="n"/>
      <c r="N61" s="69" t="n"/>
      <c r="O61" s="69" t="n"/>
      <c r="P61" s="69" t="n"/>
      <c r="Q61" s="69" t="n"/>
      <c r="R61" s="69" t="n"/>
      <c r="S61" s="49" t="n"/>
      <c r="T61" s="49" t="n"/>
      <c r="U61" s="69" t="n"/>
      <c r="V61" s="69" t="n"/>
      <c r="W61"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62">
      <c r="A62" s="69" t="inlineStr">
        <is>
          <t>R0184</t>
        </is>
      </c>
      <c r="B62" s="49" t="inlineStr">
        <is>
          <t>Benahmed, S., Benkhira, M. and hansal, A.</t>
        </is>
      </c>
      <c r="C62" s="69" t="n">
        <v>2025</v>
      </c>
      <c r="D62" s="49" t="inlineStr">
        <is>
          <t>European Journal of Management Studies</t>
        </is>
      </c>
      <c r="E62" s="69" t="inlineStr">
        <is>
          <t>10.1108/ejms-03-2025-0028</t>
        </is>
      </c>
      <c r="F62" s="69" t="n"/>
      <c r="G62" s="69" t="n"/>
      <c r="H62" s="69" t="n"/>
      <c r="I62" s="69" t="n"/>
      <c r="J62" s="69" t="n"/>
      <c r="K62" s="69" t="n"/>
      <c r="L62" s="69" t="n"/>
      <c r="M62" s="69" t="n"/>
      <c r="N62" s="69" t="n"/>
      <c r="O62" s="69" t="n"/>
      <c r="P62" s="69" t="n"/>
      <c r="Q62" s="69" t="n"/>
      <c r="R62" s="69" t="n"/>
      <c r="S62" s="49" t="n"/>
      <c r="T62" s="49" t="n"/>
      <c r="U62" s="69" t="n"/>
      <c r="V62" s="69" t="n"/>
      <c r="W62" s="49" t="inlineStr">
        <is>
          <t>FT: EXCLUDED - No AI/ML component. Propongo excluir (límite): caso único con datos secundarios corporativos; el gemelo y los 'self-learning algorithms' solo se afirman, sin arquitectura/método; lo único especificado es optimización MOCO/LP/MIP (IO clásica). Rol humano: flujo manual 'using experience' sustituido por recomendación y ejecución automáticas 'with minimal human intervention'; validación humana solo normativa. Si se acepta LP/MIP como IA: incluir, nivel 4-5, HITL reducido.</t>
        </is>
      </c>
    </row>
    <row r="63">
      <c r="A63" s="69" t="inlineStr">
        <is>
          <t>R0192</t>
        </is>
      </c>
      <c r="B63" s="49" t="inlineStr">
        <is>
          <t>Ma, C. and Tobias, G.R.</t>
        </is>
      </c>
      <c r="C63" s="69" t="n">
        <v>2025</v>
      </c>
      <c r="D63" s="49" t="inlineStr">
        <is>
          <t>Proceedings - 2025 International Conference on Low-Altitude Airspace and Artificial Intelligence, LAAI 2025</t>
        </is>
      </c>
      <c r="E63" s="69" t="inlineStr">
        <is>
          <t>10.1109/laai69202.2025.00066</t>
        </is>
      </c>
      <c r="F63" s="69" t="n"/>
      <c r="G63" s="69" t="n"/>
      <c r="H63" s="69" t="n"/>
      <c r="I63" s="69" t="n"/>
      <c r="J63" s="69" t="n"/>
      <c r="K63" s="69" t="n"/>
      <c r="L63" s="69" t="n"/>
      <c r="M63" s="69" t="n"/>
      <c r="N63" s="69" t="n"/>
      <c r="O63" s="69" t="n"/>
      <c r="P63" s="69" t="n"/>
      <c r="Q63" s="69" t="n"/>
      <c r="R63" s="69" t="n"/>
      <c r="S63" s="49" t="n"/>
      <c r="T63" s="49" t="n"/>
      <c r="U63" s="69" t="n"/>
      <c r="V63" s="69" t="n"/>
      <c r="W63"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64">
      <c r="A64" s="69" t="inlineStr">
        <is>
          <t>R0194</t>
        </is>
      </c>
      <c r="B64" s="49" t="inlineStr">
        <is>
          <t>Ogunsoto, O.V., Olivares-Aguila, J. and ElMaraghy, W.</t>
        </is>
      </c>
      <c r="C64" s="69" t="n">
        <v>2025</v>
      </c>
      <c r="D64" s="49" t="inlineStr">
        <is>
          <t>Supply Chain Analytics</t>
        </is>
      </c>
      <c r="E64" s="69" t="inlineStr">
        <is>
          <t>10.1016/j.sca.2024.100091</t>
        </is>
      </c>
      <c r="F64" s="69" t="inlineStr">
        <is>
          <t>Simulation/synthetic</t>
        </is>
      </c>
      <c r="G64" s="49" t="inlineStr">
        <is>
          <t>Generic/cross-sector</t>
        </is>
      </c>
      <c r="H64" s="69" t="inlineStr">
        <is>
          <t>Y</t>
        </is>
      </c>
      <c r="I64" s="69" t="inlineStr">
        <is>
          <t>Y</t>
        </is>
      </c>
      <c r="J64" s="69" t="inlineStr">
        <is>
          <t>Y</t>
        </is>
      </c>
      <c r="K64" s="69" t="inlineStr">
        <is>
          <t>Y</t>
        </is>
      </c>
      <c r="L64" s="69" t="inlineStr">
        <is>
          <t>N</t>
        </is>
      </c>
      <c r="M64" s="69" t="inlineStr">
        <is>
          <t>Y</t>
        </is>
      </c>
      <c r="N64" s="69" t="inlineStr">
        <is>
          <t>Hybrid</t>
        </is>
      </c>
      <c r="O64" s="69" t="inlineStr">
        <is>
          <t>Forecasting/estimation</t>
        </is>
      </c>
      <c r="P64" s="69" t="inlineStr">
        <is>
          <t>3 Predictive</t>
        </is>
      </c>
      <c r="Q64" s="69" t="inlineStr">
        <is>
          <t>Maintained</t>
        </is>
      </c>
      <c r="R64" s="69" t="inlineStr">
        <is>
          <t>Interpret outputs</t>
        </is>
      </c>
      <c r="S64" s="49" t="inlineStr">
        <is>
          <t>Not discussed explicitly: the human always decides; planners set what-if parameters (disruption level, mitigation strategies) and read the flood forecast and recovery epoch; no decision automation is proposed.</t>
        </is>
      </c>
      <c r="T64" s="49" t="inlineStr">
        <is>
          <t>Three-phase conceptual DSCT: an LSTM on Kerala rainfall predicts floods (75% accuracy, 84% AUC-ROC); a FlexSim DES of a real four-echelon network quantifies service-level drops under 65%/35% capacity disruptions; an MLPNN trained on the simulation output yields a recovery indicator (epoch of MSE convergence) as decision support for planners.</t>
        </is>
      </c>
      <c r="U64" s="49" t="inlineStr">
        <is>
          <t>Key finding: Abstract; Sec. 3.3 (Third phase: prediction of recovery indicator); Sec. 4.1 (Table 9); Sec. 4.3 (Resultant framework, Fig. 17). HITL: Sec. 1 (Introduction), Sec. 3.3, Sec. 4.3, Sec. 5 (Conclusions, managerial insights, and future research). No page numbers visible (HTML version).</t>
        </is>
      </c>
      <c r="V64" s="69" t="inlineStr">
        <is>
          <t>Y</t>
        </is>
      </c>
      <c r="W64" s="49" t="inlineStr">
        <is>
          <t>FT 2026-09-06: Incluido: DSCT conceptual con arquitectura implementada (IoT→LSTM inundación, DES FlexSim de red real de 4 escalones, MLPNN indicador de recuperación, ERP+nube). Humano decide; el gemelo solo predice. Dudas: evidence_type podría ser 'Conceptual'; hitl_role podría leerse 'Elevated' (planificador pasa de reactivo a proactivo); scor_source=Y aunque proveedores se asumen con suministro infinito. | FT 2026-09-06: Incluido: DSCT conceptual con arquitectura implementada (IoT→LSTM inundación, DES FlexSim de red real de 4 escalones, MLPNN indicador de recuperación, ERP+nube). Humano decide; el gemelo solo predice. Dudas: evidence_type podría ser 'Conceptual'; hitl_role podría leerse 'Elevated' (planificador pasa de reactivo a proactivo); scor_source=Y aunque proveedores se asumen con suministro infinito. | FT 2026-09-06: Incluido: DSCT conceptual con arquitectura implementada (IoT→LSTM inundación, DES FlexSim de red real de 4 escalones, MLPNN indicador de recuperación, ERP+nube). Humano decide; el gemelo solo predice. Dudas: evidence_type podría ser 'Conceptual'; hitl_role podría leerse 'Elevated' (planificador pasa de reactivo a proactivo); scor_source=Y aunque proveedores se asumen con suministro infinito. | FT 2026-09-06: Incluido: DSCT conceptual con arquitectura implementada (IoT→LSTM inundación, DES FlexSim de red real de 4 escalones, MLPNN indicador de recuperación, ERP+nube). Humano decide; el gemelo solo predice. Dudas: evidence_type podría ser 'Conceptual'; hitl_role podría leerse 'Elevated' (planificador pasa de reactivo a proactivo); scor_source=Y aunque proveedores se asumen con suministro infinito.</t>
        </is>
      </c>
    </row>
    <row r="65">
      <c r="A65" s="69" t="inlineStr">
        <is>
          <t>R0201</t>
        </is>
      </c>
      <c r="B65" s="49" t="inlineStr">
        <is>
          <t>Pilutti Namer, T. and Tornielli, M.</t>
        </is>
      </c>
      <c r="C65" s="69" t="n">
        <v>2025</v>
      </c>
      <c r="D65" s="49" t="inlineStr">
        <is>
          <t>Progress in Marine Science and Technology</t>
        </is>
      </c>
      <c r="E65" s="69" t="inlineStr">
        <is>
          <t>10.3233/pmst250135</t>
        </is>
      </c>
      <c r="F65" s="69" t="inlineStr">
        <is>
          <t>Empirical case</t>
        </is>
      </c>
      <c r="G65" s="49" t="inlineStr">
        <is>
          <t>Maritime/shipbuilding</t>
        </is>
      </c>
      <c r="H65" s="69" t="inlineStr">
        <is>
          <t>Y</t>
        </is>
      </c>
      <c r="I65" s="69" t="inlineStr">
        <is>
          <t>Y</t>
        </is>
      </c>
      <c r="J65" s="69" t="inlineStr">
        <is>
          <t>Y</t>
        </is>
      </c>
      <c r="K65" s="69" t="inlineStr">
        <is>
          <t>N</t>
        </is>
      </c>
      <c r="L65" s="69" t="inlineStr">
        <is>
          <t>N</t>
        </is>
      </c>
      <c r="M65" s="69" t="inlineStr">
        <is>
          <t>N</t>
        </is>
      </c>
      <c r="N65" s="69" t="inlineStr">
        <is>
          <t>Hybrid</t>
        </is>
      </c>
      <c r="O65" s="69" t="inlineStr">
        <is>
          <t>Decision support</t>
        </is>
      </c>
      <c r="P65" s="69" t="inlineStr">
        <is>
          <t>4 Prescriptive-advisory</t>
        </is>
      </c>
      <c r="Q65" s="69" t="inlineStr">
        <is>
          <t>Elevated</t>
        </is>
      </c>
      <c r="R65" s="69" t="inlineStr">
        <is>
          <t>Approve/override</t>
        </is>
      </c>
      <c r="S65" s="49" t="inlineStr">
        <is>
          <t>AI suggestions (non-conformity causes, material requests, assembly sequences) require operator/warehouse-worker confirmation before robots execute; as low value-added tasks are automated, blue-collar staff move from operational to control roles, conditional on change management, training and coaching.</t>
        </is>
      </c>
      <c r="T65" s="49" t="inlineStr">
        <is>
          <t>Fincantieri's shipyard 'twin of twins' (data, visualisation, AI simulation) is being deployed across planning, production and logistics/supply chain, with AI algorithms for weld inspection, sheet placement, truck scheduling/reordering and GenAI operator agents; AI proposes, operators confirm, and change management/training are treated as decisive for adoption.</t>
        </is>
      </c>
      <c r="U65" s="49" t="inlineStr">
        <is>
          <t>Twin and AI-simulation element: Sec. 1 Introduction (p. 1138) and Sec. 2 Digital Twin: Vision &amp; concept (pp. 1138-1140). Supply chain scope: Sec. 3 (framework, p. 1141) and Sec. 3.1.3 Logistics &amp; Supply Chain (p. 1142). AI applications: Sec. 3.1.2 Production (p. 1142), Sec. 3.1.6 Industrial Metaverse (RL, p. 1143), Sec. 3.1.7 Robotics and 3.1.8 AI &amp; Gen AI (p. 1144). HITL evidence: Sec. 3 Pillars (Hyper Automation, role transition, p. 1140), Sec. 3.1.4 Quality (operator confirms AI, p. 1143), Sec. 3.1.7 Robotics (operator confirms, warehouse worker validates, p. 1144), Sec. 4 Conclusion (change management, pp. 1144-1145). PDF pages 2-9.</t>
        </is>
      </c>
      <c r="V65" s="69" t="inlineStr">
        <is>
          <t>Y</t>
        </is>
      </c>
      <c r="W65" s="49" t="inlineStr">
        <is>
          <t>FT 2026-09-06: Incluir con reserva: caso industrial (Fincantieri) del gemelo de astillero con área explícita de logística/cadena de suministro (proveedores, camiones, reorden, almacén) e IA constitutiva (simulación IA, visión, algoritmos de programación, RL para robots, agentes GenAI). Dudas: nivel divulgativo, métodos sin nombrar ni evaluar; agentes GenAI en desarrollo; posible 'Other: descripción práctica sin detalle metodológico'. | FT 2026-09-06: Incluir con reserva: caso industrial (Fincantieri) del gemelo de astillero con área explícita de logística/cadena de suministro (proveedores, camiones, reorden, almacén) e IA constitutiva (simulación IA, visión, algoritmos de programación, RL para robots, agentes GenAI). Dudas: nivel divulgativo, métodos sin nombrar ni evaluar; agentes GenAI en desarrollo; posible 'Other: descripción práctica sin detalle metodológico'. | TA: Make-annotated production/shop-floor twin with supply chain framing; TA: included under the sensitivity rule; check the flagged point in the Screening note</t>
        </is>
      </c>
    </row>
    <row r="66">
      <c r="A66" s="69" t="inlineStr">
        <is>
          <t>R0203</t>
        </is>
      </c>
      <c r="B66" s="49" t="inlineStr">
        <is>
          <t>Kochnev, A.</t>
        </is>
      </c>
      <c r="C66" s="69" t="n">
        <v>2025</v>
      </c>
      <c r="D66" s="49" t="inlineStr">
        <is>
          <t>International Multidisciplinary Scientific GeoConference Surveying Geology and Mining Ecology Management, SGEM</t>
        </is>
      </c>
      <c r="E66" s="69" t="inlineStr">
        <is>
          <t>10.5593/sgem2025/2.1/s10.25</t>
        </is>
      </c>
      <c r="F66" s="69" t="inlineStr">
        <is>
          <t>Simulation/synthetic</t>
        </is>
      </c>
      <c r="G66" s="49" t="inlineStr">
        <is>
          <t>Warehousing (automotive components plant, Czech Republic)</t>
        </is>
      </c>
      <c r="H66" s="69" t="inlineStr">
        <is>
          <t>N</t>
        </is>
      </c>
      <c r="I66" s="69" t="inlineStr">
        <is>
          <t>Y</t>
        </is>
      </c>
      <c r="J66" s="69" t="inlineStr">
        <is>
          <t>Y</t>
        </is>
      </c>
      <c r="K66" s="69" t="inlineStr">
        <is>
          <t>Y</t>
        </is>
      </c>
      <c r="L66" s="69" t="inlineStr">
        <is>
          <t>N</t>
        </is>
      </c>
      <c r="M66" s="69" t="inlineStr">
        <is>
          <t>N</t>
        </is>
      </c>
      <c r="N66" s="69" t="inlineStr">
        <is>
          <t>Other</t>
        </is>
      </c>
      <c r="O66" s="69" t="inlineStr">
        <is>
          <t>Control</t>
        </is>
      </c>
      <c r="P66" s="69" t="inlineStr">
        <is>
          <t>4 Prescriptive-advisory</t>
        </is>
      </c>
      <c r="Q66" s="69" t="inlineStr">
        <is>
          <t>Replaced</t>
        </is>
      </c>
      <c r="R66" s="69" t="inlineStr">
        <is>
          <t>Interpret outputs</t>
        </is>
      </c>
      <c r="S66" s="49" t="inlineStr">
        <is>
          <t>Humans exit the driving loop but stay outside it: safety engineers supply 2022-2025 incident data, set speed and geofence constraints, interpret the twin's risk maps, and keep calibrating; the deployment decision remains human.</t>
        </is>
      </c>
      <c r="T66" s="49" t="inlineStr">
        <is>
          <t>A GIS/CAD digital twin of a 7000 m2 Czech automotive warehouse simulated replacing forklifts with three AMRs: risk scores fell ~40%, transport cycle time 28%, human-vehicle conflict zones 42%. All figures are simulated; AMRs are not deployed and the 'machine learning' is never specified.</t>
        </is>
      </c>
      <c r="U66" s="49" t="inlineStr">
        <is>
          <t>Twin: Materials and Methods I (PDF p.2 = journal p.216) and IV.2 Simulation Goals and Methodology (p.4 = 218). Setting/SCOR: IV.1 Operational Scenario and Layout (p.3 = 217; receiving-&gt;production-&gt;dispatch, 'Big Boxes Delivery (Production Line &lt;-&gt; Warehouse)', 'Pallet Delivery to Assembly' in Table 1, p.6 = 220). AI: II AI Algorithms Integrated into AMR Simulation (p.3 = 217) and IV.3 Key Outcomes (p.4 = 218). Key finding numbers: Results I (p.5 = 219) and Table 1 (p.6 = 220). HITL: Introduction (p.1 = 215), IV.3 Key Outcomes (p.4 = 218), Results II Ergonomics and Human-Robot Interaction (p.5 = 219), Discussion (p.6-7 = 220-221), Conclusion (p.7 = 221).</t>
        </is>
      </c>
      <c r="V66" s="69" t="inlineStr">
        <is>
          <t>Y</t>
        </is>
      </c>
      <c r="W66" s="49" t="inlineStr">
        <is>
          <t>FT 2026-09-06: Incluido: gemelo digital GIS/CAD del almacen construido y simulado (Metodos I y IV.2), logistica interna, y algoritmos AI nombrados (A*, D*, VDO-SLAM, DynaSLAM, GroundSLAM, coordinacion de flota). Dudas: 'full AMR deployment has not yet been realized'; el 'machine learning' se afirma sin modelo, datos ni entrenamiento; resultados 100% simulados; SGEM = venue debil. Confirmar inclusion. | FT 2026-09-06: Incluido: gemelo digital GIS/CAD del almacen construido y simulado (Metodos I y IV.2), logistica interna, y algoritmos AI nombrados (A*, D*, VDO-SLAM, DynaSLAM, GroundSLAM, coordinacion de flota). Dudas: 'full AMR deployment has not yet been realized'; el 'machine learning' se afirma sin modelo, datos ni entrenamiento; resultados 100% simulados; SGEM = venue debil. Confirmar inclusion.</t>
        </is>
      </c>
    </row>
    <row r="67">
      <c r="A67" s="69" t="inlineStr">
        <is>
          <t>R0221</t>
        </is>
      </c>
      <c r="B67" s="49" t="inlineStr">
        <is>
          <t>Nicoletti, B. and Appolloni, A.</t>
        </is>
      </c>
      <c r="C67" s="69" t="n">
        <v>2025</v>
      </c>
      <c r="D67" s="49" t="inlineStr">
        <is>
          <t>Digital Engineering</t>
        </is>
      </c>
      <c r="E67" s="69" t="inlineStr">
        <is>
          <t>10.1016/j.dte.2025.100058</t>
        </is>
      </c>
      <c r="F67" s="69" t="inlineStr">
        <is>
          <t>Empirical case</t>
        </is>
      </c>
      <c r="G67" s="49" t="inlineStr">
        <is>
          <t>Shipbuilding/maritime (case: leading global shipbuilding company); framework itself generic/cross-sector LSCM structured by SCOR</t>
        </is>
      </c>
      <c r="H67" s="69" t="inlineStr">
        <is>
          <t>N</t>
        </is>
      </c>
      <c r="I67" s="69" t="inlineStr">
        <is>
          <t>N</t>
        </is>
      </c>
      <c r="J67" s="69" t="inlineStr">
        <is>
          <t>Y</t>
        </is>
      </c>
      <c r="K67" s="69" t="inlineStr">
        <is>
          <t>N</t>
        </is>
      </c>
      <c r="L67" s="69" t="inlineStr">
        <is>
          <t>N</t>
        </is>
      </c>
      <c r="M67" s="69" t="inlineStr">
        <is>
          <t>N</t>
        </is>
      </c>
      <c r="N67" s="69" t="inlineStr">
        <is>
          <t>LLM/agent</t>
        </is>
      </c>
      <c r="O67" s="69" t="inlineStr">
        <is>
          <t>Decision support</t>
        </is>
      </c>
      <c r="P67" s="69" t="inlineStr">
        <is>
          <t>4 Prescriptive-advisory</t>
        </is>
      </c>
      <c r="Q67" s="69" t="inlineStr">
        <is>
          <t>Elevated</t>
        </is>
      </c>
      <c r="R67" s="69" t="inlineStr">
        <is>
          <t>Interpret outputs</t>
        </is>
      </c>
      <c r="S67" s="49" t="inlineStr">
        <is>
          <t>Humans keep ethical monitoring, interpretation of complex scenarios and strategic decisions; operators prompt/query the system and steer simulations in natural language; co-pilots augment less-experienced workers; repetitive roles face displacement requiring retraining; expert-written documentation conditions LLM effectiveness (case).</t>
        </is>
      </c>
      <c r="T67" s="49" t="inlineStr">
        <is>
          <t>Proposes a CPPS (5C) functional/technical architecture where a fine-tuned LLM AI kernel with RAG, AI agents and a knowledge-based model drive per-machine digital twins for virtual testing and predictive maintenance; maps FM tools to all six SCOR processes; shipyard case (VFM drones, predictive maintenance, surrogate simulations) reports qualitative benefits only.</t>
        </is>
      </c>
      <c r="U67" s="49" t="inlineStr">
        <is>
          <t>Key finding / twin: Sec. 6 'A FM integration framework for industrial operations' (Fig. 1 CPSS functional: physical space = conversion + connection; virtual space (cloud) = configuration, cyber (AI + DT simulation, monitoring, optimizing) and cognition); Sec. 6.1 FM-powered DT ('FM-driven DT for each machine within the physical plant'; 'DTs can learn and adapt over time using FM algorithms'); Sec. 6.2.1 Architecture (Fig. 2 technical; hybrid proprietary/public training data); Sec. 6.2.2 Components (Table 2 CPPS Technical Framework: User Interaction, Command Input, AI Agents, LLM Extensions and Monitoring (RAG + vector database), AI Kernel (fine-tuned LLM decision engine), KBS Model (diagnostics/predictions that influence DT behaviour), Digital Twins (digital replicas of physical machines), Field and IIoT (sensors/actuators), Data Analytics). SCOR mapping (FMs, not the twin): Sec. 5 and Table 1 'AI Tools in LSCM via SCOR Model' - Plan: demand forecasting (DRL, LSTM, genetic algorithms; Sec. 5.1.1); Source: supplier relationship management and procurement execution (FMs, real-time data integration, workflow automation; Sec. 5.2); Make: visual FMs (VFMs, LLMs), digital manufacturing co-pilot (what-if scenarios), process design (CNNs, GANs, DT, transfer learning - the only Table 1 row naming DT), quality control (VFM image analysis; Sec. 5.3); Deliver: logistics (FMs, NLP-generated simulation code) and inventory management (no-code AI, predictive models; Sec. 5.4); Return: return logistics (VFM visual inspection) and other return functions (multimodal FMs; Sec. 5.5); Enable: predictive maintenance (LLMs, sensor analytics) and other enabling functions (LLMs, chatbots, risk monitors; Sec. 5.6); Sec. 8 Results (Fig. 3 heat map, intensity 1-5 of FM tool impact per SCOR dimension Plan/Source/Make/Deliver/Return/Enable). Case: Sec. 7 An implementation (shipyard: VFMs + autonomous drones for quality control / weld detection, LLM-based predictive maintenance, surrogate simulations 'closely aligned with the concept of DT', LLMs for partner management; 'measurable results are still in development'; KPI figures cited from McKinsey [56] and Fincantieri digital thread [57], not measured in the case). HITL evidence: Sec. 5.3.2 Digital manufacturing co-pilot ('allowing managers and maintenance personnel to make more informed decisions'; 'consolidates the skills of less experienced operators'); Sec. 5.4.3 ('collaborative environment between humans and FM'); Sec. 6.2.2 User interaction ('make queries, retrieve specific information, and influence simulations with intuitive natural language commands'); Sec. 7 ('the effectiveness of an LLM depends on the quality of the technical solutions provided by experts'; 'reduce the need for manual labor'); Sec. 9 Discussion ('human expertise remains essential ...'; displacement of repetitive roles; retraining; 'symbiotic collaboration between humans and AI'). No page numbers visible (HTML version, article 100058).</t>
        </is>
      </c>
      <c r="V67" s="69" t="inlineStr">
        <is>
          <t>Y</t>
        </is>
      </c>
      <c r="W67" s="49" t="inlineStr">
        <is>
          <t>FT 2026-09-06: Incluido: arquitectura CPPS/5C con gemelos FM por máquina (AI kernel LLM+RAG, agentes, KBS) y caso astillero. Dudas: gemelo solo diseñado (nivel arquitectura); caso descriptivo por entrevistas sin resultados medidos (¿Conceptual?); FMs mapeados a los seis procesos SCOR (Tabla 1, Fig. 3) pero el DT solo en Make/Enable; nivel 4 vs 5; residuo de ChatGPT en Sección 8 (calidad). | FT 2026-09-06: Incluido: arquitectura CPPS/5C con gemelos FM por máquina (AI kernel LLM+RAG, agentes, KBS) y caso astillero. Dudas: gemelo solo diseñado (nivel arquitectura); caso descriptivo por entrevistas sin resultados medidos (¿Conceptual?); FMs mapeados a los seis procesos SCOR (Tabla 1, Fig. 3) pero el DT solo en Make/Enable; nivel 4 vs 5; residuo de ChatGPT en Sección 8 (calidad). | FT 2026-09-06: Incluido: arquitectura CPPS/5C con gemelos FM por máquina (AI kernel LLM+RAG, agentes, KBS) y caso astillero. Dudas: gemelo solo diseñado (nivel arquitectura); caso descriptivo por entrevistas sin resultados medidos (¿Conceptual?); FMs mapeados a los seis procesos SCOR (Tabla 1, Fig. 3) pero el DT solo en Make/Enable; nivel 4 vs 5; residuo de ChatGPT en Sección 8 (calidad). | FT 2026-09-06: Incluido: arquitectura CPPS/5C con gemelos FM por máquina (AI kernel LLM+RAG, agentes, KBS) y caso astillero. Dudas: gemelo solo diseñado (nivel arquitectura); caso descriptivo por entrevistas sin resultados medidos (¿Conceptual?); FMs mapeados a los seis procesos SCOR (Tabla 1, Fig. 3) pero el DT solo en Make/Enable; nivel 4 vs 5; residuo de ChatGPT en Sección 8 (calidad).</t>
        </is>
      </c>
    </row>
    <row r="68">
      <c r="A68" s="69" t="inlineStr">
        <is>
          <t>R0223</t>
        </is>
      </c>
      <c r="B68" s="49" t="inlineStr">
        <is>
          <t>Ziari, M. and Taleizadeh, A.A.</t>
        </is>
      </c>
      <c r="C68" s="69" t="n">
        <v>2025</v>
      </c>
      <c r="D68" s="49" t="inlineStr">
        <is>
          <t>International Journal of Production Economics</t>
        </is>
      </c>
      <c r="E68" s="69" t="inlineStr">
        <is>
          <t>10.1016/j.ijpe.2025.109743</t>
        </is>
      </c>
      <c r="F68" s="69" t="inlineStr">
        <is>
          <t>Empirical case</t>
        </is>
      </c>
      <c r="G68" s="49" t="inlineStr">
        <is>
          <t>Packaging manufacturing / FMCG distribution (glass and plastic bottles)</t>
        </is>
      </c>
      <c r="H68" s="69" t="inlineStr">
        <is>
          <t>Y</t>
        </is>
      </c>
      <c r="I68" s="69" t="inlineStr">
        <is>
          <t>Y</t>
        </is>
      </c>
      <c r="J68" s="69" t="inlineStr">
        <is>
          <t>Y</t>
        </is>
      </c>
      <c r="K68" s="69" t="inlineStr">
        <is>
          <t>Y</t>
        </is>
      </c>
      <c r="L68" s="69" t="inlineStr">
        <is>
          <t>N</t>
        </is>
      </c>
      <c r="M68" s="69" t="inlineStr">
        <is>
          <t>N</t>
        </is>
      </c>
      <c r="N68" s="69" t="inlineStr">
        <is>
          <t>Classical ML</t>
        </is>
      </c>
      <c r="O68" s="69" t="inlineStr">
        <is>
          <t>Forecasting/estimation</t>
        </is>
      </c>
      <c r="P68" s="69" t="inlineStr">
        <is>
          <t>4 Prescriptive-advisory</t>
        </is>
      </c>
      <c r="Q68" s="69" t="inlineStr">
        <is>
          <t>Maintained</t>
        </is>
      </c>
      <c r="R68" s="69" t="inlineStr">
        <is>
          <t>Interpret outputs</t>
        </is>
      </c>
      <c r="S68" s="49" t="inlineStr">
        <is>
          <t>SC managers/stakeholders scrutinize the twin during design, monitoring and evaluation; the planning unit receives forecasts and alternative designs to select strategies; manually entered legacy data is auto-validated and down-weighted (Tier 3-4); some responses (contingency plans, ERP policy updates) run automatically.</t>
        </is>
      </c>
      <c r="T68" s="49" t="inlineStr">
        <is>
          <t>A three-layer distribution-system twin (physical world, reported data, digital world) with an Elastic Net demand-forecasting core feeding a simulation-optimisation DSS integrated with ERP; in a glass/plastic bottle manufacturer it reports R2 0.86-0.87, MAE 9.2% of mean demand, 85-89% service levels and 22% better forecast accuracy.</t>
        </is>
      </c>
      <c r="U68" s="49" t="inlineStr">
        <is>
          <t>Key finding: Sect. 3 'Digital twin development' (Fig. 2 architecture; mixed-methods statement), Sect. 3.1 'Data-driven framework' (Elastic Net, training protocol, performance), Sect. 4.2 'Digital model and results' (Tables 3-6, Figs. 7-8), Sect. 5 'Conclusion'. HITL: Sect. 3.1 Step 6 (output reported to planning unit), Sect. 4.2 first paragraph (stakeholders/SC managers participate in design, monitoring, evaluation), Sect. 4.3 (human data-entry errors; manual legacy updates down-weighted), Sect. 5 limitations (3 of 12 facilities needed manual data integration). HTML version, no page numbers visible.</t>
        </is>
      </c>
      <c r="V68" s="69" t="inlineStr">
        <is>
          <t>Y</t>
        </is>
      </c>
      <c r="W68" s="49" t="inlineStr">
        <is>
          <t>FT 2026-09-06: Incluido: gemelo del sistema de distribución (3 capas, ERP/IoT) con regresión Elastic Net como núcleo predictivo y DSS simulación-optimización, caso real (envases vidrio/plástico). Dudas: nivel 4 vs 5 (pasajes con disparos automáticos y políticas actualizadas cada 6 h); HITL poco discutido; inconsistencias (XGBoost vs Elastic Net, 22 vs 52 variables); Make/Source por producción y compras; end_to_end N (proveedores no modelados). | FT 2026-09-06: Incluido: gemelo del sistema de distribución (3 capas, ERP/IoT) con regresión Elastic Net como núcleo predictivo y DSS simulación-optimización, caso real (envases vidrio/plástico). Dudas: nivel 4 vs 5 (pasajes con disparos automáticos y políticas actualizadas cada 6 h); HITL poco discutido; inconsistencias (XGBoost vs Elastic Net, 22 vs 52 variables); Make/Source por producción y compras; end_to_end N (proveedores no modelados). | FT 2026-09-06: Incluido: gemelo del sistema de distribución (3 capas, ERP/IoT) con regresión Elastic Net como núcleo predictivo y DSS simulación-optimización, caso real (envases vidrio/plástico). Dudas: nivel 4 vs 5 (pasajes con disparos automáticos y políticas actualizadas cada 6 h); HITL poco discutido; inconsistencias (XGBoost vs Elastic Net, 22 vs 52 variables); Make/Source por producción y compras; end_to_end N (proveedores no modelados). | FT 2026-09-06: Incluido: gemelo del sistema de distribución (3 capas, ERP/IoT) con regresión Elastic Net como núcleo predictivo y DSS simulación-optimización, caso real (envases vidrio/plástico). Dudas: nivel 4 vs 5 (pasajes con disparos automáticos y políticas actualizadas cada 6 h); HITL poco discutido; inconsistencias (XGBoost vs Elastic Net, 22 vs 52 variables); Make/Source por producción y compras; end_to_end N (proveedores no modelados).</t>
        </is>
      </c>
    </row>
    <row r="69">
      <c r="A69" s="69" t="inlineStr">
        <is>
          <t>R0226</t>
        </is>
      </c>
      <c r="B69" s="49" t="inlineStr">
        <is>
          <t>Enugala, V.K. and Goel, G.</t>
        </is>
      </c>
      <c r="C69" s="69" t="n">
        <v>2025</v>
      </c>
      <c r="D69" s="49" t="inlineStr">
        <is>
          <t>Proceedings of 2025 10th International Conference on Science Technology, Engineering and Mathematics, ICONSTEM 2025</t>
        </is>
      </c>
      <c r="E69" s="69" t="inlineStr">
        <is>
          <t>10.1109/iconstem65670.2025.11374619</t>
        </is>
      </c>
      <c r="F69" s="69" t="n"/>
      <c r="G69" s="69" t="n"/>
      <c r="H69" s="69" t="n"/>
      <c r="I69" s="69" t="n"/>
      <c r="J69" s="69" t="n"/>
      <c r="K69" s="69" t="n"/>
      <c r="L69" s="69" t="n"/>
      <c r="M69" s="69" t="n"/>
      <c r="N69" s="69" t="n"/>
      <c r="O69" s="69" t="n"/>
      <c r="P69" s="69" t="n"/>
      <c r="Q69" s="69" t="n"/>
      <c r="R69" s="69" t="n"/>
      <c r="S69" s="49" t="n"/>
      <c r="T69" s="49" t="n"/>
      <c r="U69" s="69" t="n"/>
      <c r="V69" s="69" t="n"/>
      <c r="W69"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70">
      <c r="A70" s="69" t="inlineStr">
        <is>
          <t>R0233</t>
        </is>
      </c>
      <c r="B70" s="49" t="inlineStr">
        <is>
          <t>Lee, D., Kang, Y.-S., Do Noh, S., Kim, J. and Kim, H.</t>
        </is>
      </c>
      <c r="C70" s="69" t="n">
        <v>2024</v>
      </c>
      <c r="D70" s="49" t="inlineStr">
        <is>
          <t>IFIP Advances in Information and Communication Technology</t>
        </is>
      </c>
      <c r="E70" s="69" t="inlineStr">
        <is>
          <t>10.1007/978-3-031-71633-1_25</t>
        </is>
      </c>
      <c r="F70" s="69" t="n"/>
      <c r="G70" s="69" t="n"/>
      <c r="H70" s="69" t="n"/>
      <c r="I70" s="69" t="n"/>
      <c r="J70" s="69" t="n"/>
      <c r="K70" s="69" t="n"/>
      <c r="L70" s="69" t="n"/>
      <c r="M70" s="69" t="n"/>
      <c r="N70" s="69" t="n"/>
      <c r="O70" s="69" t="n"/>
      <c r="P70" s="69" t="n"/>
      <c r="Q70" s="69" t="n"/>
      <c r="R70" s="69" t="n"/>
      <c r="S70" s="49" t="n"/>
      <c r="T70" s="49" t="n"/>
      <c r="U70" s="69" t="n"/>
      <c r="V70" s="69" t="n"/>
      <c r="W70" s="49" t="inlineStr">
        <is>
          <t>FT: NOT RETRIEVED. NO RECUPERADO: Springer vía proxy Hull muestra solo el resumen + 'preview of subscription content' (IFIP AICT 731, sin suscripción). Única copia OA (Semantic Scholar/OpenAlex/API HAL): hal-05283256, PDF 560959_1_En_25_Chapter.pdf bajo embargo hasta 2027-01-01 (CC BY). Requiere PDF manual. Resumen sugiere candidato fuerte: DT + Q-learning para AGV en logística de producción, sitio real.</t>
        </is>
      </c>
    </row>
    <row r="71">
      <c r="A71" s="69" t="inlineStr">
        <is>
          <t>R0237</t>
        </is>
      </c>
      <c r="B71" s="49" t="inlineStr">
        <is>
          <t>Monizza, G.P., Mozaffari, M., Fabbrizzi, S., Gamper, J., Lanz, O. and Matt, D.T.</t>
        </is>
      </c>
      <c r="C71" s="69" t="n">
        <v>2024</v>
      </c>
      <c r="D71" s="49" t="inlineStr">
        <is>
          <t>Proceedings of the International Food Operations and Processing Simulation Workshop, FOODOPS</t>
        </is>
      </c>
      <c r="E71" s="69" t="inlineStr">
        <is>
          <t>10.46354/i3m.2024.foodops.010</t>
        </is>
      </c>
      <c r="F71" s="69" t="inlineStr">
        <is>
          <t>Conceptual</t>
        </is>
      </c>
      <c r="G71" s="49" t="inlineStr">
        <is>
          <t>Food/cold chain (food supply chains in general; prototype with local stakeholders only planned, no case yet)</t>
        </is>
      </c>
      <c r="H71" s="69" t="inlineStr">
        <is>
          <t>Y</t>
        </is>
      </c>
      <c r="I71" s="69" t="inlineStr">
        <is>
          <t>Y</t>
        </is>
      </c>
      <c r="J71" s="69" t="inlineStr">
        <is>
          <t>Y</t>
        </is>
      </c>
      <c r="K71" s="69" t="inlineStr">
        <is>
          <t>Y</t>
        </is>
      </c>
      <c r="L71" s="69" t="inlineStr">
        <is>
          <t>N</t>
        </is>
      </c>
      <c r="M71" s="69" t="inlineStr">
        <is>
          <t>Y</t>
        </is>
      </c>
      <c r="N71" s="69" t="inlineStr">
        <is>
          <t>Hybrid</t>
        </is>
      </c>
      <c r="O71" s="69" t="inlineStr">
        <is>
          <t>Decision support; Optimisation</t>
        </is>
      </c>
      <c r="P71" s="69" t="inlineStr">
        <is>
          <t>5 Prescriptive-autonomous</t>
        </is>
      </c>
      <c r="Q71" s="69" t="inlineStr">
        <is>
          <t>Reduced</t>
        </is>
      </c>
      <c r="R71" s="69" t="inlineStr">
        <is>
          <t>Approve/override; Handle exceptions; Provide data/labels</t>
        </is>
      </c>
      <c r="S71" s="49" t="inlineStr">
        <is>
          <t>Human selects among Pareto-optimal solutions while training the ML engine; once confidence suffices the CDT decides autonomously, abstaining and escalating to the human when uncertain; abstention rate tunes decisional independence; active learning queries the user for labels.</t>
        </is>
      </c>
      <c r="T71" s="49" t="inlineStr">
        <is>
          <t>Design-science proposal (nothing implemented) of a Cognitive Digital Twin for food supply chains: DT domain (IIoT, VSM virtual model, LARG index, multi-objective optimisation) plus CDT domain (OWL ontology, knowledge graphs, ML engine) intended to decide autonomously, with selective classification (abstention) and active learning keeping humans co-piloting.</t>
        </is>
      </c>
      <c r="U71" s="49" t="inlineStr">
        <is>
          <t>Key finding: Section 3.3 Defining a CDT architecture (pp. 7-8, Figure 3), Section 4.1 Defining a top-level ontology (pp. 8-9), Section 4.2 Outlining a machine-learning aided decision-making system (pp. 9-10), Section 5 Conclusions (pp. 10-11, prototype as future work). HITL evidence: Section 3.3 (p. 7, first VSM model via interviews and human auditors; p. 8, decision maker defines the VSM model, selects the optimal solution and trains the ML engine towards autonomous decision actions), Section 4.2 (p. 10, right to abstain, escalation to a human agent, human-machine co-piloting, abstention-rate trade-off = decisional independence, active learning as human-in-the-loop labelling), Section 3.1 RQ4 (p. 6) and Section 2.3 (p. 4, CDT autonomy 'without human assistance or limiting human intervention').</t>
        </is>
      </c>
      <c r="V71" s="69" t="inlineStr">
        <is>
          <t>Y</t>
        </is>
      </c>
      <c r="W71" s="49" t="inlineStr">
        <is>
          <t>FT 2026-09-06: Incluido con dudas: artículo conceptual (DSR pasos 1-3) cuyo objeto es la arquitectura CDT (Fig. 3: dominio DT con IIoT, VSM, LARG y optimización multiobjetivo; dominio CDT con ontología OWL y motor ML). IA solo por paradigmas (clasificación selectiva con abstención, aprendizaje activo), sin algoritmo ni prototipo. Alternativas: excluir 'No AI/ML component'; nivel 4; hitl_role Maintained; SCOR inferido del alcance. | ai_technique detail: Hybrid (multi-objective optimisation engine, algorithm unspecified; machine-learning engine specified only as Selective Classification with reject option trained via Active Learning, model class unspecified; OWL top-level ontology built with Methontology/Protege plus knowledge graphs) | ai_role detail: Decision support (primary: the ML engine learns the decision maker's choice among Pareto-optimal solutions and is meant to take decision actions autonomously with a reject option; secondary Optimisation: multi-objective optimisation engine over the LARG index) | FT 2026-09-06: Incluido con dudas: artículo conceptual (DSR pasos 1-3) cuyo objeto es la arquitectura CDT (Fig. 3: dominio DT con IIoT, VSM, LARG y optimización multiobjetivo; dominio CDT con ontología OWL y motor ML). IA solo por paradigmas (clasificación selectiva con abstención, aprendizaje activo), sin algoritmo ni prototipo. Alternativas: excluir 'No AI/ML component'; nivel 4; hitl_role Maintained; SCOR inferido del alcance.</t>
        </is>
      </c>
    </row>
    <row r="72">
      <c r="A72" s="69" t="inlineStr">
        <is>
          <t>R0249</t>
        </is>
      </c>
      <c r="B72" s="49" t="inlineStr">
        <is>
          <t>Campos, M.G.G. and van Beurden, P.</t>
        </is>
      </c>
      <c r="C72" s="69" t="n">
        <v>2024</v>
      </c>
      <c r="D72" s="49" t="inlineStr">
        <is>
          <t>China's Refractories</t>
        </is>
      </c>
      <c r="E72" s="69" t="inlineStr">
        <is>
          <t>10.19691/j.cnki.1004-4493.2024.03.006</t>
        </is>
      </c>
      <c r="F72" s="69" t="inlineStr">
        <is>
          <t>Simulation/synthetic</t>
        </is>
      </c>
      <c r="G72" s="49" t="inlineStr">
        <is>
          <t>Steel/metals manufacturing (intra-plant hot metal logistics)</t>
        </is>
      </c>
      <c r="H72" s="69" t="inlineStr">
        <is>
          <t>Y</t>
        </is>
      </c>
      <c r="I72" s="69" t="inlineStr">
        <is>
          <t>N</t>
        </is>
      </c>
      <c r="J72" s="69" t="inlineStr">
        <is>
          <t>Y</t>
        </is>
      </c>
      <c r="K72" s="69" t="inlineStr">
        <is>
          <t>N</t>
        </is>
      </c>
      <c r="L72" s="69" t="inlineStr">
        <is>
          <t>N</t>
        </is>
      </c>
      <c r="M72" s="69" t="inlineStr">
        <is>
          <t>N</t>
        </is>
      </c>
      <c r="N72" s="69" t="inlineStr">
        <is>
          <t>Reinforcement learning</t>
        </is>
      </c>
      <c r="O72" s="69" t="inlineStr">
        <is>
          <t>Optimisation</t>
        </is>
      </c>
      <c r="P72" s="69" t="inlineStr">
        <is>
          <t>4 Prescriptive-advisory</t>
        </is>
      </c>
      <c r="Q72" s="69" t="inlineStr">
        <is>
          <t>Reduced</t>
        </is>
      </c>
      <c r="R72" s="69" t="inlineStr">
        <is>
          <t>Interpret outputs</t>
        </is>
      </c>
      <c r="S72" s="49" t="inlineStr">
        <is>
          <t>Human role shrinks where RL replaces operators' FIFO choice; humans stay relevant only because AI must be coupled to physics/knowledge models to be explainable and avoid black-box bias.</t>
        </is>
      </c>
      <c r="T72" s="49" t="inlineStr">
        <is>
          <t>Validated digital twins of Tata Steel's torpedo and hot-metal-ladle cycles (within 5% / 8 min of real operation), fed by FEM-derived reduced-order thermal models, let reinforcement-learning agents select ladles/torpedoes and schedule the hot metal route, cutting simulated hot metal temperature loss by 15 degC versus the FIFO baseline.</t>
        </is>
      </c>
      <c r="U72" s="49" t="inlineStr">
        <is>
          <t>Abstract (p.37); 1 Introduction (p.37, HITL: operators currently decide); 2 Hot Metal Route (p.38, FIFO baseline); 3.1 Thermal Calculations (p.38); 3.2 Digital Environment (p.39); 3.3 Optimization Algorithms (p.39, HITL: RL without explicit human expertise); 4 Results incl. Fig.4, Fig.5, Table 1 (pp.39-40); 6 Conclusions (pp.40-41)</t>
        </is>
      </c>
      <c r="V72" s="69" t="inlineStr">
        <is>
          <t>N</t>
        </is>
      </c>
      <c r="W72" s="49" t="inlineStr">
        <is>
          <t>FT 2026-09-06: Incluido: gemelo digital implementado y validado con datos reales de Tata Steel IJmuiden (desviacion 5% y 8 min) para logistica intraplanta de torpedos y cucharas; RL optimiza la ruta del arrabio (-15 grados C, Tabla 1). Dudas: no nombran el algoritmo RL concreto ni recompensa; el rol humano solo se infiere (decision support + explicabilidad); paper corto de 5 paginas. | FT 2026-09-06: Incluido: gemelo digital implementado y validado con datos reales de Tata Steel IJmuiden (desviacion 5% y 8 min) para logistica intraplanta de torpedos y cucharas; RL optimiza la ruta del arrabio (-15 grados C, Tabla 1). Dudas: no nombran el algoritmo RL concreto ni recompensa; el rol humano solo se infiere (decision support + explicabilidad); paper corto de 5 paginas. | TA: Make-annotated production/shop-floor twin with supply chain framing</t>
        </is>
      </c>
    </row>
    <row r="73">
      <c r="A73" s="69" t="inlineStr">
        <is>
          <t>R0252</t>
        </is>
      </c>
      <c r="B73" s="49" t="inlineStr">
        <is>
          <t>Corsini, R.R., Costa, A., Fichera, S. and Framinan, J.M.</t>
        </is>
      </c>
      <c r="C73" s="69" t="n">
        <v>2024</v>
      </c>
      <c r="D73" s="49" t="inlineStr">
        <is>
          <t>Computers and Industrial Engineering</t>
        </is>
      </c>
      <c r="E73" s="69" t="inlineStr">
        <is>
          <t>10.1016/j.cie.2024.110145</t>
        </is>
      </c>
      <c r="F73" s="69" t="inlineStr">
        <is>
          <t>Simulation/synthetic</t>
        </is>
      </c>
      <c r="G73" s="49" t="inlineStr">
        <is>
          <t>Semiconductor manufacturing</t>
        </is>
      </c>
      <c r="H73" s="69" t="inlineStr">
        <is>
          <t>Y</t>
        </is>
      </c>
      <c r="I73" s="69" t="inlineStr">
        <is>
          <t>Y</t>
        </is>
      </c>
      <c r="J73" s="69" t="inlineStr">
        <is>
          <t>N</t>
        </is>
      </c>
      <c r="K73" s="69" t="inlineStr">
        <is>
          <t>N</t>
        </is>
      </c>
      <c r="L73" s="69" t="inlineStr">
        <is>
          <t>N</t>
        </is>
      </c>
      <c r="M73" s="69" t="inlineStr">
        <is>
          <t>N</t>
        </is>
      </c>
      <c r="N73" s="69" t="inlineStr">
        <is>
          <t>Hybrid</t>
        </is>
      </c>
      <c r="O73" s="69" t="inlineStr">
        <is>
          <t>Optimisation</t>
        </is>
      </c>
      <c r="P73" s="69" t="inlineStr">
        <is>
          <t>5 Prescriptive-autonomous</t>
        </is>
      </c>
      <c r="Q73" s="69" t="inlineStr">
        <is>
          <t>Not discussed</t>
        </is>
      </c>
      <c r="R73" s="69" t="inlineStr">
        <is>
          <t>None</t>
        </is>
      </c>
      <c r="S73" s="49" t="inlineStr">
        <is>
          <t>Not discussed</t>
        </is>
      </c>
      <c r="T73" s="49" t="inlineStr">
        <is>
          <t>A closed-loop DT (moving-average lead-time forecast, simulation, ANN surrogates inside PSO) re-optimising SOUT parameters every 30 days kept fill rate near 99%, cut backlog by 81-92% and improved time-to-recover and time-to-survive versus static parameters under COVID-shaped lead-time disruptions, at ~8.7 s per review; no human step in the loop.</t>
        </is>
      </c>
      <c r="U73" s="49" t="inlineStr">
        <is>
          <t>Key finding: Section 4 (8.67 s per review), Section 4.2 Table 4 and Fig. 6, Section 5.1, Section 6. HITL/autonomy: Abstract ('self-adjusts'), Section 3.1 ('the CS is triggered by the PS'), Section 3.2 ('optimal triplet ... utilized in the PS'), Fig. 3. HTML version, no page numbers (article 110145).</t>
        </is>
      </c>
      <c r="V73" s="69" t="inlineStr">
        <is>
          <t>Y</t>
        </is>
      </c>
      <c r="W73" s="49" t="inlineStr">
        <is>
          <t>FT 2026-09-06: Incluido: DT explícito (PS/CS, Fig. 3) con ANN surrogate + PSO que reoptimiza parámetros SOUT del almacén de materias primas frente al proveedor. Evaluación solo por simulación (sistema físico emulado; empresa de semiconductores como inspiración). Lazo cerrado sin humano descrito: propongo nivel 5 y HITL 'Not discussed'; dudas: Deliver (entrega interna almacén→planta) y si prefieres 'Replaced'. | FT 2026-09-06: Incluido: DT explícito (PS/CS, Fig. 3) con ANN surrogate + PSO que reoptimiza parámetros SOUT del almacén de materias primas frente al proveedor. Evaluación solo por simulación (sistema físico emulado; empresa de semiconductores como inspiración). Lazo cerrado sin humano descrito: propongo nivel 5 y HITL 'Not discussed'; dudas: Deliver (entrega interna almacén→planta) y si prefieres 'Replaced'. | FT 2026-09-06: Incluido: DT explícito (PS/CS, Fig. 3) con ANN surrogate + PSO que reoptimiza parámetros SOUT del almacén de materias primas frente al proveedor. Evaluación solo por simulación (sistema físico emulado; empresa de semiconductores como inspiración). Lazo cerrado sin humano descrito: propongo nivel 5 y HITL 'Not discussed'; dudas: Deliver (entrega interna almacén→planta) y si prefieres 'Replaced'. | FT 2026-09-06: Incluido: DT explícito (PS/CS, Fig. 3) con ANN surrogate + PSO que reoptimiza parámetros SOUT del almacén de materias primas frente al proveedor. Evaluación solo por simulación (sistema físico emulado; empresa de semiconductores como inspiración). Lazo cerrado sin humano descrito: propongo nivel 5 y HITL 'Not discussed'; dudas: Deliver (entrega interna almacén→planta) y si prefieres 'Replaced'.</t>
        </is>
      </c>
    </row>
    <row r="74">
      <c r="A74" s="69" t="inlineStr">
        <is>
          <t>R0253</t>
        </is>
      </c>
      <c r="B74" s="49" t="inlineStr">
        <is>
          <t>Choi, J.W., Patil, S., Lee, C. and Park, J.-H.</t>
        </is>
      </c>
      <c r="C74" s="69" t="n">
        <v>2024</v>
      </c>
      <c r="D74" s="49" t="inlineStr">
        <is>
          <t>IFIP Advances in Information and Communication Technology</t>
        </is>
      </c>
      <c r="E74" s="69" t="inlineStr">
        <is>
          <t>10.1007/978-3-031-71633-1_26</t>
        </is>
      </c>
      <c r="F74" s="69" t="n"/>
      <c r="G74" s="69" t="n"/>
      <c r="H74" s="69" t="n"/>
      <c r="I74" s="69" t="n"/>
      <c r="J74" s="69" t="n"/>
      <c r="K74" s="69" t="n"/>
      <c r="L74" s="69" t="n"/>
      <c r="M74" s="69" t="n"/>
      <c r="N74" s="69" t="n"/>
      <c r="O74" s="69" t="n"/>
      <c r="P74" s="69" t="n"/>
      <c r="Q74" s="69" t="n"/>
      <c r="R74" s="69" t="n"/>
      <c r="S74" s="49" t="n"/>
      <c r="T74" s="49" t="n"/>
      <c r="U74" s="69" t="n"/>
      <c r="V74" s="69" t="n"/>
      <c r="W74" s="49" t="inlineStr">
        <is>
          <t>FT: NOT RETRIEVED. NO RECUPERADO: Springer vía proxy Hull muestra solo el resumen + 'preview of subscription content' (IFIP AICT 731, sin suscripción). Única copia OA (Semantic Scholar/OpenAlex/API HAL): hal-05283247, PDF 560959_1_En_26_Chapter.pdf bajo embargo hasta 2027-01-01 (CC BY). Requiere PDF manual. Resumen: DT + segmentación de instancias para seguimiento WIP/logística intraplanta ferroviaria; antecesor APMS 2023 (10.1007/978-3-031-43670-3_39).</t>
        </is>
      </c>
    </row>
    <row r="75">
      <c r="A75" s="69" t="inlineStr">
        <is>
          <t>R0255</t>
        </is>
      </c>
      <c r="B75" s="49" t="inlineStr">
        <is>
          <t>Zhang, J., Wang, Y., Jia, Z. and Ren, L.</t>
        </is>
      </c>
      <c r="C75" s="69" t="n">
        <v>2024</v>
      </c>
      <c r="D75" s="49" t="inlineStr">
        <is>
          <t>Proceedings - 2024 IEEE Smart World Congress, SWC 2024 - 2024 IEEE Ubiquitous Intelligence and Computing, Autonomous and Trusted Computing, Digital Twin, Metaverse, Privacy Computing and Data Security, Scalable Computing and Communications</t>
        </is>
      </c>
      <c r="E75" s="69" t="inlineStr">
        <is>
          <t>10.1109/swc62898.2024.00315</t>
        </is>
      </c>
      <c r="F75" s="69" t="n"/>
      <c r="G75" s="69" t="n"/>
      <c r="H75" s="69" t="n"/>
      <c r="I75" s="69" t="n"/>
      <c r="J75" s="69" t="n"/>
      <c r="K75" s="69" t="n"/>
      <c r="L75" s="69" t="n"/>
      <c r="M75" s="69" t="n"/>
      <c r="N75" s="69" t="n"/>
      <c r="O75" s="69" t="n"/>
      <c r="P75" s="69" t="n"/>
      <c r="Q75" s="69" t="n"/>
      <c r="R75" s="69" t="n"/>
      <c r="S75" s="49" t="n"/>
      <c r="T75" s="49" t="n"/>
      <c r="U75" s="69" t="n"/>
      <c r="V75" s="69" t="n"/>
      <c r="W75"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row>
    <row r="76">
      <c r="A76" s="69" t="inlineStr">
        <is>
          <t>R0261</t>
        </is>
      </c>
      <c r="B76" s="49" t="inlineStr">
        <is>
          <t>Goel, V., Arora, A., Rani, R., Goel, N., Thakar, P. and Arora, H.</t>
        </is>
      </c>
      <c r="C76" s="69" t="n">
        <v>2024</v>
      </c>
      <c r="D76" s="49" t="inlineStr">
        <is>
          <t>2024 International Conference on Artificial Intelligence and Quantum Computation-Based Sensor Applications, ICAIQSA 2024 - Proceedings</t>
        </is>
      </c>
      <c r="E76" s="69" t="inlineStr">
        <is>
          <t>10.1109/icaiqsa64000.2024.10882378</t>
        </is>
      </c>
      <c r="F76" s="69" t="n"/>
      <c r="G76" s="69" t="n"/>
      <c r="H76" s="69" t="n"/>
      <c r="I76" s="69" t="n"/>
      <c r="J76" s="69" t="n"/>
      <c r="K76" s="69" t="n"/>
      <c r="L76" s="69" t="n"/>
      <c r="M76" s="69" t="n"/>
      <c r="N76" s="69" t="n"/>
      <c r="O76" s="69" t="n"/>
      <c r="P76" s="69" t="n"/>
      <c r="Q76" s="69" t="n"/>
      <c r="R76" s="69" t="n"/>
      <c r="S76" s="49" t="n"/>
      <c r="T76" s="49" t="n"/>
      <c r="U76" s="69" t="n"/>
      <c r="V76" s="69" t="n"/>
      <c r="W76"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77">
      <c r="A77" s="69" t="inlineStr">
        <is>
          <t>R0270</t>
        </is>
      </c>
      <c r="B77" s="49" t="inlineStr">
        <is>
          <t>Yang, C., Yu, H., Zheng, Y., Ala-Laurinaho, R., Feng, L. and Tammi, K.</t>
        </is>
      </c>
      <c r="C77" s="69" t="n">
        <v>2024</v>
      </c>
      <c r="D77" s="49" t="inlineStr">
        <is>
          <t>IECON Proceedings (Industrial Electronics Conference)</t>
        </is>
      </c>
      <c r="E77" s="69" t="inlineStr">
        <is>
          <t>10.1109/iecon55916.2024.10905474</t>
        </is>
      </c>
      <c r="F77" s="69" t="inlineStr">
        <is>
          <t>Empirical case</t>
        </is>
      </c>
      <c r="G77" s="49" t="inlineStr">
        <is>
          <t>Manufacturing / intra-plant logistics</t>
        </is>
      </c>
      <c r="H77" s="69" t="inlineStr">
        <is>
          <t>N</t>
        </is>
      </c>
      <c r="I77" s="69" t="inlineStr">
        <is>
          <t>N</t>
        </is>
      </c>
      <c r="J77" s="69" t="inlineStr">
        <is>
          <t>Y</t>
        </is>
      </c>
      <c r="K77" s="69" t="inlineStr">
        <is>
          <t>N</t>
        </is>
      </c>
      <c r="L77" s="69" t="inlineStr">
        <is>
          <t>N</t>
        </is>
      </c>
      <c r="M77" s="69" t="inlineStr">
        <is>
          <t>N</t>
        </is>
      </c>
      <c r="N77" s="69" t="inlineStr">
        <is>
          <t>LLM/agent</t>
        </is>
      </c>
      <c r="O77" s="69" t="inlineStr">
        <is>
          <t>Decision support</t>
        </is>
      </c>
      <c r="P77" s="69" t="inlineStr">
        <is>
          <t>1 Descriptive</t>
        </is>
      </c>
      <c r="Q77" s="69" t="inlineStr">
        <is>
          <t>Elevated</t>
        </is>
      </c>
      <c r="R77" s="69" t="inlineStr">
        <is>
          <t>Interpret outputs</t>
        </is>
      </c>
      <c r="S77" s="49" t="inlineStr">
        <is>
          <t>Operators remain decision-makers in processes needing judgment (in-plant logistics, on-site and remote supervision); the system informs, visualises and alerts but, by the authors' own limitation, does not yet integrate human behaviour into adaptive control.</t>
        </is>
      </c>
      <c r="T77" s="49" t="inlineStr">
        <is>
          <t>A three-layer DT architecture (Data, Knowledge, AI, 3D engines) with an industrial-process ontology was implemented in a lab factory and validated on in-plant AGV/crane transport: an LLM-RAG over a Neo4j knowledge graph answers operator queries in natural language, while knowledge-driven 3D safety zones alert crane operators; latency under 300 ms.</t>
        </is>
      </c>
      <c r="U77" s="49" t="inlineStr">
        <is>
          <t>Abstract (p. 2); III. Proposed General System Architecture (pp. 3-4); V. System Implementation (p. 5); VI. Case Study: In-plant Logistics, incl. C.1 Collision Detection and C.2 Information Retrieval (pp. 5-7); Table I (p. 7); VII. Discussion and Limitation (pp. 7-8)</t>
        </is>
      </c>
      <c r="V77" s="69" t="inlineStr">
        <is>
          <t>Y</t>
        </is>
      </c>
      <c r="W77" s="49" t="inlineStr">
        <is>
          <t>FT 2026-09-06: Incluido: gemelo digital implementado en laboratorio fabril de Aalto (grua, AGVs, OPC UA/MQTT, Unity) con caso de logistica intra-planta explicito; IA real (ChatGPT-4 + LangChain, RAG sobre grafo Neo4j). Dudas: la IA solo recupera informacion (extension 1); la deteccion de colisiones es por reglas, no IA; testbed de laboratorio, no planta industrial. SCOR: Make. | FT 2026-09-06: Incluido: gemelo digital implementado en laboratorio fabril de Aalto (grua, AGVs, OPC UA/MQTT, Unity) con caso de logistica intra-planta explicito; IA real (ChatGPT-4 + LangChain, RAG sobre grafo Neo4j). Dudas: la IA solo recupera informacion (extension 1); la deteccion de colisiones es por reglas, no IA; testbed de laboratorio, no planta industrial. SCOR: Make. | TA: Make-annotated production/shop-floor twin with supply chain framing</t>
        </is>
      </c>
    </row>
    <row r="78">
      <c r="A78" s="69" t="inlineStr">
        <is>
          <t>R0272</t>
        </is>
      </c>
      <c r="B78" s="49" t="inlineStr">
        <is>
          <t>Badakhshan, E. and Ball, P.</t>
        </is>
      </c>
      <c r="C78" s="69" t="n">
        <v>2024</v>
      </c>
      <c r="D78" s="49" t="inlineStr">
        <is>
          <t>International Journal of Production Research</t>
        </is>
      </c>
      <c r="E78" s="69" t="inlineStr">
        <is>
          <t>10.1080/00207543.2023.2244604</t>
        </is>
      </c>
      <c r="F78" s="69" t="inlineStr">
        <is>
          <t>Simulation/synthetic</t>
        </is>
      </c>
      <c r="G78" s="49" t="inlineStr">
        <is>
          <t>Generic/cross-sector</t>
        </is>
      </c>
      <c r="H78" s="69" t="inlineStr">
        <is>
          <t>Y</t>
        </is>
      </c>
      <c r="I78" s="69" t="inlineStr">
        <is>
          <t>N</t>
        </is>
      </c>
      <c r="J78" s="69" t="inlineStr">
        <is>
          <t>Y</t>
        </is>
      </c>
      <c r="K78" s="69" t="inlineStr">
        <is>
          <t>Y</t>
        </is>
      </c>
      <c r="L78" s="69" t="inlineStr">
        <is>
          <t>N</t>
        </is>
      </c>
      <c r="M78" s="69" t="inlineStr">
        <is>
          <t>N</t>
        </is>
      </c>
      <c r="N78" s="69" t="inlineStr">
        <is>
          <t>Classical ML</t>
        </is>
      </c>
      <c r="O78" s="69" t="inlineStr">
        <is>
          <t>Decision support</t>
        </is>
      </c>
      <c r="P78" s="69" t="inlineStr">
        <is>
          <t>4 Prescriptive-advisory</t>
        </is>
      </c>
      <c r="Q78" s="69" t="inlineStr">
        <is>
          <t>Maintained</t>
        </is>
      </c>
      <c r="R78" s="69" t="inlineStr">
        <is>
          <t>Set objectives/constraints</t>
        </is>
      </c>
      <c r="S78" s="49" t="inlineStr">
        <is>
          <t>Periodic, not real-time, updates: when a disruption is detected the simulation and decision tree are re-run to give new rules, and the decision maker re-defines minimum inventory levels for the optimisation; master plan then output to the physical SC.</t>
        </is>
      </c>
      <c r="T78" s="49" t="inlineStr">
        <is>
          <t>Hybrid DES-CART decision tree-MIP framework (a digital-twin precursor with periodic physical-digital data flow) updates the SC master plan under demand and lead-time disruptions; responsive planning raised DC service level (+16.88% for product 1) and cut total cost by 15% versus unresponsive planning.</t>
        </is>
      </c>
      <c r="U78" s="49" t="inlineStr">
        <is>
          <t>Key finding: Abstract; 3.1 Hybrid modelling framework (Figure 2); 5.1 (Figures 8-10, Table 10: CART, 10-fold CV, hit ratio 89-92%, max depth 4); 5.3 Responsive vs. unresponsive SC master planning (Table 13); 7.1. HITL evidence: 3.1 (Figure 2 description: decision maker defines minimum inventory levels for constraints 9-10 of the MIP), 3.1.1, 7.2 Managerial implications. Twin status: 2.4 (last paragraphs), 3.1, 6, 7.1, 7.3. HTML full text, no page numbers visible.</t>
        </is>
      </c>
      <c r="V78" s="69" t="inlineStr">
        <is>
          <t>Y</t>
        </is>
      </c>
      <c r="W78" s="49" t="inlineStr">
        <is>
          <t>FT 2026-09-06: Incluido: gemelo declarado (título; §2.4 'we develop a SC digital twin'; Fig. 2 flujo físico-digital, actualizaciones periódicas), SC dos escalones, CART ejecutado. Dudas: datos sintéticos; nivel 4 vs 5 (plan 'outputted to the physical SC for execution', pero el decisor fija inventarios mínimos); 'Classical ML' aunque híbrido DES+CART+MIP; Source=N (sin proveedores); HITL implícito (Maintained). | FT 2026-09-06: Incluido: gemelo declarado (título; §2.4 'we develop a SC digital twin'; Fig. 2 flujo físico-digital, actualizaciones periódicas), SC dos escalones, CART ejecutado. Dudas: datos sintéticos; nivel 4 vs 5 (plan 'outputted to the physical SC for execution', pero el decisor fija inventarios mínimos); 'Classical ML' aunque híbrido DES+CART+MIP; Source=N (sin proveedores); HITL implícito (Maintained). | FT 2026-09-06: Incluido: gemelo declarado (título; §2.4 'we develop a SC digital twin'; Fig. 2 flujo físico-digital, actualizaciones periódicas), SC dos escalones, CART ejecutado. Dudas: datos sintéticos; nivel 4 vs 5 (plan 'outputted to the physical SC for execution', pero el decisor fija inventarios mínimos); 'Classical ML' aunque híbrido DES+CART+MIP; Source=N (sin proveedores); HITL implícito (Maintained). | FT 2026-09-06: Incluido: gemelo declarado (título; §2.4 'we develop a SC digital twin'; Fig. 2 flujo físico-digital, actualizaciones periódicas), SC dos escalones, CART ejecutado. Dudas: datos sintéticos; nivel 4 vs 5 (plan 'outputted to the physical SC for execution', pero el decisor fija inventarios mínimos); 'Classical ML' aunque híbrido DES+CART+MIP; Source=N (sin proveedores); HITL implícito (Maintained).</t>
        </is>
      </c>
    </row>
    <row r="79">
      <c r="A79" s="69" t="inlineStr">
        <is>
          <t>R0273</t>
        </is>
      </c>
      <c r="B79" s="49" t="inlineStr">
        <is>
          <t>Ivanov, D.</t>
        </is>
      </c>
      <c r="C79" s="69" t="n">
        <v>2024</v>
      </c>
      <c r="D79" s="49" t="inlineStr">
        <is>
          <t>International Journal of Production Research</t>
        </is>
      </c>
      <c r="E79" s="69" t="inlineStr">
        <is>
          <t>10.1080/00207543.2023.2217291</t>
        </is>
      </c>
      <c r="F79" s="69" t="inlineStr">
        <is>
          <t>Conceptual</t>
        </is>
      </c>
      <c r="G79" s="49" t="inlineStr">
        <is>
          <t>Generic/cross-sector</t>
        </is>
      </c>
      <c r="H79" s="69" t="inlineStr">
        <is>
          <t>Y</t>
        </is>
      </c>
      <c r="I79" s="69" t="inlineStr">
        <is>
          <t>Y</t>
        </is>
      </c>
      <c r="J79" s="69" t="inlineStr">
        <is>
          <t>Y</t>
        </is>
      </c>
      <c r="K79" s="69" t="inlineStr">
        <is>
          <t>Y</t>
        </is>
      </c>
      <c r="L79" s="69" t="inlineStr">
        <is>
          <t>Y</t>
        </is>
      </c>
      <c r="M79" s="69" t="inlineStr">
        <is>
          <t>Y</t>
        </is>
      </c>
      <c r="N79" s="69" t="inlineStr">
        <is>
          <t>Other</t>
        </is>
      </c>
      <c r="O79" s="69" t="inlineStr">
        <is>
          <t>Decision support</t>
        </is>
      </c>
      <c r="P79" s="69" t="inlineStr">
        <is>
          <t>4 Prescriptive-advisory</t>
        </is>
      </c>
      <c r="Q79" s="69" t="inlineStr">
        <is>
          <t>Maintained</t>
        </is>
      </c>
      <c r="R79" s="69" t="inlineStr">
        <is>
          <t>Approve/override</t>
        </is>
      </c>
      <c r="S79" s="49" t="inlineStr">
        <is>
          <t>Depends on the twin's design: in decision-support mode the human keeps final decisions (digital companion); the framework also admits decision-making by AI (e.g. order placement) and control signals back to the real system; roles change through bidirectional human–twin learning.</t>
        </is>
      </c>
      <c r="T79" s="49" t="inlineStr">
        <is>
          <t>Proposes a 7-element SCOM digital twin framework (technology, people, management, organisation, scope, task, modelling) and five twin types; concludes twins are socio-technical systems with continuous human–AI interaction, where analytics (simulation, optimisation, neural networks, ML/RL) is the modelling backbone and decisions stay with humans or pass to AI by design.</t>
        </is>
      </c>
      <c r="U79" s="49" t="inlineStr">
        <is>
          <t>Key finding: Abstract; Section 1 (definition, Figure 1); Section 2.1 (Figure 2); Section 3 'Modelling' and 'Scope' (Figure 4); Section 5 Conclusion. HITL: Section 1 ('decision-making principles (AI algorithm vs human)'); Section 3 'People', 'Organisation', 'Modelling'; Section 4.1 (digital companion; 'integration with AI is possible'); Section 5 (bidirectional learning). HTML full text, no page numbers visible (vol. 62, no. 6).</t>
        </is>
      </c>
      <c r="V79" s="69" t="inlineStr">
        <is>
          <t>Y</t>
        </is>
      </c>
      <c r="W79" s="49" t="inlineStr">
        <is>
          <t>FT 2026-09-06: Incluido como conceptual: la IA es constitutiva del concepto (analítica como componente iii de la definición; elemento Modelling nombra redes neuronales, ML y RL; conclusión: interacción continua humano-IA). Dudas: ningún método se ejecuta; la ilustración anyLogistix es simulación/optimización ('integration with AI is possible'); método = revisión integrativa, podría codificarse Review. Make/Return solo por 'production control' y logística inversa (4.2.2). | FT 2026-09-06: Incluido como conceptual: la IA es constitutiva del concepto (analítica como componente iii de la definición; elemento Modelling nombra redes neuronales, ML y RL; conclusión: interacción continua humano-IA). Dudas: ningún método se ejecuta; la ilustración anyLogistix es simulación/optimización ('integration with AI is possible'); método = revisión integrativa, podría codificarse Review. Make/Return solo por 'production control' y logística inversa (4.2.2). | FT 2026-09-06: Incluido como conceptual: la IA es constitutiva del concepto (analítica como componente iii de la definición; elemento Modelling nombra redes neuronales, ML y RL; conclusión: interacción continua humano-IA). Dudas: ningún método se ejecuta; la ilustración anyLogistix es simulación/optimización ('integration with AI is possible'); método = revisión integrativa, podría codificarse Review. Make/Return solo por 'production control' y logística inversa (4.2.2). | FT 2026-09-06: Incluido como conceptual: la IA es constitutiva del concepto (analítica como componente iii de la definición; elemento Modelling nombra redes neuronales, ML y RL; conclusión: interacción continua humano-IA). Dudas: ningún método se ejecuta; la ilustración anyLogistix es simulación/optimización ('integration with AI is possible'); método = revisión integrativa, podría codificarse Review. Make/Return solo por 'production control' y logística inversa (4.2.2).</t>
        </is>
      </c>
    </row>
    <row r="80">
      <c r="A80" s="69" t="inlineStr">
        <is>
          <t>R0289</t>
        </is>
      </c>
      <c r="B80" s="49" t="inlineStr">
        <is>
          <t>Zhe, W., Xinhua, Z., Yiwei, S., Kaiqiang, S., Liang, Z. and Hui, D.</t>
        </is>
      </c>
      <c r="C80" s="69" t="n">
        <v>2023</v>
      </c>
      <c r="D80" s="49" t="inlineStr">
        <is>
          <t>Energy Proceedings</t>
        </is>
      </c>
      <c r="E80" s="69" t="inlineStr">
        <is>
          <t>10.46855/energy-proceedings-10547</t>
        </is>
      </c>
      <c r="F80" s="69" t="n"/>
      <c r="G80" s="69" t="n"/>
      <c r="H80" s="69" t="n"/>
      <c r="I80" s="69" t="n"/>
      <c r="J80" s="69" t="n"/>
      <c r="K80" s="69" t="n"/>
      <c r="L80" s="69" t="n"/>
      <c r="M80" s="69" t="n"/>
      <c r="N80" s="69" t="n"/>
      <c r="O80" s="69" t="n"/>
      <c r="P80" s="69" t="n"/>
      <c r="Q80" s="69" t="n"/>
      <c r="R80" s="69" t="n"/>
      <c r="S80" s="49" t="n"/>
      <c r="T80" s="49" t="n"/>
      <c r="U80" s="69" t="n"/>
      <c r="V80" s="69" t="n"/>
      <c r="W80" s="49" t="inlineStr">
        <is>
          <t>FT: EXCLUDED - No digital twin / digital model. Excluir: el gemelo solo se esboza (Fig 1 flujo, Fig 2 render 3D) más listas genéricas de beneficios; sin implementación ni resultados pese a afirmar 'verificación experimental'. IA especificada (DQN) solo para control del proceso de captura; la predicción de demanda no tiene método. Cadena de suministro solo en título/resumen. Calidad baja (5 pp., 3 refs). Duda: revisar Fig 1.</t>
        </is>
      </c>
    </row>
    <row r="81">
      <c r="A81" s="69" t="inlineStr">
        <is>
          <t>R0290</t>
        </is>
      </c>
      <c r="B81" s="49" t="inlineStr">
        <is>
          <t>Li, N. and Sun, J.</t>
        </is>
      </c>
      <c r="C81" s="69" t="n">
        <v>2023</v>
      </c>
      <c r="D81" s="49" t="inlineStr">
        <is>
          <t>2023 IEEE 3rd International Conference on Data Science and Computer Application, ICDSCA 2023</t>
        </is>
      </c>
      <c r="E81" s="69" t="inlineStr">
        <is>
          <t>10.1109/icdsca59871.2023.10392494</t>
        </is>
      </c>
      <c r="F81" s="69" t="n"/>
      <c r="G81" s="69" t="n"/>
      <c r="H81" s="69" t="n"/>
      <c r="I81" s="69" t="n"/>
      <c r="J81" s="69" t="n"/>
      <c r="K81" s="69" t="n"/>
      <c r="L81" s="69" t="n"/>
      <c r="M81" s="69" t="n"/>
      <c r="N81" s="69" t="n"/>
      <c r="O81" s="69" t="n"/>
      <c r="P81" s="69" t="n"/>
      <c r="Q81" s="69" t="n"/>
      <c r="R81" s="69" t="n"/>
      <c r="S81" s="49" t="n"/>
      <c r="T81" s="49" t="n"/>
      <c r="U81" s="69" t="n"/>
      <c r="V81" s="69" t="n"/>
      <c r="W81"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82">
      <c r="A82" s="69" t="inlineStr">
        <is>
          <t>R0291</t>
        </is>
      </c>
      <c r="B82" s="49" t="inlineStr">
        <is>
          <t>Tang, Y.M., Kuo, W.T. and Lee, C.K.M.</t>
        </is>
      </c>
      <c r="C82" s="69" t="n">
        <v>2023</v>
      </c>
      <c r="D82" s="49" t="inlineStr">
        <is>
          <t>Internet of Things (Netherlands)</t>
        </is>
      </c>
      <c r="E82" s="69" t="inlineStr">
        <is>
          <t>10.1016/j.iot.2023.100753</t>
        </is>
      </c>
      <c r="F82" s="69" t="inlineStr">
        <is>
          <t>Simulation/synthetic</t>
        </is>
      </c>
      <c r="G82" s="49" t="inlineStr">
        <is>
          <t>Warehousing</t>
        </is>
      </c>
      <c r="H82" s="69" t="inlineStr">
        <is>
          <t>N</t>
        </is>
      </c>
      <c r="I82" s="69" t="inlineStr">
        <is>
          <t>N</t>
        </is>
      </c>
      <c r="J82" s="69" t="inlineStr">
        <is>
          <t>N</t>
        </is>
      </c>
      <c r="K82" s="69" t="inlineStr">
        <is>
          <t>Y</t>
        </is>
      </c>
      <c r="L82" s="69" t="inlineStr">
        <is>
          <t>N</t>
        </is>
      </c>
      <c r="M82" s="69" t="inlineStr">
        <is>
          <t>N</t>
        </is>
      </c>
      <c r="N82" s="69" t="inlineStr">
        <is>
          <t>Other deep learning</t>
        </is>
      </c>
      <c r="O82" s="69" t="inlineStr">
        <is>
          <t>Other</t>
        </is>
      </c>
      <c r="P82" s="69" t="inlineStr">
        <is>
          <t>1 Descriptive</t>
        </is>
      </c>
      <c r="Q82" s="69" t="inlineStr">
        <is>
          <t>Maintained</t>
        </is>
      </c>
      <c r="R82" s="69" t="inlineStr">
        <is>
          <t>Interpret outputs</t>
        </is>
      </c>
      <c r="S82" s="49" t="inlineStr">
        <is>
          <t>Operators trigger detection by tapping or automatic recognition and read the MR dashboard; their inputs enrich the image database; management is alerted only when a (designed, not implemented) risk index exceeds a threshold.</t>
        </is>
      </c>
      <c r="T82" s="49" t="inlineStr">
        <is>
          <t>Lab prototype (HoloLens MR + Azure cloud + MySQL) framed as a warehouse digital twin: YOLOv5-s detects packages and pulls item records (location, order number) onto an MR dashboard for operators (125 FPS, 67.3% mAP). Forecast/risk functions only described; humans keep all logistics decisions.</t>
        </is>
      </c>
      <c r="U82" s="49" t="inlineStr">
        <is>
          <t>Key finding: Sect. 4.3 'Integration of object recognition application, MR and DT'; Sect. 5.2 'AI models comparison' (Table 2); Sect. 6 'Conclusions'. HITL: Sect. 1 'Introduction' (contribution iii, 'relieve their decision load'); Sect. 3.1 'Problem scenario' (operators' input enriches image database); Sect. 3.3 'Warehouse AI and MR digital twin model' (tap or automatic recognition); Sect. 3.4 'Information system integration for business workflow' (management alert at risk threshold). HTML view: no page numbers; subsection numbers inferred from order (Sections 3-6 numbered by the authors in the Introduction roadmap).</t>
        </is>
      </c>
      <c r="V82" s="69" t="inlineStr">
        <is>
          <t>Y</t>
        </is>
      </c>
      <c r="W82" s="49" t="inlineStr">
        <is>
          <t>FT 2026-09-06: Incluir con reservas: arquitectura DT de almacén con capas y flujos (Figs. 2, 3, 6) y YOLOv5-s implementado; la IA sólo reconoce objetos y recupera información para el operario (nivel descriptivo). Las funciones predictivas (riesgo, retrasos) se describen sin implementar. Almacén es escenario simulado, no real. Dudas: evidence_type (Simulation vs Empirical data) y ai_role (Other vs Decision support). | FT 2026-09-06: Incluir con reservas: arquitectura DT de almacén con capas y flujos (Figs. 2, 3, 6) y YOLOv5-s implementado; la IA sólo reconoce objetos y recupera información para el operario (nivel descriptivo). Las funciones predictivas (riesgo, retrasos) se describen sin implementar. Almacén es escenario simulado, no real. Dudas: evidence_type (Simulation vs Empirical data) y ai_role (Other vs Decision support). | FT 2026-09-06: Incluir con reservas: arquitectura DT de almacén con capas y flujos (Figs. 2, 3, 6) y YOLOv5-s implementado; la IA sólo reconoce objetos y recupera información para el operario (nivel descriptivo). Las funciones predictivas (riesgo, retrasos) se describen sin implementar. Almacén es escenario simulado, no real. Dudas: evidence_type (Simulation vs Empirical data) y ai_role (Other vs Decision support). | FT 2026-09-06: Incluir con reservas: arquitectura DT de almacén con capas y flujos (Figs. 2, 3, 6) y YOLOv5-s implementado; la IA sólo reconoce objetos y recupera información para el operario (nivel descriptivo). Las funciones predictivas (riesgo, retrasos) se describen sin implementar. Almacén es escenario simulado, no real. Dudas: evidence_type (Simulation vs Empirical data) y ai_role (Other vs Decision support). | TA: included under the sensitivity rule; check the flagged point in the Screening note</t>
        </is>
      </c>
    </row>
    <row r="83">
      <c r="A83" s="69" t="inlineStr">
        <is>
          <t>R0295</t>
        </is>
      </c>
      <c r="B83" s="49" t="inlineStr">
        <is>
          <t>Ud Din, F. and Paul, D.</t>
        </is>
      </c>
      <c r="C83" s="69" t="n">
        <v>2023</v>
      </c>
      <c r="D83" s="49" t="inlineStr">
        <is>
          <t>Lecture Notes in Networks and Systems</t>
        </is>
      </c>
      <c r="E83" s="69" t="inlineStr">
        <is>
          <t>10.1007/978-3-031-16075-2_44</t>
        </is>
      </c>
      <c r="F83" s="69" t="n"/>
      <c r="G83" s="69" t="n"/>
      <c r="H83" s="69" t="n"/>
      <c r="I83" s="69" t="n"/>
      <c r="J83" s="69" t="n"/>
      <c r="K83" s="69" t="n"/>
      <c r="L83" s="69" t="n"/>
      <c r="M83" s="69" t="n"/>
      <c r="N83" s="69" t="n"/>
      <c r="O83" s="69" t="n"/>
      <c r="P83" s="69" t="n"/>
      <c r="Q83" s="69" t="n"/>
      <c r="R83" s="69" t="n"/>
      <c r="S83" s="49" t="n"/>
      <c r="T83" s="49" t="n"/>
      <c r="U83" s="69" t="n"/>
      <c r="V83" s="69" t="n"/>
      <c r="W83" s="49" t="inlineStr">
        <is>
          <t>FT: NOT RETRIEVED. NO RECUPERADO: la página Springer vía proxy Hull (esperé 8 s + 6 s) muestra solo el resumen y 'This is a preview of subscription content' (paquete eBook no suscrito). Semantic Scholar: CLOSED, sin PDF abierto; OpenAlex: closed, ningún repositorio con texto completo; arXiv: sin preprint. Requiere descarga manual del PDF (Springer, DOI arriba) y luego LOCAL TEXT MODE.</t>
        </is>
      </c>
    </row>
    <row r="84">
      <c r="A84" s="69" t="inlineStr">
        <is>
          <t>R0297</t>
        </is>
      </c>
      <c r="B84" s="49" t="inlineStr">
        <is>
          <t>Zhang, W., Yu, C., Xiao, J., Cheung, D., Kin, H. and Zhong, R.Y.</t>
        </is>
      </c>
      <c r="C84" s="69" t="n">
        <v>2023</v>
      </c>
      <c r="D84" s="49" t="inlineStr">
        <is>
          <t>IEEE International Conference on Automation Science and Engineering</t>
        </is>
      </c>
      <c r="E84" s="69" t="inlineStr">
        <is>
          <t>10.1109/case56687.2023.10288632</t>
        </is>
      </c>
      <c r="F84" s="69" t="n"/>
      <c r="G84" s="69" t="n"/>
      <c r="H84" s="69" t="n"/>
      <c r="I84" s="69" t="n"/>
      <c r="J84" s="69" t="n"/>
      <c r="K84" s="69" t="n"/>
      <c r="L84" s="69" t="n"/>
      <c r="M84" s="69" t="n"/>
      <c r="N84" s="69" t="n"/>
      <c r="O84" s="69" t="n"/>
      <c r="P84" s="69" t="n"/>
      <c r="Q84" s="69" t="n"/>
      <c r="R84" s="69" t="n"/>
      <c r="S84" s="49" t="n"/>
      <c r="T84" s="49" t="n"/>
      <c r="U84" s="69" t="n"/>
      <c r="V84" s="69" t="n"/>
      <c r="W84"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85">
      <c r="A85" s="69" t="inlineStr">
        <is>
          <t>R0298</t>
        </is>
      </c>
      <c r="B85" s="49" t="inlineStr">
        <is>
          <t>Badakhshan, E. and Ball, P.</t>
        </is>
      </c>
      <c r="C85" s="69" t="n">
        <v>2023</v>
      </c>
      <c r="D85" s="49" t="inlineStr">
        <is>
          <t>International Journal of Production Research</t>
        </is>
      </c>
      <c r="E85" s="69" t="inlineStr">
        <is>
          <t>10.1080/00207543.2022.2093682</t>
        </is>
      </c>
      <c r="F85" s="69" t="inlineStr">
        <is>
          <t>Simulation/synthetic</t>
        </is>
      </c>
      <c r="G85" s="49" t="inlineStr">
        <is>
          <t>FMCG (consumer goods)</t>
        </is>
      </c>
      <c r="H85" s="69" t="inlineStr">
        <is>
          <t>Y</t>
        </is>
      </c>
      <c r="I85" s="69" t="inlineStr">
        <is>
          <t>Y</t>
        </is>
      </c>
      <c r="J85" s="69" t="inlineStr">
        <is>
          <t>Y</t>
        </is>
      </c>
      <c r="K85" s="69" t="inlineStr">
        <is>
          <t>Y</t>
        </is>
      </c>
      <c r="L85" s="69" t="inlineStr">
        <is>
          <t>N</t>
        </is>
      </c>
      <c r="M85" s="69" t="inlineStr">
        <is>
          <t>Y</t>
        </is>
      </c>
      <c r="N85" s="69" t="inlineStr">
        <is>
          <t>Classical ML</t>
        </is>
      </c>
      <c r="O85" s="69" t="inlineStr">
        <is>
          <t>Decision support</t>
        </is>
      </c>
      <c r="P85" s="69" t="inlineStr">
        <is>
          <t>4 Prescriptive-advisory</t>
        </is>
      </c>
      <c r="Q85" s="69" t="inlineStr">
        <is>
          <t>Maintained</t>
        </is>
      </c>
      <c r="R85" s="69" t="inlineStr">
        <is>
          <t>Interpret outputs</t>
        </is>
      </c>
      <c r="S85" s="49" t="inlineStr">
        <is>
          <t>Human keeps setting inventory/cash policies; the twin's decision tree is chosen as white-box so decision-makers can understand rules; analysts filter rules by service level &gt;=98% and pick the lowest-CCC rule. Not theorised as a change in role.</t>
        </is>
      </c>
      <c r="T85" s="49" t="inlineStr">
        <is>
          <t>Simulation-generated data trained a CART decision tree (83-86% accuracy) whose rules set inventory and cash replenishment policies; centralised planning with these rules cut the manufacturer's cash conversion cycle by 11.1 and 9.5 weeks versus decentralised planning, with and without disruptions; the wholesaler's ordering policy drives manufacturer CCC.</t>
        </is>
      </c>
      <c r="U85" s="49" t="inlineStr">
        <is>
          <t>Key finding: Sect. 5.2.2 (Fig. 6, hit ratio 83-86%), 5.2.3 (Figs 7-8, attribute relevance), 5.2.4 (Tables 6-7, -11.12 / -9.49 weeks), 6.2 para 3 (85% accuracy). HITL: Sect. 4 (Fig. 1 framework paragraph), 4.1 para 3, 6.2 para 2. HTML version, no page numbers visible.</t>
        </is>
      </c>
      <c r="V85" s="69" t="inlineStr">
        <is>
          <t>Y</t>
        </is>
      </c>
      <c r="W85" s="49" t="inlineStr">
        <is>
          <t>FT 2026-09-06: Incluido: gemelo digital de cadena FMCG de tres eslabones (DES SimPy + árbol CART scikit-learn) que genera reglas de reposición de inventario y efectivo. Verificado: ML = CART, no RL; humano = decisor que interpreta reglas y fija políticas (nivel 4), sin discusión explícita de HITL. Dudas: gemelo sin conexión a sistema real (caso simulado); Make=Y por capacidad del fabricante. | FT 2026-09-06: Incluido: gemelo digital de cadena FMCG de tres eslabones (DES SimPy + árbol CART scikit-learn) que genera reglas de reposición de inventario y efectivo. Verificado: ML = CART, no RL; humano = decisor que interpreta reglas y fija políticas (nivel 4), sin discusión explícita de HITL. Dudas: gemelo sin conexión a sistema real (caso simulado); Make=Y por capacidad del fabricante. | FT 2026-09-06: Incluido: gemelo digital de cadena FMCG de tres eslabones (DES SimPy + árbol CART scikit-learn) que genera reglas de reposición de inventario y efectivo. Verificado: ML = CART, no RL; humano = decisor que interpreta reglas y fija políticas (nivel 4), sin discusión explícita de HITL. Dudas: gemelo sin conexión a sistema real (caso simulado); Make=Y por capacidad del fabricante. | FT 2026-09-06: Incluido: gemelo digital de cadena FMCG de tres eslabones (DES SimPy + árbol CART scikit-learn) que genera reglas de reposición de inventario y efectivo. Verificado: ML = CART, no RL; humano = decisor que interpreta reglas y fija políticas (nivel 4), sin discusión explícita de HITL. Dudas: gemelo sin conexión a sistema real (caso simulado); Make=Y por capacidad del fabricante.</t>
        </is>
      </c>
    </row>
    <row r="86">
      <c r="A86" s="69" t="inlineStr">
        <is>
          <t>R0299</t>
        </is>
      </c>
      <c r="B86" s="49" t="inlineStr">
        <is>
          <t>Khetani, N., Sharma, A. and Kulkarni, A.</t>
        </is>
      </c>
      <c r="C86" s="69" t="n">
        <v>2023</v>
      </c>
      <c r="D86" s="49" t="inlineStr">
        <is>
          <t>2023 IEEE Engineering Informatics, EI 2023</t>
        </is>
      </c>
      <c r="E86" s="69" t="inlineStr">
        <is>
          <t>10.1109/ieeeconf58110.2023.10520525</t>
        </is>
      </c>
      <c r="F86" s="69" t="inlineStr">
        <is>
          <t>Empirical data</t>
        </is>
      </c>
      <c r="G86" s="49" t="inlineStr">
        <is>
          <t>Warehousing</t>
        </is>
      </c>
      <c r="H86" s="69" t="inlineStr">
        <is>
          <t>Y</t>
        </is>
      </c>
      <c r="I86" s="69" t="inlineStr">
        <is>
          <t>N</t>
        </is>
      </c>
      <c r="J86" s="69" t="inlineStr">
        <is>
          <t>N</t>
        </is>
      </c>
      <c r="K86" s="69" t="inlineStr">
        <is>
          <t>Y</t>
        </is>
      </c>
      <c r="L86" s="69" t="inlineStr">
        <is>
          <t>N</t>
        </is>
      </c>
      <c r="M86" s="69" t="inlineStr">
        <is>
          <t>N</t>
        </is>
      </c>
      <c r="N86" s="69" t="inlineStr">
        <is>
          <t>Classical ML</t>
        </is>
      </c>
      <c r="O86" s="69" t="inlineStr">
        <is>
          <t>Forecasting/estimation</t>
        </is>
      </c>
      <c r="P86" s="69" t="inlineStr">
        <is>
          <t>5 Prescriptive-autonomous</t>
        </is>
      </c>
      <c r="Q86" s="69" t="inlineStr">
        <is>
          <t>Maintained</t>
        </is>
      </c>
      <c r="R86" s="69" t="inlineStr">
        <is>
          <t>Handle exceptions</t>
        </is>
      </c>
      <c r="S86" s="49" t="inlineStr">
        <is>
          <t>Humans retained where tasks are physical or exceptional (loading/unloading, manual goods inspection, exception handling); routine order release and AGV re-routing become automatic. 5G human-machine interfaces and ergonomic design sustain real-time worker-system communication.</t>
        </is>
      </c>
      <c r="T86" s="49" t="inlineStr">
        <is>
          <t>A proof-of-concept warehouse digital twin couples Ridge-regularised polynomial regression on real packing data (RMSE 14.72 s vs 19.04 s linear, 89% cohesion) with a grid-adapted A* pathfinder, plus Node-RED/Traccar/RFID and 5G, to auto-release orders and re-route AGVs after layout changes.</t>
        </is>
      </c>
      <c r="U86" s="49" t="inlineStr">
        <is>
          <t>Abstract (p. 1); III.A Order management (p. 2); V Integration of AI and Machine Learning (p. 3); VI Integration of Dynamic Layouts and Human Operations (p. 3); VII.A-C Case Study / A* algorithm (pp. 3-4); IX Methodology and IX.D Model validation (pp. 5-7); XIII Outcomes (p. 9)</t>
        </is>
      </c>
      <c r="V86" s="69" t="inlineStr">
        <is>
          <t>Y</t>
        </is>
      </c>
      <c r="W86" s="49" t="inlineStr">
        <is>
          <t>FT 2026-09-06: Incluido: gemelo digital de almacen (proof-of-concept) con ML ejecutado - regresion polinomica Ridge, RMSE 14.72 s sobre datos reales de packing - y A* adaptado a rejilla. Texto de autor en ResearchGate (IEEE de pago). Dudas: evidence_type Empirical data vs case; integration_extent 5 (libera pedidos y re-rutea AGV sin aprobacion) vs 4; Make=N pese a 'production line' del abstract. | FT 2026-09-06: Incluido: gemelo digital de almacen (proof-of-concept) con ML ejecutado - regresion polinomica Ridge, RMSE 14.72 s sobre datos reales de packing - y A* adaptado a rejilla. Texto de autor en ResearchGate (IEEE de pago). Dudas: evidence_type Empirical data vs case; integration_extent 5 (libera pedidos y re-rutea AGV sin aprobacion) vs 4; Make=N pese a 'production line' del abstract.</t>
        </is>
      </c>
    </row>
    <row r="87">
      <c r="A87" s="69" t="inlineStr">
        <is>
          <t>R0302</t>
        </is>
      </c>
      <c r="B87" s="49" t="inlineStr">
        <is>
          <t>Elashmawy, R., Doron, M., Brecht, J.K. and Uysal, I.</t>
        </is>
      </c>
      <c r="C87" s="69" t="n">
        <v>2023</v>
      </c>
      <c r="D87" s="49" t="inlineStr">
        <is>
          <t>Proceedings - 2023 IEEE Conference on Artificial Intelligence, CAI 2023</t>
        </is>
      </c>
      <c r="E87" s="69" t="inlineStr">
        <is>
          <t>10.1109/cai54212.2023.00112</t>
        </is>
      </c>
      <c r="F87" s="69" t="n"/>
      <c r="G87" s="69" t="n"/>
      <c r="H87" s="69" t="n"/>
      <c r="I87" s="69" t="n"/>
      <c r="J87" s="69" t="n"/>
      <c r="K87" s="69" t="n"/>
      <c r="L87" s="69" t="n"/>
      <c r="M87" s="69" t="n"/>
      <c r="N87" s="69" t="n"/>
      <c r="O87" s="69" t="n"/>
      <c r="P87" s="69" t="n"/>
      <c r="Q87" s="69" t="n"/>
      <c r="R87" s="69" t="n"/>
      <c r="S87" s="49" t="n"/>
      <c r="T87" s="49" t="n"/>
      <c r="U87" s="69" t="n"/>
      <c r="V87" s="69" t="n"/>
      <c r="W87"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row>
    <row r="88">
      <c r="A88" s="69" t="inlineStr">
        <is>
          <t>R0306</t>
        </is>
      </c>
      <c r="B88" s="49" t="inlineStr">
        <is>
          <t>Lim, J.-B. and Jeong, J.</t>
        </is>
      </c>
      <c r="C88" s="69" t="n">
        <v>2023</v>
      </c>
      <c r="D88" s="49" t="inlineStr">
        <is>
          <t>Applied Sciences (Switzerland)</t>
        </is>
      </c>
      <c r="E88" s="69" t="inlineStr">
        <is>
          <t>10.3390/app13179690</t>
        </is>
      </c>
      <c r="F88" s="69" t="inlineStr">
        <is>
          <t>Simulation/synthetic</t>
        </is>
      </c>
      <c r="G88" s="49" t="inlineStr">
        <is>
          <t>Electronics manufacturing (battery management system production line; intra-plant stocker/buffer logistics)</t>
        </is>
      </c>
      <c r="H88" s="69" t="inlineStr">
        <is>
          <t>N</t>
        </is>
      </c>
      <c r="I88" s="69" t="inlineStr">
        <is>
          <t>N</t>
        </is>
      </c>
      <c r="J88" s="69" t="inlineStr">
        <is>
          <t>Y</t>
        </is>
      </c>
      <c r="K88" s="69" t="inlineStr">
        <is>
          <t>N</t>
        </is>
      </c>
      <c r="L88" s="69" t="inlineStr">
        <is>
          <t>N</t>
        </is>
      </c>
      <c r="M88" s="69" t="inlineStr">
        <is>
          <t>N</t>
        </is>
      </c>
      <c r="N88" s="69" t="inlineStr">
        <is>
          <t>Reinforcement learning</t>
        </is>
      </c>
      <c r="O88" s="69" t="inlineStr">
        <is>
          <t>Control</t>
        </is>
      </c>
      <c r="P88" s="69" t="inlineStr">
        <is>
          <t>5 Prescriptive-autonomous</t>
        </is>
      </c>
      <c r="Q88" s="69" t="inlineStr">
        <is>
          <t>Reduced</t>
        </is>
      </c>
      <c r="R88" s="69" t="inlineStr">
        <is>
          <t>Set objectives/constraints</t>
        </is>
      </c>
      <c r="S88" s="49" t="inlineStr">
        <is>
          <t>No explicit conditions. The paper says AI modelling removes dependence on the user's parameter settings and aims at unmanned factories with zero human handling; humans keep only offline design of reward function, observation/action parameters and learning options.</t>
        </is>
      </c>
      <c r="T88" s="49" t="inlineStr">
        <is>
          <t>PPO agent (Stable-Baselines3 in FlexSim) choosing which item type each router pulls from the stocker cut stocker average waiting time from 3348 s (FIFO) to 145 s and mean queue from about 272 to 12 items at similar daily output (7304 vs 7058); converged after 3000-8000 training steps.</t>
        </is>
      </c>
      <c r="U88" s="49" t="inlineStr">
        <is>
          <t>Key finding: Section 4.1 Simulation Environment (FlexSim 2022, PPO, observation/action parameters), 4.2 Performance Metrics (reward R = K/[Tt(Sink 1 entry) - Tt(stocker exit)]), 4.3 Results (Tables 3, 5, 6; Figure 20), 4.4 Discussion, Section 5 Conclusions. Twin claim: Abstract and keywords ('digital twin'), 3.1 Overall Architecture, 4.1 (model of a BMS production-line component); no real-data validation reported anywhere, Data Availability Statement 'Not applicable'. HITL evidence: 2.3 Storage Devices (stockers initially managed by people), 3.3 Applying AI Technology (rule-based work order replaced by RTD AI model), Section 5 Conclusions (user's parameter settings vs AI-powered modelling; zero human handling / unmanned factories; reward-function design as a key open issue). MDPI article number 9690, no page numbers in the HTML.</t>
        </is>
      </c>
      <c r="V88" s="69" t="inlineStr">
        <is>
          <t>Y</t>
        </is>
      </c>
      <c r="W88" s="49" t="inlineStr">
        <is>
          <t>FT 2026-09-06: Propuesto INCLUIR con reserva: modelo FlexSim de un tramo de línea BMS (stocker→routers) con PPO ejecutado; framing de logística intraplanta real (stocker, automatización logística, cola/espera). Duda criterio 1: 'gemelo' solo nominal (palabra clave y resumen); la 'validación' es RL vs FIFO dentro de la simulación, sin contraste con datos reales (Data Availability: not applicable). HITL: una frase (fábricas no tripuladas). | FT 2026-09-06: Propuesto INCLUIR con reserva: modelo FlexSim de un tramo de línea BMS (stocker→routers) con PPO ejecutado; framing de logística intraplanta real (stocker, automatización logística, cola/espera). Duda criterio 1: 'gemelo' solo nominal (palabra clave y resumen); la 'validación' es RL vs FIFO dentro de la simulación, sin contraste con datos reales (Data Availability: not applicable). HITL: una frase (fábricas no tripuladas). | FT 2026-09-06: Propuesto INCLUIR con reserva: modelo FlexSim de un tramo de línea BMS (stocker→routers) con PPO ejecutado; framing de logística intraplanta real (stocker, automatización logística, cola/espera). Duda criterio 1: 'gemelo' solo nominal (palabra clave y resumen); la 'validación' es RL vs FIFO dentro de la simulación, sin contraste con datos reales (Data Availability: not applicable). HITL: una frase (fábricas no tripuladas). | FT 2026-09-06: Propuesto INCLUIR con reserva: modelo FlexSim de un tramo de línea BMS (stocker→routers) con PPO ejecutado; framing de logística intraplanta real (stocker, automatización logística, cola/espera). Duda criterio 1: 'gemelo' solo nominal (palabra clave y resumen); la 'validación' es RL vs FIFO dentro de la simulación, sin contraste con datos reales (Data Availability: not applicable). HITL: una frase (fábricas no tripuladas). | TA: Make-annotated production/shop-floor twin with supply chain framing</t>
        </is>
      </c>
    </row>
    <row r="89">
      <c r="A89" s="69" t="inlineStr">
        <is>
          <t>R0309</t>
        </is>
      </c>
      <c r="B89" s="49" t="inlineStr">
        <is>
          <t>Ivanov, D.</t>
        </is>
      </c>
      <c r="C89" s="69" t="n">
        <v>2023</v>
      </c>
      <c r="D89" s="49" t="inlineStr">
        <is>
          <t>International Journal of Production Economics</t>
        </is>
      </c>
      <c r="E89" s="69" t="inlineStr">
        <is>
          <t>10.1016/j.ijpe.2023.108938</t>
        </is>
      </c>
      <c r="F89" s="69" t="inlineStr">
        <is>
          <t>Conceptual</t>
        </is>
      </c>
      <c r="G89" s="49" t="inlineStr">
        <is>
          <t>Generic/cross-sector</t>
        </is>
      </c>
      <c r="H89" s="69" t="inlineStr">
        <is>
          <t>Y</t>
        </is>
      </c>
      <c r="I89" s="69" t="inlineStr">
        <is>
          <t>Y</t>
        </is>
      </c>
      <c r="J89" s="69" t="inlineStr">
        <is>
          <t>Y</t>
        </is>
      </c>
      <c r="K89" s="69" t="inlineStr">
        <is>
          <t>Y</t>
        </is>
      </c>
      <c r="L89" s="69" t="inlineStr">
        <is>
          <t>N</t>
        </is>
      </c>
      <c r="M89" s="69" t="inlineStr">
        <is>
          <t>Y</t>
        </is>
      </c>
      <c r="N89" s="69" t="inlineStr">
        <is>
          <t>Other</t>
        </is>
      </c>
      <c r="O89" s="69" t="inlineStr">
        <is>
          <t>Decision support</t>
        </is>
      </c>
      <c r="P89" s="69" t="inlineStr">
        <is>
          <t>4 Prescriptive-advisory</t>
        </is>
      </c>
      <c r="Q89" s="69" t="inlineStr">
        <is>
          <t>Elevated</t>
        </is>
      </c>
      <c r="R89" s="69" t="inlineStr">
        <is>
          <t>Set objectives/constraints; Handle exceptions; Approve/override</t>
        </is>
      </c>
      <c r="S89" s="49" t="inlineStr">
        <is>
          <t>Delegation to AI depends on task standardisation and the human's metaknowledge: AI takes standardised tasks where it outperforms humans; humans keep non-standardised situations (experience, creativity); full automation rejected; barriers: algorithm aversion, over-weighting real-time alerts.</t>
        </is>
      </c>
      <c r="T89" s="49" t="inlineStr">
        <is>
          <t>Proposes the iDT: an SC digital twin extended with an AI part (agents' training/learning environment, self-learning, rule discovery from data). Humans define practices and rules, decide (step 4) with iDT support and keep non-standardised situations; AI takes standardised tasks, recommends and extends human metaknowledge; mutual delegation, no full automation.</t>
        </is>
      </c>
      <c r="U89" s="49" t="inlineStr">
        <is>
          <t>Key finding: Abstract; 2.2 Cognitive digital twins and human-AI collaboration (Table 1); 4.1 General intelligent digital twin framework (Figs. 4-5); 4.2 General guidelines (Fig. 7, steps 1-5, step 4 = decision making). HITL: 2.2 (human-in-the-loop AI, mutual delegation), 4.1 (no full automation, standardised vs non-standardised tasks, metaknowledge), 4.2 (pre-/during/post-disruption support), 5 Conclusions (limitations: algorithm aversion, alert over-weighting). No page numbers visible (article 108938).</t>
        </is>
      </c>
      <c r="V89" s="69" t="inlineStr">
        <is>
          <t>Y</t>
        </is>
      </c>
      <c r="W89" s="49" t="inlineStr">
        <is>
          <t>FT 2026-09-06: Incluido: artículo teórico cuyo objeto es el propio concepto de gemelo (iDT) con IA constitutiva (entorno de entrenamiento de agentes, autoaprendizaje, descubrimiento de reglas) y colaboración humano-IA explícita. Dudas: no ejecuta ni nombra un algoritmo concreto; ejemplos (anyLogistix, JD.com) tomados de la literatura; sin datos propios. Alternativa hitl_role: Maintained. | FT 2026-09-06: Incluido: artículo teórico cuyo objeto es el propio concepto de gemelo (iDT) con IA constitutiva (entorno de entrenamiento de agentes, autoaprendizaje, descubrimiento de reglas) y colaboración humano-IA explícita. Dudas: no ejecuta ni nombra un algoritmo concreto; ejemplos (anyLogistix, JD.com) tomados de la literatura; sin datos propios. Alternativa hitl_role: Maintained. | FT 2026-09-06: Incluido: artículo teórico cuyo objeto es el propio concepto de gemelo (iDT) con IA constitutiva (entorno de entrenamiento de agentes, autoaprendizaje, descubrimiento de reglas) y colaboración humano-IA explícita. Dudas: no ejecuta ni nombra un algoritmo concreto; ejemplos (anyLogistix, JD.com) tomados de la literatura; sin datos propios. Alternativa hitl_role: Maintained. | FT 2026-09-06: Incluido: artículo teórico cuyo objeto es el propio concepto de gemelo (iDT) con IA constitutiva (entorno de entrenamiento de agentes, autoaprendizaje, descubrimiento de reglas) y colaboración humano-IA explícita. Dudas: no ejecuta ni nombra un algoritmo concreto; ejemplos (anyLogistix, JD.com) tomados de la literatura; sin datos propios. Alternativa hitl_role: Maintained.</t>
        </is>
      </c>
    </row>
    <row r="90">
      <c r="A90" s="69" t="inlineStr">
        <is>
          <t>R0321</t>
        </is>
      </c>
      <c r="B90" s="49" t="inlineStr">
        <is>
          <t>Greene, L.M. and Steiner, J.H.</t>
        </is>
      </c>
      <c r="C90" s="69" t="n">
        <v>2022</v>
      </c>
      <c r="D90" s="49" t="inlineStr">
        <is>
          <t>International Academic Journal of Science and Engineering</t>
        </is>
      </c>
      <c r="E90" s="69" t="inlineStr">
        <is>
          <t>10.71086/iajse/v9i4/iajse0928</t>
        </is>
      </c>
      <c r="F90" s="69" t="n"/>
      <c r="G90" s="69" t="n"/>
      <c r="H90" s="69" t="n"/>
      <c r="I90" s="69" t="n"/>
      <c r="J90" s="69" t="n"/>
      <c r="K90" s="69" t="n"/>
      <c r="L90" s="69" t="n"/>
      <c r="M90" s="69" t="n"/>
      <c r="N90" s="69" t="n"/>
      <c r="O90" s="69" t="n"/>
      <c r="P90" s="69" t="n"/>
      <c r="Q90" s="69" t="n"/>
      <c r="R90" s="69" t="n"/>
      <c r="S90" s="49" t="n"/>
      <c r="T90" s="49" t="n"/>
      <c r="U90" s="69" t="n"/>
      <c r="V90" s="69" t="n"/>
      <c r="W90" s="49" t="inlineStr">
        <is>
          <t>FT: EXCLUDED - Not peer-reviewed / low-quality venue. Excluido por venue: el DOI impreso en el PDF no esta registrado (doi.org, Crossref, OpenAlex, S2: 404); en Crossref el vol. 9 solo tiene numeros 1-2 y los articulos reales usan el prefijo antiguo 10.9756, asi que el numero esta retrodatado. Sin DOAJ, indexacion vacia. Gemelo y ML solo afirmados, sin implementacion.</t>
        </is>
      </c>
    </row>
    <row r="91">
      <c r="A91" s="69" t="inlineStr">
        <is>
          <t>R0322</t>
        </is>
      </c>
      <c r="B91" s="49" t="inlineStr">
        <is>
          <t>Melesse, T.Y., Bollo, M., Pasquale, V.D., Centro, F. and Riemma, S.</t>
        </is>
      </c>
      <c r="C91" s="69" t="n">
        <v>2022</v>
      </c>
      <c r="D91" s="49" t="inlineStr">
        <is>
          <t>Procedia Computer Science</t>
        </is>
      </c>
      <c r="E91" s="69" t="inlineStr">
        <is>
          <t>10.1016/j.procs.2022.01.200</t>
        </is>
      </c>
      <c r="F91" s="69" t="inlineStr">
        <is>
          <t>Empirical data</t>
        </is>
      </c>
      <c r="G91" s="49" t="inlineStr">
        <is>
          <t>Food/cold chain</t>
        </is>
      </c>
      <c r="H91" s="69" t="inlineStr">
        <is>
          <t>N</t>
        </is>
      </c>
      <c r="I91" s="69" t="inlineStr">
        <is>
          <t>N</t>
        </is>
      </c>
      <c r="J91" s="69" t="inlineStr">
        <is>
          <t>N</t>
        </is>
      </c>
      <c r="K91" s="69" t="inlineStr">
        <is>
          <t>Y</t>
        </is>
      </c>
      <c r="L91" s="69" t="inlineStr">
        <is>
          <t>N</t>
        </is>
      </c>
      <c r="M91" s="69" t="inlineStr">
        <is>
          <t>N</t>
        </is>
      </c>
      <c r="N91" s="69" t="inlineStr">
        <is>
          <t>Other deep learning</t>
        </is>
      </c>
      <c r="O91" s="69" t="inlineStr">
        <is>
          <t>Forecasting/estimation</t>
        </is>
      </c>
      <c r="P91" s="69" t="inlineStr">
        <is>
          <t>2 Diagnostic</t>
        </is>
      </c>
      <c r="Q91" s="69" t="inlineStr">
        <is>
          <t>Reduced</t>
        </is>
      </c>
      <c r="R91" s="69" t="inlineStr">
        <is>
          <t>Interpret outputs</t>
        </is>
      </c>
      <c r="S91" s="49" t="inlineStr">
        <is>
          <t>Manual fruit inspection by operators (subjective, unreliable) is taken over by the CNN twin; the retailer end-user keeps the decision, acting on notifications (discount, donate, discard); status classes were defined from retailers' daily experience.</t>
        </is>
      </c>
      <c r="T91" s="49" t="inlineStr">
        <is>
          <t>A deep CNN trained on 3,968 thermal images of bananas (four grades: fresh, good, bad, rotten) reached 99% validation and test accuracy, taken as proof that thermal imaging can feed a machine-learning-based fruit digital twin that alerts retailers before stock is wasted; the SAP-based twin architecture remains a proposal.</t>
        </is>
      </c>
      <c r="U91" s="49" t="inlineStr">
        <is>
          <t>Key finding: Abstract (p.13); 3.1 Collection of datasets (p.17, dataset 3968/496 images, TensorFlow in SAP intelligent service); 4. Model Evaluation, Table 1 and 'Model Performance' (p.19); 5. Conclusion and Future Works (p.19). Twin and setting: 1. Introduction (pp.14-15, retailers' stock visibility); 2. Conceptual Framework and Fig. 2 architecture (pp.15-16, IoT edge + SAP cloud layers; warehouses, distribution centers, inventory operations). AI method: 3. Research Approach, 3.1-3.2 (pp.16-17); 3.2/p.18 (real-time data injected into the trained network, notification to end-users). HITL evidence: 2. Conceptual Framework (p.16, FooDT Retailer Front-End, end-user takes action; status classes from retailers' daily experience); 4. Model Evaluation closing paragraph (p.19, manual monitoring by operators unreliable).</t>
        </is>
      </c>
      <c r="V91" s="69" t="inlineStr">
        <is>
          <t>Y</t>
        </is>
      </c>
      <c r="W91" s="49" t="inlineStr">
        <is>
          <t>FT 2026-09-06: Incluir: gemelo de producto (plátano) con CNN entrenada sobre 3.968 imágenes térmicas (99%); arquitectura SAP con flujos de datos y notificación al minorista. Marco logístico (almacenes, centros de distribución, inventario minorista), pero solo el clasificador está implementado; el gemelo de cadena de suministro es trabajo futuro. Dudas: nivel 2 vs 3; solo Deliver; retail de fruta, no cadena de frío. | FT 2026-09-06: Incluir: gemelo de producto (plátano) con CNN entrenada sobre 3.968 imágenes térmicas (99%); arquitectura SAP con flujos de datos y notificación al minorista. Marco logístico (almacenes, centros de distribución, inventario minorista), pero solo el clasificador está implementado; el gemelo de cadena de suministro es trabajo futuro. Dudas: nivel 2 vs 3; solo Deliver; retail de fruta, no cadena de frío. | FT 2026-09-06: Incluir: gemelo de producto (plátano) con CNN entrenada sobre 3.968 imágenes térmicas (99%); arquitectura SAP con flujos de datos y notificación al minorista. Marco logístico (almacenes, centros de distribución, inventario minorista), pero solo el clasificador está implementado; el gemelo de cadena de suministro es trabajo futuro. Dudas: nivel 2 vs 3; solo Deliver; retail de fruta, no cadena de frío. | FT 2026-09-06: Incluir: gemelo de producto (plátano) con CNN entrenada sobre 3.968 imágenes térmicas (99%); arquitectura SAP con flujos de datos y notificación al minorista. Marco logístico (almacenes, centros de distribución, inventario minorista), pero solo el clasificador está implementado; el gemelo de cadena de suministro es trabajo futuro. Dudas: nivel 2 vs 3; solo Deliver; retail de fruta, no cadena de frío.</t>
        </is>
      </c>
    </row>
    <row r="92">
      <c r="A92" s="69" t="inlineStr">
        <is>
          <t>R0323</t>
        </is>
      </c>
      <c r="B92" s="49" t="inlineStr">
        <is>
          <t>Leung, E.K.H., Lee, C.K.H. and Ouyang, Z.</t>
        </is>
      </c>
      <c r="C92" s="69" t="n">
        <v>2022</v>
      </c>
      <c r="D92" s="49" t="inlineStr">
        <is>
          <t>International Journal of Production Economics</t>
        </is>
      </c>
      <c r="E92" s="69" t="inlineStr">
        <is>
          <t>10.1016/j.ijpe.2021.108353</t>
        </is>
      </c>
      <c r="F92" s="69" t="inlineStr">
        <is>
          <t>Simulation/synthetic</t>
        </is>
      </c>
      <c r="G92" s="49" t="inlineStr">
        <is>
          <t>Warehousing</t>
        </is>
      </c>
      <c r="H92" s="69" t="inlineStr">
        <is>
          <t>Y</t>
        </is>
      </c>
      <c r="I92" s="69" t="inlineStr">
        <is>
          <t>N</t>
        </is>
      </c>
      <c r="J92" s="69" t="inlineStr">
        <is>
          <t>N</t>
        </is>
      </c>
      <c r="K92" s="69" t="inlineStr">
        <is>
          <t>Y</t>
        </is>
      </c>
      <c r="L92" s="69" t="inlineStr">
        <is>
          <t>N</t>
        </is>
      </c>
      <c r="M92" s="69" t="inlineStr">
        <is>
          <t>N</t>
        </is>
      </c>
      <c r="N92" s="69" t="inlineStr">
        <is>
          <t>Hybrid</t>
        </is>
      </c>
      <c r="O92" s="69" t="inlineStr">
        <is>
          <t>Forecasting/estimation; Optimisation</t>
        </is>
      </c>
      <c r="P92" s="69" t="inlineStr">
        <is>
          <t>4 Prescriptive-advisory</t>
        </is>
      </c>
      <c r="Q92" s="69" t="inlineStr">
        <is>
          <t>Reduced</t>
        </is>
      </c>
      <c r="R92" s="69" t="inlineStr">
        <is>
          <t>Interpret outputs; Provide data/labels</t>
        </is>
      </c>
      <c r="S92" s="49" t="inlineStr">
        <is>
          <t>Not discussed as such; the framework aims to minimise human effort in picking and replenishment while workers remain the executors in manual picker-to-parts hubs; deployment in robotic parts-to-picker warehouses is left to future research.</t>
        </is>
      </c>
      <c r="T92" s="49" t="inlineStr">
        <is>
          <t>A DT/IoT-based framework for Physical Internet city hubs embeds ANFIS demand forecasting and a joint order-fulfilment/replenishment optimisation model; simulation of a 600-SKU forward-reserve hub shows joint, forecast-driven operations cut daily picker travel by 80.9% and reserve-area visits by 79.8% versus standalone operations.</t>
        </is>
      </c>
      <c r="U92" s="49" t="inlineStr">
        <is>
          <t>Key finding: Sec. 5.2.1-5.2.2 (Tables 3-4) and Sec. 6. Twin/AI design: Sec. 4 (4.1-4.3.3), Appendix A. HITL evidence: Sec. 3 (decision-support definition), 4.1 (worker data capture), 4.2 (direct CS-to-PS feedback, worker task notifications), 5.2.1 (manpower savings), 7 (minimise human effort). HTML version, no page numbers.</t>
        </is>
      </c>
      <c r="V92" s="69" t="inlineStr">
        <is>
          <t>Y</t>
        </is>
      </c>
      <c r="W92" s="49" t="inlineStr">
        <is>
          <t>FT 2026-09-06: Incluido: gemelo digital+IoT diseñado como arquitectura (espacio físico/ciberespacio, flujos de datos) para un hub PI urbano; IA = ANFIS neuro-difuso que prevé llegadas de pedidos, acoplado a un MIP de picking/reposición conjunta; el gemelo no se implementa, solo se simula el modelo OFR. Dudas: extensión 4 vs 5 (tareas enviadas directamente a operarios, sin aprobación explícita); técnica Hybrid vs Other. | FT 2026-09-06: Incluido: gemelo digital+IoT diseñado como arquitectura (espacio físico/ciberespacio, flujos de datos) para un hub PI urbano; IA = ANFIS neuro-difuso que prevé llegadas de pedidos, acoplado a un MIP de picking/reposición conjunta; el gemelo no se implementa, solo se simula el modelo OFR. Dudas: extensión 4 vs 5 (tareas enviadas directamente a operarios, sin aprobación explícita); técnica Hybrid vs Other. | FT 2026-09-06: Incluido: gemelo digital+IoT diseñado como arquitectura (espacio físico/ciberespacio, flujos de datos) para un hub PI urbano; IA = ANFIS neuro-difuso que prevé llegadas de pedidos, acoplado a un MIP de picking/reposición conjunta; el gemelo no se implementa, solo se simula el modelo OFR. Dudas: extensión 4 vs 5 (tareas enviadas directamente a operarios, sin aprobación explícita); técnica Hybrid vs Other. | FT 2026-09-06: Incluido: gemelo digital+IoT diseñado como arquitectura (espacio físico/ciberespacio, flujos de datos) para un hub PI urbano; IA = ANFIS neuro-difuso que prevé llegadas de pedidos, acoplado a un MIP de picking/reposición conjunta; el gemelo no se implementa, solo se simula el modelo OFR. Dudas: extensión 4 vs 5 (tareas enviadas directamente a operarios, sin aprobación explícita); técnica Hybrid vs Other.</t>
        </is>
      </c>
    </row>
    <row r="93">
      <c r="A93" s="69" t="inlineStr">
        <is>
          <t>R0324</t>
        </is>
      </c>
      <c r="B93" s="49" t="inlineStr">
        <is>
          <t>Deria, A., Ghannad, P. and Lee, Y.-C.</t>
        </is>
      </c>
      <c r="C93" s="69" t="n">
        <v>2022</v>
      </c>
      <c r="D93" s="49" t="inlineStr">
        <is>
          <t>Construction Research Congress 2022: Computer Applications, Automation, and Data Analytics - Selected Papers from Construction Research Congress 2022</t>
        </is>
      </c>
      <c r="E93" s="69" t="inlineStr">
        <is>
          <t>10.1061/9780784483961.056</t>
        </is>
      </c>
      <c r="F93" s="69" t="n"/>
      <c r="G93" s="69" t="n"/>
      <c r="H93" s="69" t="n"/>
      <c r="I93" s="69" t="n"/>
      <c r="J93" s="69" t="n"/>
      <c r="K93" s="69" t="n"/>
      <c r="L93" s="69" t="n"/>
      <c r="M93" s="69" t="n"/>
      <c r="N93" s="69" t="n"/>
      <c r="O93" s="69" t="n"/>
      <c r="P93" s="69" t="n"/>
      <c r="Q93" s="69" t="n"/>
      <c r="R93" s="69" t="n"/>
      <c r="S93" s="49" t="n"/>
      <c r="T93" s="49" t="n"/>
      <c r="U93" s="69" t="n"/>
      <c r="V93" s="69" t="n"/>
      <c r="W93" s="49" t="inlineStr">
        <is>
          <t>FT: NOT RETRIEVED. No recuperado. ASCE solo muestra resumen ("GET ACCESS", "SIGN IN VIA YOUR INSTITUTION"); /doi/pdf/ devuelve la misma pagina de pago. Proxy Hull: 404, ASCE no configurado. OpenAlex indica green OA en repository.lsu.edu (registro 301), pero dice "This document is currently not available here" (sin archivo). Semantic Scholar: isOpenAccess=false. FLAG de logistica sin verificar; requiere descarga manual (pp. 530-540).</t>
        </is>
      </c>
    </row>
    <row r="94">
      <c r="A94" s="69" t="inlineStr">
        <is>
          <t>R0327</t>
        </is>
      </c>
      <c r="B94" s="49" t="inlineStr">
        <is>
          <t>Martin, G. and Oger, R.</t>
        </is>
      </c>
      <c r="C94" s="69" t="n">
        <v>2022</v>
      </c>
      <c r="D94" s="49" t="inlineStr">
        <is>
          <t>Proceedings of the Annual Hawaii International Conference on System Sciences</t>
        </is>
      </c>
      <c r="E94" s="69" t="inlineStr">
        <is>
          <t>10.24251/hicss.2022.287</t>
        </is>
      </c>
      <c r="F94" s="69" t="inlineStr">
        <is>
          <t>Simulation/synthetic</t>
        </is>
      </c>
      <c r="G94" s="49" t="inlineStr">
        <is>
          <t>Healthcare (drug/pharmaceutical distribution chain: manufacturer, custodian, wholesaler-distributor, pharmacies)</t>
        </is>
      </c>
      <c r="H94" s="69" t="inlineStr">
        <is>
          <t>Y</t>
        </is>
      </c>
      <c r="I94" s="69" t="inlineStr">
        <is>
          <t>Y</t>
        </is>
      </c>
      <c r="J94" s="69" t="inlineStr">
        <is>
          <t>N</t>
        </is>
      </c>
      <c r="K94" s="69" t="inlineStr">
        <is>
          <t>Y</t>
        </is>
      </c>
      <c r="L94" s="69" t="inlineStr">
        <is>
          <t>N</t>
        </is>
      </c>
      <c r="M94" s="69" t="inlineStr">
        <is>
          <t>Y</t>
        </is>
      </c>
      <c r="N94" s="69" t="inlineStr">
        <is>
          <t>Reinforcement learning</t>
        </is>
      </c>
      <c r="O94" s="69" t="inlineStr">
        <is>
          <t>Decision support</t>
        </is>
      </c>
      <c r="P94" s="69" t="inlineStr">
        <is>
          <t>4 Prescriptive-advisory</t>
        </is>
      </c>
      <c r="Q94" s="69" t="inlineStr">
        <is>
          <t>Reduced</t>
        </is>
      </c>
      <c r="R94" s="69" t="inlineStr">
        <is>
          <t>Approve/override</t>
        </is>
      </c>
      <c r="S94" s="49" t="inlineStr">
        <is>
          <t>Human keeps final say on recommendations in the online DT phase; caution required before redeploying a retrained agent; in the experiment recommendations are always followed automatically (no human). No explicit triggers for changing the human role.</t>
        </is>
      </c>
      <c r="T94" s="49" t="inlineStr">
        <is>
          <t>A two-phase framework trains a DRL agent (Dueling DDQN, action branching) in a simulated environment that then serves as the supply chain digital twin, recommending replenishment orders for a four-echelon drug chain; the agent approaches and sometimes exceeds base-stock performance, far exceeds a human-like heuristic, but is less stable.</t>
        </is>
      </c>
      <c r="U94" s="49" t="inlineStr">
        <is>
          <t>Key finding: Section 3 Methods and Figure 1 (PDF p. 3 / p. 2293), Section 4.1 Use-case specifications (PDF pp. 5-6 / pp. 2295-2296), Section 5 Results and Table 1 (PDF p. 7 / p. 2297), Section 6 Conclusion (PDF p. 7 / p. 2297). HITL evidence: Section 3 Methods (PDF p. 3 / p. 2293: agent recommends, decision-maker decides whether to follow), Section 3.2 Step 2 (PDF p. 4 / p. 2294: agent 'replaces the human in charge of evaluating the different possibilities'; caution before pushing a retrained network into production), Section 4.3 (PDF p. 7 / p. 2297: recommendations always followed during evaluation, no human), Section 6 next steps (PDF p. 8 / p. 2298: comparison with 'DTs with human control' left as future work).</t>
        </is>
      </c>
      <c r="V94" s="69" t="inlineStr">
        <is>
          <t>Y</t>
        </is>
      </c>
      <c r="W94" s="49" t="inlineStr">
        <is>
          <t>FT 2026-09-06: Incluido: marco DT+DRL para cadena farmacéutica de cuatro escalones; el agente recomienda pedidos y el decisor decide seguirlos o no (nivel 4). Dudas: en 3.2 el agente 'reemplaza al humano' que evalúa alternativas (hitl_role Reduced, no Maintained); en el experimento las recomendaciones se ejecutan siempre (nivel 5 de facto); DT simulado sin sistema real; Make N (fabricante con capacidad infinita). | FT 2026-09-06: Incluido: marco DT+DRL para cadena farmacéutica de cuatro escalones; el agente recomienda pedidos y el decisor decide seguirlos o no (nivel 4). Dudas: en 3.2 el agente 'reemplaza al humano' que evalúa alternativas (hitl_role Reduced, no Maintained); en el experimento las recomendaciones se ejecutan siempre (nivel 5 de facto); DT simulado sin sistema real; Make N (fabricante con capacidad infinita).</t>
        </is>
      </c>
    </row>
    <row r="95">
      <c r="A95" s="69" t="inlineStr">
        <is>
          <t>R0328</t>
        </is>
      </c>
      <c r="B95" s="49" t="inlineStr">
        <is>
          <t>Greis, N.P., Nogueira, M.L. and Rohde, W.</t>
        </is>
      </c>
      <c r="C95" s="69" t="n">
        <v>2022</v>
      </c>
      <c r="D95" s="49" t="inlineStr">
        <is>
          <t>IFAC-PapersOnLine</t>
        </is>
      </c>
      <c r="E95" s="69" t="inlineStr">
        <is>
          <t>10.1016/j.ifacol.2022.09.678</t>
        </is>
      </c>
      <c r="F95" s="69" t="inlineStr">
        <is>
          <t>Conceptual</t>
        </is>
      </c>
      <c r="G95" s="49" t="inlineStr">
        <is>
          <t>Discrete manufacturing (rail parts, Siemens use case)</t>
        </is>
      </c>
      <c r="H95" s="69" t="inlineStr">
        <is>
          <t>Y</t>
        </is>
      </c>
      <c r="I95" s="69" t="inlineStr">
        <is>
          <t>Y</t>
        </is>
      </c>
      <c r="J95" s="69" t="inlineStr">
        <is>
          <t>Y</t>
        </is>
      </c>
      <c r="K95" s="69" t="inlineStr">
        <is>
          <t>Y</t>
        </is>
      </c>
      <c r="L95" s="69" t="inlineStr">
        <is>
          <t>N</t>
        </is>
      </c>
      <c r="M95" s="69" t="inlineStr">
        <is>
          <t>Y</t>
        </is>
      </c>
      <c r="N95" s="69" t="inlineStr">
        <is>
          <t>Classical ML</t>
        </is>
      </c>
      <c r="O95" s="69" t="inlineStr">
        <is>
          <t>Forecasting/estimation; Decision support</t>
        </is>
      </c>
      <c r="P95" s="69" t="inlineStr">
        <is>
          <t>4 Prescriptive-advisory</t>
        </is>
      </c>
      <c r="Q95" s="69" t="inlineStr">
        <is>
          <t>Elevated</t>
        </is>
      </c>
      <c r="R95" s="69" t="inlineStr">
        <is>
          <t>Approve/override; Handle exceptions; Interpret outputs</t>
        </is>
      </c>
      <c r="S95" s="49" t="inlineStr">
        <is>
          <t>Human selects/overrides when the ML recommendation falls outside the training set's experience or mismatches the disruption; routine exogenous alerts (weather) are automated, rare events (war, terror) go to human experts; humans add bias/inconsistency across shifts.</t>
        </is>
      </c>
      <c r="T95" s="49" t="inlineStr">
        <is>
          <t>Conceptual extension of the authors' ML-enabled digital twin for integrated production-logistics: AR overlays present ML rescheduling recommendations, KPIs and plan-vs-actual deviations so a human can select or override recommendations outside the model's learned experience; rare exogenous disruptions stay with human experts; cognitive twins are the longer-term path.</t>
        </is>
      </c>
      <c r="U95" s="49" t="inlineStr">
        <is>
          <t>Key finding: Sec. 4 (pp. 1914-1915, Fig. 3) and Sec. 6 (pp. 1916-1917). Twin/AI design: Sec. 3 (Fig. 1, three modules: Supplier Risk Prediction, DT Learning Engine, Customer Transit, p. 1914); Sec. 4 (Fig. 2 DT Learning Engine; DT linked to MES/APS/ERP via shared database and auxiliary services; ML model trained with RF/SVM/AdaBoost/NN; simulation-based validation of recommended schedules; three fidelity requirements, pp. 1914-1915). HITL design: Sec. 1 (AR gives HITL capability to inject reasoning/problem-solving, p. 1912); Sec. 2.2 (AR overlay lets the human track ML recommendations and act in the physical world, p. 1913); Sec. 2.3 (override when recommendation mismatches disruption or other models are better; human feedback into training, p. 1914); Sec. 4 (model outputs validated 'by human or machine' before MES update; AR shows recommendations, KPIs, plan-vs-actual deviations and decision levers to select/override; head-mounted, hand-held or smart-glass displays; three exogenous-event channels, p. 1915); Sec. 4 Siemens use case (weather alerts automated in AI scheduling, war/terror only displayed on KPI dashboard, mitigation by human experts, p. 1916); Sec. 5 (cognitive twin acting with minimal human intervention as future vision, p. 1916); Sec. 6 (humans catch bad model decisions before they cascade; human bias/inconsistency across shift workers, pp. 1916-1917). PDF pages 1-6 = journal pp. 1912-1917.</t>
        </is>
      </c>
      <c r="V95" s="69" t="inlineStr">
        <is>
          <t>Y</t>
        </is>
      </c>
      <c r="W95" s="49" t="inlineStr">
        <is>
          <t>FT 2026-09-06: Incluido: extensión conceptual del marco de R0331 (Greis 2021). Aporte propio: capa RA/HITL (seleccionar/anular recomendaciones ML; eventos exógenos raros a expertos) y gemelo cognitivo; alto solapamiento con R0331 (Fig. 1 reutilizada). Dudas: ML solo enumerado (RF/SVM/AdaBoost/NN), sin resultados; validación 'by human or machine' admite vía autónoma (nivel 5); caso Siemens breve (¿Empirical case?); Deliver/E2E solo por Fig. 1. | FT 2026-09-06: Incluido: extensión conceptual del marco de R0331 (Greis 2021). Aporte propio: capa RA/HITL (seleccionar/anular recomendaciones ML; eventos exógenos raros a expertos) y gemelo cognitivo; alto solapamiento con R0331 (Fig. 1 reutilizada). Dudas: ML solo enumerado (RF/SVM/AdaBoost/NN), sin resultados; validación 'by human or machine' admite vía autónoma (nivel 5); caso Siemens breve (¿Empirical case?); Deliver/E2E solo por Fig. 1. | FT 2026-09-06: Incluido: extensión conceptual del marco de R0331 (Greis 2021). Aporte propio: capa RA/HITL (seleccionar/anular recomendaciones ML; eventos exógenos raros a expertos) y gemelo cognitivo; alto solapamiento con R0331 (Fig. 1 reutilizada). Dudas: ML solo enumerado (RF/SVM/AdaBoost/NN), sin resultados; validación 'by human or machine' admite vía autónoma (nivel 5); caso Siemens breve (¿Empirical case?); Deliver/E2E solo por Fig. 1. | FT 2026-09-06: Incluido: extensión conceptual del marco de R0331 (Greis 2021). Aporte propio: capa RA/HITL (seleccionar/anular recomendaciones ML; eventos exógenos raros a expertos) y gemelo cognitivo; alto solapamiento con R0331 (Fig. 1 reutilizada). Dudas: ML solo enumerado (RF/SVM/AdaBoost/NN), sin resultados; validación 'by human or machine' admite vía autónoma (nivel 5); caso Siemens breve (¿Empirical case?); Deliver/E2E solo por Fig. 1. | TA: Make-annotated production/shop-floor twin with supply chain framing</t>
        </is>
      </c>
    </row>
    <row r="96">
      <c r="A96" s="69" t="inlineStr">
        <is>
          <t>R0331</t>
        </is>
      </c>
      <c r="B96" s="49" t="inlineStr">
        <is>
          <t>Greis, N.P., Nogueira, M.L. and Rohde, W.</t>
        </is>
      </c>
      <c r="C96" s="69" t="n">
        <v>2021</v>
      </c>
      <c r="D96" s="49" t="inlineStr">
        <is>
          <t>IFIP Advances in Information and Communication Technology</t>
        </is>
      </c>
      <c r="E96" s="69" t="inlineStr">
        <is>
          <t>10.1007/978-3-030-85874-2_23</t>
        </is>
      </c>
      <c r="F96" s="69" t="inlineStr">
        <is>
          <t>Conceptual</t>
        </is>
      </c>
      <c r="G96" s="49" t="inlineStr">
        <is>
          <t>Discrete manufacturing (generic OEM with upstream supplier and downstream customer; no named case)</t>
        </is>
      </c>
      <c r="H96" s="69" t="inlineStr">
        <is>
          <t>Y</t>
        </is>
      </c>
      <c r="I96" s="69" t="inlineStr">
        <is>
          <t>Y</t>
        </is>
      </c>
      <c r="J96" s="69" t="inlineStr">
        <is>
          <t>Y</t>
        </is>
      </c>
      <c r="K96" s="69" t="inlineStr">
        <is>
          <t>Y</t>
        </is>
      </c>
      <c r="L96" s="69" t="inlineStr">
        <is>
          <t>N</t>
        </is>
      </c>
      <c r="M96" s="69" t="inlineStr">
        <is>
          <t>Y</t>
        </is>
      </c>
      <c r="N96" s="69" t="inlineStr">
        <is>
          <t>Classical ML</t>
        </is>
      </c>
      <c r="O96" s="69" t="inlineStr">
        <is>
          <t>Forecasting/estimation; Decision support</t>
        </is>
      </c>
      <c r="P96" s="69" t="inlineStr">
        <is>
          <t>5 Prescriptive-autonomous</t>
        </is>
      </c>
      <c r="Q96" s="69" t="inlineStr">
        <is>
          <t>Reduced</t>
        </is>
      </c>
      <c r="R96" s="69" t="inlineStr">
        <is>
          <t>Set objectives/constraints; Interpret outputs</t>
        </is>
      </c>
      <c r="S96" s="49" t="inlineStr">
        <is>
          <t>Manual rescheduling by a supervisor/operator stays viable only for simple plans with loose timing; complex, tightly coupled schedules require system recalculation; rare exogenous risks (strikes, severe weather) enter as a manager-set input parameter.</t>
        </is>
      </c>
      <c r="T96" s="49" t="inlineStr">
        <is>
          <t>Conceptual three-module framework: ML supplier-risk prediction (RF/SVM/kNN/ANN) feeds a shop-floor digital twin whose sense-and-respond ML model recommends rescheduling; the twin simulates and validates the schedule before it is pushed to MES for execution; a transit module cascades delays to customer delivery dates. No implementation or results.</t>
        </is>
      </c>
      <c r="U96" s="49" t="inlineStr">
        <is>
          <t>Text read = HAL author manuscript hal-04030352 (CC BY 4.0); Springer version of record via Hull proxy showed 'This is a preview of subscription content'. HAL PDF page n = paper page n-2 (published pp. 218-227). Key finding: Abstract (PDF p.3); Sec. 3 Machine Learning-Enabled Digital Twin Framework, Fig. 2 three modules (PDF pp.6-7, paper pp.4-5); Sec. 4.2 Digital Twin Learning Engine (PDF pp.8-10, paper pp.6-8); Sec. 5 Conclusions (PDF p.11, paper p.9). Twin: Sec. 2.2 (PDF p.5); Sec. 4.2 DT mirrors shop floor with ERP/APS/MES data, Fig. 3 physical factory / digital factory / mapping (PDF p.9); shared database, automated services, DT simulation validates the recommended schedule, then manufacturing management systems updated for execution (PDF p.10). AI: Sec. 4.1 Supplier Risk Prediction Module, RF/SVM/kNN/ANN/logistic regression, classification (days-late) or regression (arrival date) (PDF pp.7-8); Sec. 4.2 Sense-and-Respond ML Model trained with SVM/AdaBoost/RF/ANN (PDF p.10); Sec. 4.3 Customer Transit Module, ensemble of classifiers per transport mode, 'machine learning or optimization' (PDF p.10). HITL: Sec. 1 ML within the twin replaces offline adjustments / expert knowledge (PDF p.4); Sec. 4.1 environmental-risk input parameter 'as determined by the supply chain manager' (PDF p.8); Sec. 4.2 manual rescheduling by supervisor/operator described as current policy, feasible only if the plan is not too complex and timing not too tight, quality depends on the supervisor's prediction (PDF pp.8-9); model outputs shown on dashboards 'for human consumption' (PDF p.10); Sec. 4.3 baseline transit time 'established by the shipment planner' (PDF p.10). No human approval step is described in the recommend-validate-execute loop.</t>
        </is>
      </c>
      <c r="V96" s="69" t="inlineStr">
        <is>
          <t>Y</t>
        </is>
      </c>
      <c r="W96" s="49" t="inlineStr">
        <is>
          <t>FT 2026-09-06: Incluido: marco conceptual sin resultados: gemelo de planta ligado a MES/APS/ERP, módulos ML de riesgo de proveedor y tránsito; métodos ML solo enumerados. Solapa con R0328 (misma arquitectura; R0328 añade RA/HITL). Dudas: nivel 5 vs 4 (ejecuta tras validación por simulación, sin aprobación humana explícita); HITL solo implícito (dashboards, parámetro del gestor); E2E vía módulos ML, gemelo cubre solo planta. | FT 2026-09-06: Incluido: marco conceptual sin resultados: gemelo de planta ligado a MES/APS/ERP, módulos ML de riesgo de proveedor y tránsito; métodos ML solo enumerados. Solapa con R0328 (misma arquitectura; R0328 añade RA/HITL). Dudas: nivel 5 vs 4 (ejecuta tras validación por simulación, sin aprobación humana explícita); HITL solo implícito (dashboards, parámetro del gestor); E2E vía módulos ML, gemelo cubre solo planta. | TA: Make-annotated production/shop-floor twin with supply chain framing</t>
        </is>
      </c>
    </row>
    <row r="97">
      <c r="A97" s="69" t="inlineStr">
        <is>
          <t>R0341</t>
        </is>
      </c>
      <c r="B97" s="49" t="inlineStr">
        <is>
          <t>Dobler, M., Schumacher, J., Busel, P. and Hartmann, C.</t>
        </is>
      </c>
      <c r="C97" s="69" t="n">
        <v>2020</v>
      </c>
      <c r="D97" s="49" t="inlineStr">
        <is>
          <t>Proceedings - 2020 IEEE International Conference on Engineering, Technology and Innovation, ICE/ITMC 2020</t>
        </is>
      </c>
      <c r="E97" s="69" t="inlineStr">
        <is>
          <t>10.1109/ice/itmc49519.2020.9198430</t>
        </is>
      </c>
      <c r="F97" s="69" t="n"/>
      <c r="G97" s="69" t="n"/>
      <c r="H97" s="69" t="n"/>
      <c r="I97" s="69" t="n"/>
      <c r="J97" s="69" t="n"/>
      <c r="K97" s="69" t="n"/>
      <c r="L97" s="69" t="n"/>
      <c r="M97" s="69" t="n"/>
      <c r="N97" s="69" t="n"/>
      <c r="O97" s="69" t="n"/>
      <c r="P97" s="69" t="n"/>
      <c r="Q97" s="69" t="n"/>
      <c r="R97" s="69" t="n"/>
      <c r="S97" s="49" t="n"/>
      <c r="T97" s="49" t="n"/>
      <c r="U97" s="69" t="n"/>
      <c r="V97" s="69" t="n"/>
      <c r="W97"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row>
    <row r="98">
      <c r="A98" s="69" t="inlineStr">
        <is>
          <t>R0347</t>
        </is>
      </c>
      <c r="B98" s="49" t="inlineStr">
        <is>
          <t>Sarsenova, G., Uskembayeva, B., Joldassova, K., Alimova, K., Sultanaliev, B., Asset, A. and Asset, A.</t>
        </is>
      </c>
      <c r="C98" s="69" t="n">
        <v>2026</v>
      </c>
      <c r="D98" s="49" t="inlineStr">
        <is>
          <t>Open Engineering</t>
        </is>
      </c>
      <c r="E98" s="69" t="inlineStr">
        <is>
          <t>10.1515/eng-2025-0146</t>
        </is>
      </c>
      <c r="F98" s="69" t="n"/>
      <c r="G98" s="69" t="n"/>
      <c r="H98" s="69" t="n"/>
      <c r="I98" s="69" t="n"/>
      <c r="J98" s="69" t="n"/>
      <c r="K98" s="69" t="n"/>
      <c r="L98" s="69" t="n"/>
      <c r="M98" s="69" t="n"/>
      <c r="N98" s="69" t="n"/>
      <c r="O98" s="69" t="n"/>
      <c r="P98" s="69" t="n"/>
      <c r="Q98" s="69" t="n"/>
      <c r="R98" s="69" t="n"/>
      <c r="S98" s="49" t="n"/>
      <c r="T98" s="49" t="n"/>
      <c r="U98" s="69" t="n"/>
      <c r="V98" s="69" t="n"/>
      <c r="W98" s="49" t="inlineStr">
        <is>
          <t>FT: EXCLUDED - No digital twin / digital model. Excluir (límite): nunca dice 'twin'; el 'modelo digital' (4.2) es un modelo 3D estático de la ruta; el Simulink/CFD es verificación offline (calibrado ≤7,3 %); el sistema real es monitoreo/control CNN+LSTM sin réplica virtual. Si aceptas simulación validada como modelo digital → INCLUDE (Mining, Make, Hybrid, Control, extent 4→5, HITL Approve/override). Calidad dudosa: restos de respuesta a revisores, tablas duplicadas.</t>
        </is>
      </c>
    </row>
    <row r="99">
      <c r="A99" s="69" t="inlineStr">
        <is>
          <t>R0350</t>
        </is>
      </c>
      <c r="B99" s="49" t="inlineStr">
        <is>
          <t>Prakash, N.B., Senthil, M. and Srinu, N.</t>
        </is>
      </c>
      <c r="C99" s="69" t="n">
        <v>2026</v>
      </c>
      <c r="D99" s="49" t="inlineStr">
        <is>
          <t>7th International Conference on Inventive Research in Computing Applications, ICIRCA 2026 - Proceedings</t>
        </is>
      </c>
      <c r="E99" s="69" t="inlineStr">
        <is>
          <t>10.1109/icirca69024.2026.11570431</t>
        </is>
      </c>
      <c r="F99" s="69" t="n"/>
      <c r="G99" s="69" t="n"/>
      <c r="H99" s="69" t="n"/>
      <c r="I99" s="69" t="n"/>
      <c r="J99" s="69" t="n"/>
      <c r="K99" s="69" t="n"/>
      <c r="L99" s="69" t="n"/>
      <c r="M99" s="69" t="n"/>
      <c r="N99" s="69" t="n"/>
      <c r="O99" s="69" t="n"/>
      <c r="P99" s="69" t="n"/>
      <c r="Q99" s="69" t="n"/>
      <c r="R99" s="69" t="n"/>
      <c r="S99" s="49" t="n"/>
      <c r="T99" s="49" t="n"/>
      <c r="U99" s="69" t="n"/>
      <c r="V99" s="69" t="n"/>
      <c r="W99"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100">
      <c r="A100" s="69" t="inlineStr">
        <is>
          <t>R0500</t>
        </is>
      </c>
      <c r="B100" s="49" t="inlineStr">
        <is>
          <t>Jeong, Y., Kober, C. and Fette, M.</t>
        </is>
      </c>
      <c r="C100" s="69" t="n">
        <v>2026</v>
      </c>
      <c r="D100" s="49" t="inlineStr">
        <is>
          <t>IFIP Advances in Information and Communication Technology</t>
        </is>
      </c>
      <c r="E100" s="69" t="inlineStr">
        <is>
          <t>10.1007/978-3-032-03515-8_36</t>
        </is>
      </c>
      <c r="F100" s="69" t="n"/>
      <c r="G100" s="69" t="n"/>
      <c r="H100" s="69" t="n"/>
      <c r="I100" s="69" t="n"/>
      <c r="J100" s="69" t="n"/>
      <c r="K100" s="69" t="n"/>
      <c r="L100" s="69" t="n"/>
      <c r="M100" s="69" t="n"/>
      <c r="N100" s="69" t="n"/>
      <c r="O100" s="69" t="n"/>
      <c r="P100" s="69" t="n"/>
      <c r="Q100" s="69" t="n"/>
      <c r="R100" s="69" t="n"/>
      <c r="S100" s="49" t="n"/>
      <c r="T100" s="49" t="n"/>
      <c r="U100" s="69" t="n"/>
      <c r="V100" s="69" t="n"/>
      <c r="W100" s="49" t="inlineStr">
        <is>
          <t>FT: NOT RETRIEVED. Muro de pago: Hull proxy y Springer directo muestran "This is a preview of subscription content". Sin copia abierta: OpenAlex is_oa=false (closed), Semantic Scholar isOpenAccess=false, HAL 0 resultados, Google Scholar 2 versiones solo cita, openHSU sin archivo, KTH DiVA sin texto completo. Unico PDF de pago: link.springer.com/content/pdf/10.1007/978-3-032-03515-8_36.pdf (pp. 528-542). Requiere descarga manual.</t>
        </is>
      </c>
    </row>
    <row r="101">
      <c r="A101" s="69" t="inlineStr">
        <is>
          <t>R0520</t>
        </is>
      </c>
      <c r="B101" s="49" t="inlineStr">
        <is>
          <t>Nozari, H. and Yordanova, Z.</t>
        </is>
      </c>
      <c r="C101" s="69" t="n">
        <v>2026</v>
      </c>
      <c r="D101" s="49" t="inlineStr">
        <is>
          <t>Algorithms</t>
        </is>
      </c>
      <c r="E101" s="69" t="inlineStr">
        <is>
          <t>10.3390/a19030218</t>
        </is>
      </c>
      <c r="F101" s="69" t="inlineStr">
        <is>
          <t>Simulation/synthetic</t>
        </is>
      </c>
      <c r="G101" s="49" t="inlineStr">
        <is>
          <t>Food/cold chain</t>
        </is>
      </c>
      <c r="H101" s="69" t="inlineStr">
        <is>
          <t>Y</t>
        </is>
      </c>
      <c r="I101" s="69" t="inlineStr">
        <is>
          <t>Y</t>
        </is>
      </c>
      <c r="J101" s="69" t="inlineStr">
        <is>
          <t>N</t>
        </is>
      </c>
      <c r="K101" s="69" t="inlineStr">
        <is>
          <t>Y</t>
        </is>
      </c>
      <c r="L101" s="69" t="inlineStr">
        <is>
          <t>N</t>
        </is>
      </c>
      <c r="M101" s="69" t="inlineStr">
        <is>
          <t>Y</t>
        </is>
      </c>
      <c r="N101" s="69" t="inlineStr">
        <is>
          <t>Hybrid</t>
        </is>
      </c>
      <c r="O101" s="69" t="inlineStr">
        <is>
          <t>Optimisation</t>
        </is>
      </c>
      <c r="P101" s="69" t="inlineStr">
        <is>
          <t>5 Prescriptive-autonomous</t>
        </is>
      </c>
      <c r="Q101" s="69" t="inlineStr">
        <is>
          <t>Reduced</t>
        </is>
      </c>
      <c r="R101" s="69" t="inlineStr">
        <is>
          <t>Set objectives/constraints</t>
        </is>
      </c>
      <c r="S101" s="49" t="inlineStr">
        <is>
          <t>Not explicitly discussed. Humans appear only upstream (fuzzy acceptable limits for cost, waste and quality encode decision-makers' preferences) and as managers who may pick among Pareto policies; inside the loop the system selects and implements policies itself.</t>
        </is>
      </c>
      <c r="T101" s="49" t="inlineStr">
        <is>
          <t>Embedding a fuzzy multi-objective model in an adaptive digital twin whose agentic layer re-weights objectives from the twin state cut logistics cost ~4-5% and waste ~13% and raised service level ~4% versus static weights, with faster post-disruption recovery; the loop selects and implements policies with no human step.</t>
        </is>
      </c>
      <c r="U101" s="49" t="inlineStr">
        <is>
          <t>Key finding: Abstract; Sect. 9 Analysis of Results and Discussion (Figs. 5-6 and Tables 4-5, with/without adaptive twin and agentic AI; Fig. 8 resilience; Fig. 9/Table 6 scalability); Sect. 10 Conclusions. AI method: Sect. 6 Algorithm 1 (agentic reprioritisation), Sect. 8 (multi-objective gray wolf and SPEA2, Python 3.10, GAMS validation). HITL/autonomy: Sect. 5 autonomy paragraph ('semi-autonomous decision-support system'); Sect. 6 ('only transferred to the execution phase after assessing the systemic consequences'); Sect. 7 (fuzzy limits represent decision-makers' preferences); Sect. 9 Pareto discussion ('allows the decision-maker to choose a more diverse set of decisions'); Sect. 10 ('appropriate to management preferences'). No page numbers visible (HTML version).</t>
        </is>
      </c>
      <c r="V101" s="69" t="inlineStr">
        <is>
          <t>Y</t>
        </is>
      </c>
      <c r="W101" s="49" t="inlineStr">
        <is>
          <t>FT 2026-09-06: Incluido: gemelo digital adaptativo (simulación calibrada con datos reales anonimizados) de logística alimentaria proveedor–minorista; la capa 'agentic AI' reprioriza objetivos y el bucle selecciona e implementa políticas sin aprobación humana (nivel 5), aunque los autores lo llaman 'semi-autonomous decision-support' y admiten que es basada en reglas, sin aprendizaje; metaheurísticas GWO/SPEA2. Dudas: nivel 4 vs 5; Make (centros de procesamiento). | FT 2026-09-06: Incluido: gemelo digital adaptativo (simulación calibrada con datos reales anonimizados) de logística alimentaria proveedor–minorista; la capa 'agentic AI' reprioriza objetivos y el bucle selecciona e implementa políticas sin aprobación humana (nivel 5), aunque los autores lo llaman 'semi-autonomous decision-support' y admiten que es basada en reglas, sin aprendizaje; metaheurísticas GWO/SPEA2. Dudas: nivel 4 vs 5; Make (centros de procesamiento). | FT 2026-09-06: Incluido: gemelo digital adaptativo (simulación calibrada con datos reales anonimizados) de logística alimentaria proveedor–minorista; la capa 'agentic AI' reprioriza objetivos y el bucle selecciona e implementa políticas sin aprobación humana (nivel 5), aunque los autores lo llaman 'semi-autonomous decision-support' y admiten que es basada en reglas, sin aprendizaje; metaheurísticas GWO/SPEA2. Dudas: nivel 4 vs 5; Make (centros de procesamiento). | FT 2026-09-06: Incluido: gemelo digital adaptativo (simulación calibrada con datos reales anonimizados) de logística alimentaria proveedor–minorista; la capa 'agentic AI' reprioriza objetivos y el bucle selecciona e implementa políticas sin aprobación humana (nivel 5), aunque los autores lo llaman 'semi-autonomous decision-support' y admiten que es basada en reglas, sin aprendizaje; metaheurísticas GWO/SPEA2. Dudas: nivel 4 vs 5; Make (centros de procesamiento).</t>
        </is>
      </c>
    </row>
    <row r="102">
      <c r="A102" s="69" t="inlineStr">
        <is>
          <t>R0521</t>
        </is>
      </c>
      <c r="B102" s="49" t="inlineStr">
        <is>
          <t>Surendharan, S. and Krithika, M.</t>
        </is>
      </c>
      <c r="C102" s="69" t="n">
        <v>2026</v>
      </c>
      <c r="D102" s="49" t="inlineStr">
        <is>
          <t>IEEE International Conference on Electronic Systems and Intelligent Computing, ICESIC 2026 - Proceedings</t>
        </is>
      </c>
      <c r="E102" s="69" t="inlineStr">
        <is>
          <t>10.1109/icesic67389.2026.11496468</t>
        </is>
      </c>
      <c r="F102" s="69" t="n"/>
      <c r="G102" s="69" t="n"/>
      <c r="H102" s="69" t="n"/>
      <c r="I102" s="69" t="n"/>
      <c r="J102" s="69" t="n"/>
      <c r="K102" s="69" t="n"/>
      <c r="L102" s="69" t="n"/>
      <c r="M102" s="69" t="n"/>
      <c r="N102" s="69" t="n"/>
      <c r="O102" s="69" t="n"/>
      <c r="P102" s="69" t="n"/>
      <c r="Q102" s="69" t="n"/>
      <c r="R102" s="69" t="n"/>
      <c r="S102" s="49" t="n"/>
      <c r="T102" s="49" t="n"/>
      <c r="U102" s="69" t="n"/>
      <c r="V102" s="69" t="n"/>
      <c r="W102" s="49" t="inlineStr">
        <is>
          <t>FT: NOT RETRIEVED.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row>
    <row r="103">
      <c r="A103" s="69" t="inlineStr">
        <is>
          <t>R0525</t>
        </is>
      </c>
      <c r="B103" s="49" t="inlineStr">
        <is>
          <t>Ivanov, D. and Gusikhin, O.</t>
        </is>
      </c>
      <c r="C103" s="69" t="n">
        <v>2026</v>
      </c>
      <c r="D103" s="49" t="inlineStr">
        <is>
          <t>Omega (United Kingdom)</t>
        </is>
      </c>
      <c r="E103" s="69" t="inlineStr">
        <is>
          <t>10.1016/j.omega.2025.103447</t>
        </is>
      </c>
      <c r="F103" s="69" t="inlineStr">
        <is>
          <t>Empirical case</t>
        </is>
      </c>
      <c r="G103" s="49" t="inlineStr">
        <is>
          <t>Automotive</t>
        </is>
      </c>
      <c r="H103" s="69" t="inlineStr">
        <is>
          <t>Y</t>
        </is>
      </c>
      <c r="I103" s="69" t="inlineStr">
        <is>
          <t>Y</t>
        </is>
      </c>
      <c r="J103" s="69" t="inlineStr">
        <is>
          <t>Y</t>
        </is>
      </c>
      <c r="K103" s="69" t="inlineStr">
        <is>
          <t>Y</t>
        </is>
      </c>
      <c r="L103" s="69" t="inlineStr">
        <is>
          <t>N</t>
        </is>
      </c>
      <c r="M103" s="69" t="inlineStr">
        <is>
          <t>N</t>
        </is>
      </c>
      <c r="N103" s="69" t="inlineStr">
        <is>
          <t>Hybrid</t>
        </is>
      </c>
      <c r="O103" s="69" t="inlineStr">
        <is>
          <t>Decision support</t>
        </is>
      </c>
      <c r="P103" s="69" t="inlineStr">
        <is>
          <t>4 Prescriptive-advisory</t>
        </is>
      </c>
      <c r="Q103" s="69" t="inlineStr">
        <is>
          <t>Maintained</t>
        </is>
      </c>
      <c r="R103" s="69" t="inlineStr">
        <is>
          <t>Interpret outputs</t>
        </is>
      </c>
      <c r="S103" s="49" t="inlineStr">
        <is>
          <t>Delegating decisions (e.g., order placement, schedule changes) to the twin/agentic AI is envisaged only 'potentially'; it hinges on trust in data quality, hallucination and reasoning-consistency risks; the feasible extent of human-AI collaboration is left to future research.</t>
        </is>
      </c>
      <c r="T103" s="49" t="inlineStr">
        <is>
          <t>Ford's at-scale SCDT is a federated, three-layer (intracompany/Tier-1/deep-tier) twin whose executed AI is deep-learning-plus-survival-analysis supplier-shortfall forecasting; agentic AI is designed in as an orchestrator of point tools that alerts managers and recommends actions, while final decisions stay with humans; autonomous execution remains prospective (only e-mail alerts run unattended).</t>
        </is>
      </c>
      <c r="U103" s="49" t="inlineStr">
        <is>
          <t>Key finding: Abstract; 2.2 Supply chain digital twin design at the Ford Motor Company (2.2.1 Intracompany layer: truckload, returnable-packaging and intermodal twins; 2.2.2 Tier-1 network layer: deep learning + survival analysis; 2.2.3 Deep-tier layer: regression-based stress testing); 3.1.1 Data-driven architecture; 3.1.2 Agentic AI (Supply Chain 360 Portal, Fig. 6b); 5 Conclusions. HITL evidence: 3.1.2 Agentic AI (incl. quotations of Ivanov [1]); 3.2.2 Implementation scale layers (human-machine interfaces, LLM queries); 4.2.1 Limitations; 4.2.2 Challenges. HTML version, no page numbers.</t>
        </is>
      </c>
      <c r="V103" s="69" t="inlineStr">
        <is>
          <t>Y</t>
        </is>
      </c>
      <c r="W103" s="49" t="inlineStr">
        <is>
          <t>FT 2026-09-06: Incluir: caso a escala (Ford) de SCDT federado en tres capas. IA ejecutada: deep learning + análisis de supervivencia para pronosticar faltantes de proveedores (Tier-1, ref. [15]); IA agéntica/LLM diseñada como orquestador que alerta y recomienda, decisión final humana; ejecución autónoma solo 'potencial'. Dudas: Make/Deliver/Return (logística inbound, envases retornables, solo aguas arriba); detalle técnico de la IA remitido a [15]. | FT 2026-09-06: Incluir: caso a escala (Ford) de SCDT federado en tres capas. IA ejecutada: deep learning + análisis de supervivencia para pronosticar faltantes de proveedores (Tier-1, ref. [15]); IA agéntica/LLM diseñada como orquestador que alerta y recomienda, decisión final humana; ejecución autónoma solo 'potencial'. Dudas: Make/Deliver/Return (logística inbound, envases retornables, solo aguas arriba); detalle técnico de la IA remitido a [15]. | FT 2026-09-06: Incluir: caso a escala (Ford) de SCDT federado en tres capas. IA ejecutada: deep learning + análisis de supervivencia para pronosticar faltantes de proveedores (Tier-1, ref. [15]); IA agéntica/LLM diseñada como orquestador que alerta y recomienda, decisión final humana; ejecución autónoma solo 'potencial'. Dudas: Make/Deliver/Return (logística inbound, envases retornables, solo aguas arriba); detalle técnico de la IA remitido a [15]. | FT 2026-09-06: Incluir: caso a escala (Ford) de SCDT federado en tres capas. IA ejecutada: deep learning + análisis de supervivencia para pronosticar faltantes de proveedores (Tier-1, ref. [15]); IA agéntica/LLM diseñada como orquestador que alerta y recomienda, decisión final humana; ejecución autónoma solo 'potencial'. Dudas: Make/Deliver/Return (logística inbound, envases retornables, solo aguas arriba); detalle técnico de la IA remitido a [15]. | TA: included under the sensitivity rule; check the flagged point in the Screening note</t>
        </is>
      </c>
    </row>
    <row r="104">
      <c r="A104" s="69" t="inlineStr">
        <is>
          <t>R0530</t>
        </is>
      </c>
      <c r="B104" s="49" t="inlineStr">
        <is>
          <t>Zhang, C., Wang, X. and Liu, L.</t>
        </is>
      </c>
      <c r="C104" s="69" t="n">
        <v>2026</v>
      </c>
      <c r="D104" s="49" t="inlineStr">
        <is>
          <t>IEEE Communications Standards Magazine</t>
        </is>
      </c>
      <c r="E104" s="69" t="inlineStr">
        <is>
          <t>10.1109/mcomstd.2025.3641867</t>
        </is>
      </c>
      <c r="F104" s="69" t="inlineStr">
        <is>
          <t>Conceptual</t>
        </is>
      </c>
      <c r="G104" s="49" t="inlineStr">
        <is>
          <t>Global logistics / multimodal freight (vessels, trucks, ports, warehouses, cold chain)</t>
        </is>
      </c>
      <c r="H104" s="69" t="inlineStr">
        <is>
          <t>Y</t>
        </is>
      </c>
      <c r="I104" s="69" t="inlineStr">
        <is>
          <t>N</t>
        </is>
      </c>
      <c r="J104" s="69" t="inlineStr">
        <is>
          <t>N</t>
        </is>
      </c>
      <c r="K104" s="69" t="inlineStr">
        <is>
          <t>Y</t>
        </is>
      </c>
      <c r="L104" s="69" t="inlineStr">
        <is>
          <t>N</t>
        </is>
      </c>
      <c r="M104" s="69" t="inlineStr">
        <is>
          <t>N</t>
        </is>
      </c>
      <c r="N104" s="69" t="inlineStr">
        <is>
          <t>Hybrid</t>
        </is>
      </c>
      <c r="O104" s="69" t="inlineStr">
        <is>
          <t>Anomaly detection</t>
        </is>
      </c>
      <c r="P104" s="69" t="inlineStr">
        <is>
          <t>3 Predictive</t>
        </is>
      </c>
      <c r="Q104" s="69" t="inlineStr">
        <is>
          <t>Maintained</t>
        </is>
      </c>
      <c r="R104" s="69" t="inlineStr">
        <is>
          <t>Handle exceptions</t>
        </is>
      </c>
      <c r="S104" s="49" t="inlineStr">
        <is>
          <t>Operators intervene when the twin raises risk alerts from thresholds (dwell time &gt;2x average, route deviation &gt;5%, cold-chain temperature &gt;8 C, vibration &gt;3x baseline), tuned by rolling-window AI models; fail-safe AI (IEEE P7009) should enter safe states on failure.</t>
        </is>
      </c>
      <c r="T104" s="49" t="inlineStr">
        <is>
          <t>Standards-aligned, security-centred AI-driven DT architecture for global logistics: 5G/6G sensor streams pass an edge node to a secure cloud that updates per-asset twins; gradient-boosted trees and LSTM models trained by federated learning detect anomalies and forecast volatility, and alerts go to operators for proactive intervention. Conceptual, no empirical validation.</t>
        </is>
      </c>
      <c r="U104" s="49" t="inlineStr">
        <is>
          <t>Key finding and AI method: section 'Case Study: Market Volatility Warning and Risk Detection in Global Logistics Supply Chains' (Figure 3 architecture paragraph; paragraph on federated learning, gradient-boosted trees and LSTM models). HITL: same section, Figure 3 paragraph ('fed back to operators for proactive intervention') and the anomaly-threshold paragraph ('dynamically adjusted using rolling-window AI models'). Governance/oversight: 'Countermeasures and Defense Mechanisms &gt; Privacy-Preserving AI and Trusted Intelligence' (XAI logs, model cards, IAM); 'Standardization Landscape and Gaps &gt; International Standards Bodies' (IEEE P7009 fail-safe AI: detect failures and enter safe states) and '&gt; Proposed Research Directions' (AI Governance Integration: XAI logs, bias detection, accountability frameworks); 'Future Research Directions &gt; Digital-Twin-Aware AI Trust Frameworks' and '&gt; Dynamic Certification and Compliance' (run-time compliance monitoring, certification revoked/renewed by continuous assessment). Sections are unnumbered in the Xplore HTML; article pp. 147-156.</t>
        </is>
      </c>
      <c r="V104" s="69" t="inlineStr">
        <is>
          <t>Y</t>
        </is>
      </c>
      <c r="W104" s="49" t="inlineStr">
        <is>
          <t>FT 2026-09-06: Incluido: gemelo logístico con arquitectura edge-nube 5G/6G y componente IA especificado (GBT + LSTM, aprendizaje federado) para detectar anomalías y pronosticar volatilidad; alertas a operadores. Dudas: artículo tipo tutorial, caso ilustrativo sin datos ni resultados (métricas 'indicativas'); HITL implícito en una frase; gobernanza (XAI logs, P7009 fail-safe, certificación dinámica) institucional; end_to_end N pese a decir 'entire supply chain'. | FT 2026-09-06: Incluido: gemelo logístico con arquitectura edge-nube 5G/6G y componente IA especificado (GBT + LSTM, aprendizaje federado) para detectar anomalías y pronosticar volatilidad; alertas a operadores. Dudas: artículo tipo tutorial, caso ilustrativo sin datos ni resultados (métricas 'indicativas'); HITL implícito en una frase; gobernanza (XAI logs, P7009 fail-safe, certificación dinámica) institucional; end_to_end N pese a decir 'entire supply chain'. | TA flag: marco de gemelo con IA constitutiva para cadenas logísticas ("a next-generation AI-driven digital twin framework tailored for logistics supply chains") con caso ("A case study on logistics volatility detection"), C8 tercera precisión; riesgo E3 en texto completo si la IA es sólo etiqueta; interés HI</t>
        </is>
      </c>
    </row>
    <row r="105">
      <c r="A105" s="69" t="inlineStr">
        <is>
          <t>R0551</t>
        </is>
      </c>
      <c r="B105" s="49" t="inlineStr">
        <is>
          <t>Kawaguchi, N., Asai, Y., Kano, K., Takaki, K., Mori, Y., Suzuki, Y., Watanabe, K., Gushi, Y., Katayama, S., Urano, K., Yonezawa, T. and Hashiguchi, S.</t>
        </is>
      </c>
      <c r="C105" s="69" t="n">
        <v>2025</v>
      </c>
      <c r="D105" s="49" t="inlineStr">
        <is>
          <t>Proceedings - 2025 IEEE International Conference on Smart Computing, SMARTCOMP 2025</t>
        </is>
      </c>
      <c r="E105" s="69" t="inlineStr">
        <is>
          <t>10.1109/smartcomp65954.2025.00035</t>
        </is>
      </c>
      <c r="F105" s="69" t="n"/>
      <c r="G105" s="69" t="n"/>
      <c r="H105" s="69" t="n"/>
      <c r="I105" s="69" t="n"/>
      <c r="J105" s="69" t="n"/>
      <c r="K105" s="69" t="n"/>
      <c r="L105" s="69" t="n"/>
      <c r="M105" s="69" t="n"/>
      <c r="N105" s="69" t="n"/>
      <c r="O105" s="69" t="n"/>
      <c r="P105" s="69" t="n"/>
      <c r="Q105" s="69" t="n"/>
      <c r="R105" s="69" t="n"/>
      <c r="S105" s="49" t="n"/>
      <c r="T105" s="49" t="n"/>
      <c r="U105" s="69" t="n"/>
      <c r="V105" s="69" t="n"/>
      <c r="W105" s="49" t="inlineStr">
        <is>
          <t>FT: NOT RETRIEVED. NO RECUPERADO: actas de congreso IEEE Xplore sin suscripcion en Hull ni en el Tec ('Sign in to Continue Reading'; PDF 'denied'). Sin copia abierta: OpenAlex/Semantic Scholar/OpenAIRE/Crossref sin oa_url; Google Scholar no consultado (captcha) y Bing sin resultado. Nota localizador: SCHOLAR CAPTCHA STOPPED RUN AT THIS ROW - not queried on Scholar. Bing fallback found PDF in Nagoya Univ UCLab (Kawaguchi lab) repository; server sends it as an attachment so it was not opened inline (no downloading) - strong candidate, unverified</t>
        </is>
      </c>
    </row>
    <row r="106">
      <c r="A106" s="69" t="inlineStr">
        <is>
          <t>R0554</t>
        </is>
      </c>
      <c r="B106" s="49" t="inlineStr">
        <is>
          <t>Ivanov, D.</t>
        </is>
      </c>
      <c r="C106" s="69" t="n">
        <v>2025</v>
      </c>
      <c r="D106" s="49" t="inlineStr">
        <is>
          <t>Omega (United Kingdom)</t>
        </is>
      </c>
      <c r="E106" s="69" t="inlineStr">
        <is>
          <t>10.1016/j.omega.2025.103356</t>
        </is>
      </c>
      <c r="F106" s="69" t="inlineStr">
        <is>
          <t>Conceptual</t>
        </is>
      </c>
      <c r="G106" s="49" t="inlineStr">
        <is>
          <t>Generic/cross-sector (illustrative scenarios: tariff-shock resilience stress testing; agri-food cereal supply chain in MENA via the CERERE platform under development)</t>
        </is>
      </c>
      <c r="H106" s="69" t="inlineStr">
        <is>
          <t>Y</t>
        </is>
      </c>
      <c r="I106" s="69" t="inlineStr">
        <is>
          <t>Y</t>
        </is>
      </c>
      <c r="J106" s="69" t="inlineStr">
        <is>
          <t>Y</t>
        </is>
      </c>
      <c r="K106" s="69" t="inlineStr">
        <is>
          <t>Y</t>
        </is>
      </c>
      <c r="L106" s="69" t="inlineStr">
        <is>
          <t>N</t>
        </is>
      </c>
      <c r="M106" s="69" t="inlineStr">
        <is>
          <t>Y</t>
        </is>
      </c>
      <c r="N106" s="69" t="inlineStr">
        <is>
          <t>Hybrid</t>
        </is>
      </c>
      <c r="O106" s="69" t="inlineStr">
        <is>
          <t>Decision support</t>
        </is>
      </c>
      <c r="P106" s="69" t="inlineStr">
        <is>
          <t>4 Prescriptive-advisory</t>
        </is>
      </c>
      <c r="Q106" s="69" t="inlineStr">
        <is>
          <t>Maintained</t>
        </is>
      </c>
      <c r="R106" s="69" t="inlineStr">
        <is>
          <t>Approve/override</t>
        </is>
      </c>
      <c r="S106" s="49" t="inlineStr">
        <is>
          <t>Allocation of control blocks (Fig. 8) to human, automation or AI is configurable by degree of human-AI collaboration; decision rights follow who holds the most complete information; humans keep non-standardized situations and verify AI outputs against hallucination.</t>
        </is>
      </c>
      <c r="T106" s="49" t="inlineStr">
        <is>
          <t>Theory-building paper: defines the digital supply chain ecosystem, formalizes the twin as a control-theoretic decision-support loop (plan, control, observe, adapt) and a cyber-physical framework with a human-AI collaboration space; AI generates/adapts models and scenarios and recommends actions, while humans verify and decide (AI agent is support, not decision-maker).</t>
        </is>
      </c>
      <c r="U106" s="49" t="inlineStr">
        <is>
          <t>Key finding: Abstract and Highlights; Section 2.2 Digital ecosystems (definition; Figs. 3-6; four information sources object/subject/environment/modeling); Section 3 Generalized models of digital twinning (Fig. 8 decision-making view as dynamic control system, Eqs. 1-6; Fig. 9 model adaptation); Section 4 (object-driven vs data-driven approaches, Figs. 10-11); Section 5.1 Framework (Fig. 12); Section 6 Discussion and conclusion. HITL evidence: Section 2.1 (Fig. 1 three DT levels by degree of human-AI collaboration; Fig. 2 areas of human-AI collaboration: AI for standardized tasks, humans for non-standardized situations, delegation, AI enhances human metaknowledge; hallucination paragraph: 'human-in-the-loop oversight' and explainable AI); Section 3, paragraph after Eq. 6 (which Fig. 8 blocks are controlled by a human, automatically, or AI-driven is left configurable; the 'subject (decision-maker)' owns the control vector u(t) and correction actions v(x(t),t)); Section 5.1 (procedure: 'Supplemented by human knowledge, verification and assessment take place leading to the recognition and control of the physical supply chain'); Section 5.3 (CERERE Cognitive Human Interface &amp; Governance: human-in-the-loop + reinforcement learning with human feedback + explainable AI; INC 'recommend next-best action', 'automated workflows'); Section 6, last two paragraphs (decision allocation by who has the most complete information; 'An AI agent is a decision-making support, not a decision-maker'). Note: the 'human-AI collaboration space' component of Fig. 12 is not formally defined in the text; it is characterized only through these statements. No page numbers visible in the HTML version.</t>
        </is>
      </c>
      <c r="V106" s="69" t="inlineStr">
        <is>
          <t>Y</t>
        </is>
      </c>
      <c r="W106" s="49" t="inlineStr">
        <is>
          <t>FT 2026-09-06: Incluido como artículo teórico: el objeto es el concepto de gemelo (modelos conceptuales y formales, teoría de control) con IA constitutiva (IA generativa, agentes, RL con retroalimentación humana, XAI en CERERE). Dudas: la IA se especifica a nivel de arquitectura, no ejecutada; nivel de integración configurable (3-5), postura normativa = 4; hitl_role podría ser Elevated. | FT 2026-09-06: Incluido como artículo teórico: el objeto es el concepto de gemelo (modelos conceptuales y formales, teoría de control) con IA constitutiva (IA generativa, agentes, RL con retroalimentación humana, XAI en CERERE). Dudas: la IA se especifica a nivel de arquitectura, no ejecutada; nivel de integración configurable (3-5), postura normativa = 4; hitl_role podría ser Elevated. | FT 2026-09-06: Incluido como artículo teórico: el objeto es el concepto de gemelo (modelos conceptuales y formales, teoría de control) con IA constitutiva (IA generativa, agentes, RL con retroalimentación humana, XAI en CERERE). Dudas: la IA se especifica a nivel de arquitectura, no ejecutada; nivel de integración configurable (3-5), postura normativa = 4; hitl_role podría ser Elevated. | FT 2026-09-06: Incluido como artículo teórico: el objeto es el concepto de gemelo (modelos conceptuales y formales, teoría de control) con IA constitutiva (IA generativa, agentes, RL con retroalimentación humana, XAI en CERERE). Dudas: la IA se especifica a nivel de arquitectura, no ejecutada; nivel de integración configurable (3-5), postura normativa = 4; hitl_role podría ser Elevated.</t>
        </is>
      </c>
    </row>
    <row r="107">
      <c r="A107" s="69" t="inlineStr">
        <is>
          <t>R0564</t>
        </is>
      </c>
      <c r="B107" s="49" t="inlineStr">
        <is>
          <t>Neyra, J., Silva, L., Netto, J. and Medina, A.</t>
        </is>
      </c>
      <c r="C107" s="69" t="n">
        <v>2025</v>
      </c>
      <c r="D107" s="49" t="inlineStr">
        <is>
          <t>Proceedings - Winter Simulation Conference</t>
        </is>
      </c>
      <c r="E107" s="69" t="inlineStr">
        <is>
          <t>10.1109/wsc68292.2025.11339094</t>
        </is>
      </c>
      <c r="F107" s="69" t="inlineStr">
        <is>
          <t>Empirical case</t>
        </is>
      </c>
      <c r="G107" s="49" t="inlineStr">
        <is>
          <t>Maritime/port (solid bulk / iron ore export terminal, Brazil)</t>
        </is>
      </c>
      <c r="H107" s="69" t="inlineStr">
        <is>
          <t>Y</t>
        </is>
      </c>
      <c r="I107" s="69" t="inlineStr">
        <is>
          <t>N</t>
        </is>
      </c>
      <c r="J107" s="69" t="inlineStr">
        <is>
          <t>N</t>
        </is>
      </c>
      <c r="K107" s="69" t="inlineStr">
        <is>
          <t>Y</t>
        </is>
      </c>
      <c r="L107" s="69" t="inlineStr">
        <is>
          <t>N</t>
        </is>
      </c>
      <c r="M107" s="69" t="inlineStr">
        <is>
          <t>N</t>
        </is>
      </c>
      <c r="N107" s="69" t="inlineStr">
        <is>
          <t>Metaheuristic/evolutionary</t>
        </is>
      </c>
      <c r="O107" s="69" t="inlineStr">
        <is>
          <t>Optimisation</t>
        </is>
      </c>
      <c r="P107" s="69" t="inlineStr">
        <is>
          <t>4 Prescriptive-advisory</t>
        </is>
      </c>
      <c r="Q107" s="69" t="inlineStr">
        <is>
          <t>Maintained</t>
        </is>
      </c>
      <c r="R107" s="69" t="inlineStr">
        <is>
          <t>Set objectives/constraints</t>
        </is>
      </c>
      <c r="S107" s="49" t="inlineStr">
        <is>
          <t>Not discussed as a change; the user configures routes, demand, capacities and ACS/objective weights through the tool interface, tests schedules virtually before applying them to the real terminal and reads the simulation analysis report to identify improvements.</t>
        </is>
      </c>
      <c r="T107" s="49" t="inlineStr">
        <is>
          <t>AnyLogic agent-based simulation coupled with an Ant Colony System scheduler, validated against real terminal KPIs (deviations under 5%), cut total ship stay time from 199.6 h to 194.3 h in the base scenario (84.8 h with simultaneous yard-to-ship routes), with estimated demurrage savings of USD 130,750-788,969 within about five minutes.</t>
        </is>
      </c>
      <c r="U107" s="49" t="inlineStr">
        <is>
          <t>Key finding: Abstract (p. 3046); Sect. 3.3 Optimization (pp. 3050-3051); Sect. 3.4 Simulation Model and Sect. 3.5 Digital Twin Integration (pp. 3052-3053, Fig. 3); Sect. 4.1 Simulation Verification, Table 3 (pp. 3053-3055); Sect. 4.2 Base Scenario, Table 4 (p. 3055); Sect. 5 Conclusions and Future Works (pp. 3055-3056). HITL: Sect. 1 Introduction (p. 3046, 'intended to support decision-making'); Sect. 3.1 Data Sources (p. 3049, routes/demand/capacities configured through the tool's interface); Sect. 3.3 (p. 3051, user-defined alpha and beta); Sect. 3.5 (pp. 3052-3053, virtual testing before application, analysis report for the user); Sect. 4 Results (p. 3053, customizable loading/unloading weighting). Proceedings pages 3046-3057 = PDF pages 1-12.</t>
        </is>
      </c>
      <c r="V107" s="69" t="inlineStr">
        <is>
          <t>Y</t>
        </is>
      </c>
      <c r="W107" s="49" t="inlineStr">
        <is>
          <t>FT 2026-09-06: Incluida: gemelo implementado (simulación de agentes AnyLogic + optimizador ACS), validado con datos reales de terminal brasileño (KPIs &lt;5%). IA = metaheurística colonia de hormigas con feromonas adaptativas; ML sólo trabajo futuro; agentes son entidades de simulación, no inteligentes. Enlace tiempo real declarado en futuro. HITL implícito: soporte a decisión, usuario fija pesos/parámetros. Dudas: criterio 3, evidence_type. | FT 2026-09-06: Incluida: gemelo implementado (simulación de agentes AnyLogic + optimizador ACS), validado con datos reales de terminal brasileño (KPIs &lt;5%). IA = metaheurística colonia de hormigas con feromonas adaptativas; ML sólo trabajo futuro; agentes son entidades de simulación, no inteligentes. Enlace tiempo real declarado en futuro. HITL implícito: soporte a decisión, usuario fija pesos/parámetros. Dudas: criterio 3, evidence_type.</t>
        </is>
      </c>
    </row>
    <row r="108">
      <c r="A108" s="69" t="inlineStr">
        <is>
          <t>R0584</t>
        </is>
      </c>
      <c r="B108" s="49" t="inlineStr">
        <is>
          <t>Abdelnabi, A.B. and Rabadi, G.</t>
        </is>
      </c>
      <c r="C108" s="69" t="n">
        <v>2025</v>
      </c>
      <c r="D108" s="49" t="inlineStr">
        <is>
          <t>2025 IEEE 5th International Conference on Digital Twins and Parallel Intelligence, DTPI 2025</t>
        </is>
      </c>
      <c r="E108" s="69" t="inlineStr">
        <is>
          <t>10.1109/dtpi65196.2025.11088823</t>
        </is>
      </c>
      <c r="F108" s="69" t="n"/>
      <c r="G108" s="69" t="n"/>
      <c r="H108" s="69" t="n"/>
      <c r="I108" s="69" t="n"/>
      <c r="J108" s="69" t="n"/>
      <c r="K108" s="69" t="n"/>
      <c r="L108" s="69" t="n"/>
      <c r="M108" s="69" t="n"/>
      <c r="N108" s="69" t="n"/>
      <c r="O108" s="69" t="n"/>
      <c r="P108" s="69" t="n"/>
      <c r="Q108" s="69" t="n"/>
      <c r="R108" s="69" t="n"/>
      <c r="S108" s="49" t="n"/>
      <c r="T108" s="49" t="n"/>
      <c r="U108" s="69" t="n"/>
      <c r="V108" s="69" t="n"/>
      <c r="W108" s="49" t="inlineStr">
        <is>
          <t>FT: NOT RETRIEVED. NO RECUPERADO: actas de congreso IEEE Xplore sin suscripcion en Hull ni en el Tec ('Sign in to Continue Reading'; PDF 'denied'). Sin copia abierta: OpenAlex/Semantic Scholar/OpenAIRE/Crossref sin oa_url; Google Scholar no consultado (captcha) y Bing sin resultado. Nota localizador: Not queried on Scholar (CAPTCHA). Bing: IEEE/SemanticScholar/dblp/researchr/scite only - no repository PDF</t>
        </is>
      </c>
    </row>
    <row r="109">
      <c r="A109" s="69" t="inlineStr">
        <is>
          <t>R0589</t>
        </is>
      </c>
      <c r="B109" s="49" t="inlineStr">
        <is>
          <t>Shang, W., Wang, Y.J., Zhu, A.D., Chen, Y., Fu, P.H., Li, X.L., Zhu, L.F., Sheng, J.Q., Zhang, B. and Yue, J.</t>
        </is>
      </c>
      <c r="C109" s="69" t="n">
        <v>2025</v>
      </c>
      <c r="D109" s="49" t="inlineStr">
        <is>
          <t>IEEE ACCESS</t>
        </is>
      </c>
      <c r="E109" s="69" t="inlineStr">
        <is>
          <t>10.1109/access.2025.3606168</t>
        </is>
      </c>
      <c r="F109" s="69" t="inlineStr">
        <is>
          <t>Empirical case</t>
        </is>
      </c>
      <c r="G109" s="49" t="inlineStr">
        <is>
          <t>Warehousing/logistics (nationwide distribution network, China)</t>
        </is>
      </c>
      <c r="H109" s="69" t="inlineStr">
        <is>
          <t>Y</t>
        </is>
      </c>
      <c r="I109" s="69" t="inlineStr">
        <is>
          <t>N</t>
        </is>
      </c>
      <c r="J109" s="69" t="inlineStr">
        <is>
          <t>N</t>
        </is>
      </c>
      <c r="K109" s="69" t="inlineStr">
        <is>
          <t>Y</t>
        </is>
      </c>
      <c r="L109" s="69" t="inlineStr">
        <is>
          <t>N</t>
        </is>
      </c>
      <c r="M109" s="69" t="inlineStr">
        <is>
          <t>N</t>
        </is>
      </c>
      <c r="N109" s="69" t="inlineStr">
        <is>
          <t>Hybrid</t>
        </is>
      </c>
      <c r="O109" s="69" t="inlineStr">
        <is>
          <t>Forecasting/estimation</t>
        </is>
      </c>
      <c r="P109" s="69" t="inlineStr">
        <is>
          <t>3 Predictive</t>
        </is>
      </c>
      <c r="Q109" s="69" t="inlineStr">
        <is>
          <t>Maintained</t>
        </is>
      </c>
      <c r="R109" s="69" t="inlineStr">
        <is>
          <t>Interpret outputs; Set objectives/constraints</t>
        </is>
      </c>
      <c r="S109" s="49" t="inlineStr">
        <is>
          <t>Role and data resolution depend on organisational level: managers/planners receive coarse statistical indicators for strategic/planning decisions; schedulers/operators receive fine operational data for task assignment and onsite dispatch; authorised users access other levels remotely; during COVID-19 local operators decided decentrally.</t>
        </is>
      </c>
      <c r="T109" s="49" t="inlineStr">
        <is>
          <t>Implemented multiresolution logistics twin (DigiPyramid) for a Chinese nationwide logistics firm: RPA aggregates ERP/WMS/TMS data, Bayesian networks and computer vision fill 'breakpoints', 'gray boxes' and 'black boxes', and AHP-derived indicators serve four human decision levels (managers, planners, schedulers, operators); humans keep all decisions, AI only improves twin fidelity.</t>
        </is>
      </c>
      <c r="U109" s="49" t="inlineStr">
        <is>
          <t>Key finding: Abstract; Sec. I (RQ1-RQ3); Sec. III-A (Fig. 1 pyramid); Sec. IV-A (RPA), IV-B (AHP, Table 1: 18 DSIs); Sec. V-A/V-B/V-C (ambiguity types, BN, CV); Sec. VI (COVID-19 case); Sec. VII-A/VII-B. HITL: Sec. I, paragraph before RQ3 ('most decisions still rely on personal experience of human operators'); Sec. III-B (data overload/underload by level); Sec. III-D1 (four levels, their systems and decision types); Sec. III-D3/Fig. 6 (level-specific interfaces); Sec. VI (operators' timely and decentralized decisions); Sec. VII-C (GenAI 'may extend human-AI collaboration' as future work). IEEE Access vol. 13, pp. 159796-159811 (page numbers not visible in the HTML).</t>
        </is>
      </c>
      <c r="V109" s="69" t="inlineStr">
        <is>
          <t>Y</t>
        </is>
      </c>
      <c r="W109" s="49" t="inlineStr">
        <is>
          <t>FT 2026-09-06: Incluido: gemelo multirresolución implementado (RPA, AHP) en logística nacional china; IA nombrada y empleada: redes bayesianas (estimación de datos en breakpoints/gray boxes) y visión por computador (black boxes). Humanos deciden en cuatro niveles (estructura en campo extra hitl_decision_levels). Dudas: IA descrita brevemente, sin métricas; RPA/AHP no son IA; end_to_end=N (sin proveedores); hitl_role 'Maintained' vs 'Elevated'. | FT 2026-09-06: Incluido: gemelo multirresolución implementado (RPA, AHP) en logística nacional china; IA nombrada y empleada: redes bayesianas (estimación de datos en breakpoints/gray boxes) y visión por computador (black boxes). Humanos deciden en cuatro niveles (estructura en campo extra hitl_decision_levels). Dudas: IA descrita brevemente, sin métricas; RPA/AHP no son IA; end_to_end=N (sin proveedores); hitl_role 'Maintained' vs 'Elevated'.</t>
        </is>
      </c>
    </row>
    <row r="110">
      <c r="A110" s="69" t="inlineStr">
        <is>
          <t>R0591</t>
        </is>
      </c>
      <c r="B110" s="49" t="inlineStr">
        <is>
          <t>Zhou, L.Y., Leng, S.P. and Quek, T.Q.S.</t>
        </is>
      </c>
      <c r="C110" s="69" t="n">
        <v>2025</v>
      </c>
      <c r="D110" s="49" t="inlineStr">
        <is>
          <t>IEEE TRANSACTIONS ON MOBILE COMPUTING</t>
        </is>
      </c>
      <c r="E110" s="69" t="inlineStr">
        <is>
          <t>10.1109/tmc.2025.3567284</t>
        </is>
      </c>
      <c r="F110" s="69" t="inlineStr">
        <is>
          <t>Simulation/synthetic</t>
        </is>
      </c>
      <c r="G110" s="49" t="inlineStr">
        <is>
          <t>UAV logistics (parcel delivery)</t>
        </is>
      </c>
      <c r="H110" s="69" t="inlineStr">
        <is>
          <t>N</t>
        </is>
      </c>
      <c r="I110" s="69" t="inlineStr">
        <is>
          <t>N</t>
        </is>
      </c>
      <c r="J110" s="69" t="inlineStr">
        <is>
          <t>N</t>
        </is>
      </c>
      <c r="K110" s="69" t="inlineStr">
        <is>
          <t>Y</t>
        </is>
      </c>
      <c r="L110" s="69" t="inlineStr">
        <is>
          <t>N</t>
        </is>
      </c>
      <c r="M110" s="69" t="inlineStr">
        <is>
          <t>N</t>
        </is>
      </c>
      <c r="N110" s="69" t="inlineStr">
        <is>
          <t>Hybrid</t>
        </is>
      </c>
      <c r="O110" s="69" t="inlineStr">
        <is>
          <t>Optimisation</t>
        </is>
      </c>
      <c r="P110" s="69" t="inlineStr">
        <is>
          <t>5 Prescriptive-autonomous</t>
        </is>
      </c>
      <c r="Q110" s="69" t="inlineStr">
        <is>
          <t>Replaced</t>
        </is>
      </c>
      <c r="R110" s="69" t="inlineStr">
        <is>
          <t>None</t>
        </is>
      </c>
      <c r="S110" s="49" t="inlineStr">
        <is>
          <t>Not discussed</t>
        </is>
      </c>
      <c r="T110" s="49" t="inlineStr">
        <is>
          <t>Edge-hosted double digital twin (learned resource-scheduling twin plus PSO path-planning twin, built from GAN-augmented data with attention-based learning and MA-DDPG) plans UAV parcel deliveries fully autonomously; hardware-in-the-loop Gazebo tests show 63.9% lower distribution latency and 10.9% higher successful-delivery ratio than benchmarks.</t>
        </is>
      </c>
      <c r="U110" s="49" t="inlineStr">
        <is>
          <t>Key finding: Abstract; Sec. I (contributions); Sec. VI-F (Fig. 27, 63.9%) and VI-G (Fig. 29, 10.9%); Sec. VII. AI methods: Sec. V-A (GAN/CNN data augmentation), V-B (multi-modal attention model acquisition, Algorithm 1), V-C (MA-DDPG resource scheduling), V-D (PSO-PP path planning, Algorithm 2). HITL: Abstract ('without the aid of a workforce'); Sec. I ('autonomously adjust distribution paths'); Sec. VI-D ('autonomously associate feasible logistics missions'). Pages 10099-10117.</t>
        </is>
      </c>
      <c r="V110" s="69" t="inlineStr">
        <is>
          <t>Y</t>
        </is>
      </c>
      <c r="W110" s="49" t="inlineStr">
        <is>
          <t>FT 2026-09-06: Incluido: gemelo doble (RST+PPT) en UAV de borde para reparto de paquetes; métodos IA explícitos (GAN/CNN, atención multimodal, MA-DDPG, PSO), no solo scheduling. Evaluación HIL: datos de DJI reales + Gazebo. Humano: solo 'sin ayuda de mano de obra' en el resumen; no se discute operador. Duda: Plan=Y si el scheduling se considera planificación; 'Replaced' vs 'Not discussed'. | FT 2026-09-06: Incluido: gemelo doble (RST+PPT) en UAV de borde para reparto de paquetes; métodos IA explícitos (GAN/CNN, atención multimodal, MA-DDPG, PSO), no solo scheduling. Evaluación HIL: datos de DJI reales + Gazebo. Humano: solo 'sin ayuda de mano de obra' en el resumen; no se discute operador. Duda: Plan=Y si el scheduling se considera planificación; 'Replaced' vs 'Not discussed'.</t>
        </is>
      </c>
    </row>
    <row r="111">
      <c r="A111" s="69" t="inlineStr">
        <is>
          <t>R0614</t>
        </is>
      </c>
      <c r="B111" s="49" t="inlineStr">
        <is>
          <t>Biller, B. and Biller, S.</t>
        </is>
      </c>
      <c r="C111" s="69" t="n">
        <v>2023</v>
      </c>
      <c r="D111" s="49" t="inlineStr">
        <is>
          <t>Machines</t>
        </is>
      </c>
      <c r="E111" s="69" t="inlineStr">
        <is>
          <t>10.3390/machines11040425</t>
        </is>
      </c>
      <c r="F111" s="69" t="inlineStr">
        <is>
          <t>Conceptual</t>
        </is>
      </c>
      <c r="G111" s="49" t="inlineStr">
        <is>
          <t>Generic/cross-sector (manufacturing; factory and supply chain process twins, examples from semiconductor, battery, healthcare, consumer goods)</t>
        </is>
      </c>
      <c r="H111" s="69" t="inlineStr">
        <is>
          <t>Y</t>
        </is>
      </c>
      <c r="I111" s="69" t="inlineStr">
        <is>
          <t>Y</t>
        </is>
      </c>
      <c r="J111" s="69" t="inlineStr">
        <is>
          <t>Y</t>
        </is>
      </c>
      <c r="K111" s="69" t="inlineStr">
        <is>
          <t>Y</t>
        </is>
      </c>
      <c r="L111" s="69" t="inlineStr">
        <is>
          <t>N</t>
        </is>
      </c>
      <c r="M111" s="69" t="inlineStr">
        <is>
          <t>Y</t>
        </is>
      </c>
      <c r="N111" s="69" t="inlineStr">
        <is>
          <t>Hybrid</t>
        </is>
      </c>
      <c r="O111" s="69" t="inlineStr">
        <is>
          <t>Decision support</t>
        </is>
      </c>
      <c r="P111" s="69" t="inlineStr">
        <is>
          <t>4 Prescriptive-advisory</t>
        </is>
      </c>
      <c r="Q111" s="69" t="inlineStr">
        <is>
          <t>Maintained</t>
        </is>
      </c>
      <c r="R111" s="69" t="inlineStr">
        <is>
          <t>Interpret outputs</t>
        </is>
      </c>
      <c r="S111" s="49" t="inlineStr">
        <is>
          <t>Not discussed explicitly; humans remain recipients of recommendations (plant managers via dashboards/UI) and suppliers of domain expertise and expert opinions; RL agents trained in simulation are deployed to make real-time recommendations (no autonomous execution stated).</t>
        </is>
      </c>
      <c r="T111" s="49" t="inlineStr">
        <is>
          <t>Conceptual framing of process (factory/supply chain) digital twins as evolving, learning systems built on four elements (Data, Domain, Analytics, Outcome) and three functions (offline model development, real-time synchronization, online learning); discrete-event simulation augmented by ML surrogates, RL agents and computer vision describes, predicts and prescribes actions on factory/supply-chain KPIs.</t>
        </is>
      </c>
      <c r="U111" s="49" t="inlineStr">
        <is>
          <t>Key finding: Abstract; Sec. 1 Introduction (four characteristics incl. 'ability to learn and adapt'; 'simulation augmented by machine learning (ML) and reinforcement learning (RL)'); Sec. 2 Foundational Elements (Data, Domain, Analytics, Outcome; Fig. 1; supply chain network paragraph); Sec. 4 Building and Operationalizing Digital Twins (Offline Model Development, Real-Time Synchronization, Online Learning; Fig. 5 closed feedback loop); Sec. 5.1 (Fig. 7 prediction and prescription steps); Sec. 7.3 (ML fit to simulation output, Fig. 10); Sec. 7.4 (RL agents, Fig. 11); Sec. 8 Conclusions. HITL evidence: Abstract ('enable users to replay history ... and identify corrective actions'); Sec. 1 ('guided by domain knowledge'); Sec. 2 (Data element includes experts' opinions; Domain element = domain expertise); Sec. 4 ('offer decision support for optimal performance'; 'actions that are recommended to control the factory floor'; input models built from domain expertise); Sec. 5.1 (plant manager focuses on key risk drivers; 'prescription including dashboard visualization'); Sec. 5.5 ('explainable analytics'); Sec. 6 (criterion 10 business user experience: plant managers' easy-to-interpret UI); Sec. 7.4 (RL agents 'make real-time recommendations'); Sec. 7.5 (data model requires expertise; coordination with all stakeholders). No page numbers visible (article number 425, HTML version).</t>
        </is>
      </c>
      <c r="V111" s="69" t="inlineStr">
        <is>
          <t>Y</t>
        </is>
      </c>
      <c r="W111" s="49" t="inlineStr">
        <is>
          <t>FT 2026-09-06: Incluido: artículo conceptual cuyo objeto es el gemelo de proceso (fábrica/cadena) que aprende, con simulación de eventos discretos, ML (metamodelo), RL (agentes de control) y visión por computador. Dudas: foco en el gemelo de fábrica (el de cadena solo se esboza: Source/end_to_end débiles); rol humano implícito (recomendaciones al gerente de planta), no discutido; nivel 4 vs 5 por lazo cerrado. | FT 2026-09-06: Incluido: artículo conceptual cuyo objeto es el gemelo de proceso (fábrica/cadena) que aprende, con simulación de eventos discretos, ML (metamodelo), RL (agentes de control) y visión por computador. Dudas: foco en el gemelo de fábrica (el de cadena solo se esboza: Source/end_to_end débiles); rol humano implícito (recomendaciones al gerente de planta), no discutido; nivel 4 vs 5 por lazo cerrado. | FT 2026-09-06: Incluido: artículo conceptual cuyo objeto es el gemelo de proceso (fábrica/cadena) que aprende, con simulación de eventos discretos, ML (metamodelo), RL (agentes de control) y visión por computador. Dudas: foco en el gemelo de fábrica (el de cadena solo se esboza: Source/end_to_end débiles); rol humano implícito (recomendaciones al gerente de planta), no discutido; nivel 4 vs 5 por lazo cerrado. | FT 2026-09-06: Incluido: artículo conceptual cuyo objeto es el gemelo de proceso (fábrica/cadena) que aprende, con simulación de eventos discretos, ML (metamodelo), RL (agentes de control) y visión por computador. Dudas: foco en el gemelo de fábrica (el de cadena solo se esboza: Source/end_to_end débiles); rol humano implícito (recomendaciones al gerente de planta), no discutido; nivel 4 vs 5 por lazo cerrado.</t>
        </is>
      </c>
    </row>
    <row r="112">
      <c r="A112" s="69" t="inlineStr">
        <is>
          <t>R0621</t>
        </is>
      </c>
      <c r="B112" s="49" t="inlineStr">
        <is>
          <t>Melesse, T.Y., Bollo, M., Di Pasquale, V. and Riemma, S.</t>
        </is>
      </c>
      <c r="C112" s="69" t="n">
        <v>2022</v>
      </c>
      <c r="D112" s="49" t="inlineStr">
        <is>
          <t>IFAC-PapersOnLine</t>
        </is>
      </c>
      <c r="E112" s="69" t="inlineStr">
        <is>
          <t>10.1016/j.ifacol.2022.10.134</t>
        </is>
      </c>
      <c r="F112" s="69" t="inlineStr">
        <is>
          <t>Empirical case</t>
        </is>
      </c>
      <c r="G112" s="49" t="inlineStr">
        <is>
          <t>Food/cold chain (non-profit food bank, fresh fruit)</t>
        </is>
      </c>
      <c r="H112" s="69" t="inlineStr">
        <is>
          <t>Y</t>
        </is>
      </c>
      <c r="I112" s="69" t="inlineStr">
        <is>
          <t>Y</t>
        </is>
      </c>
      <c r="J112" s="69" t="inlineStr">
        <is>
          <t>N</t>
        </is>
      </c>
      <c r="K112" s="69" t="inlineStr">
        <is>
          <t>Y</t>
        </is>
      </c>
      <c r="L112" s="69" t="inlineStr">
        <is>
          <t>N</t>
        </is>
      </c>
      <c r="M112" s="69" t="inlineStr">
        <is>
          <t>N</t>
        </is>
      </c>
      <c r="N112" s="69" t="inlineStr">
        <is>
          <t>Other</t>
        </is>
      </c>
      <c r="O112" s="69" t="inlineStr">
        <is>
          <t>Forecasting/estimation</t>
        </is>
      </c>
      <c r="P112" s="69" t="inlineStr">
        <is>
          <t>3 Predictive</t>
        </is>
      </c>
      <c r="Q112" s="69" t="inlineStr">
        <is>
          <t>Maintained</t>
        </is>
      </c>
      <c r="R112" s="69" t="inlineStr">
        <is>
          <t>Interpret outputs</t>
        </is>
      </c>
      <c r="S112" s="49" t="inlineStr">
        <is>
          <t>When forecast donations exceed outbound demand or refrigerated storage is unavailable, operators reschedule immediate deliveries to charities; for anomalous events they run what-if scenarios on key influencers to design and evaluate action plans.</t>
        </is>
      </c>
      <c r="T112" s="49" t="inlineStr">
        <is>
          <t>A time-series forecasting model in SAP Analytics Cloud (Smart Predict) on the food bank's historical donation and distribution data is framed as a continuously updated digital twin that predicts inbound donations and charity demand, letting operators reschedule deliveries and run what-if scenarios to cut fruit waste; no accuracy metrics reported.</t>
        </is>
      </c>
      <c r="U112" s="49" t="inlineStr">
        <is>
          <t>Key finding: Section 3 Proposed approach (PDF page 3 / p. 2745: SAP Analytics Cloud, 'forecast algorithm', 75%/25% estimate-validation split, best model selected by validation error, 'Smart Predict'); Section 4 Case study (PDF page 4 / p. 2746: 'The model was created and trained in the SAP Analytics Cloud using historical data from the food bank', Figures 6-8 forecasts; PDF page 5 / p. 2747: Figure 9 what-if simulation of key influencers, Figure 10 storyboard); Section 5 Conclusions (PDF page 5 / p. 2747). HITL evidence: Section 4 (PDF page 3 / p. 2745: 'make it easier for food bank operators to reschedule incoming and outgoing logistics'; PDF page 4 / p. 2746: 'Based on the forecast, the food bank can reschedule and perform quick modifications to the inventory', 'enable the food bank to take a proactive approach'; PDF pages 4-5 / pp. 2746-2747: rescheduling 'according to the predictive forecast', what-if scenarios to 'design action plans ... and evaluate those plans').</t>
        </is>
      </c>
      <c r="V112" s="69" t="inlineStr">
        <is>
          <t>Y</t>
        </is>
      </c>
      <c r="W112" s="49" t="inlineStr">
        <is>
          <t>FT 2026-09-06: Incluido: gemelo = pronóstico de series temporales en SAP Analytics Cloud (Smart Predict, partición 75/25, selección automática de modelo; algoritmo no nombrado) con datos históricos reales del banco de alimentos; los operadores deciden reprogramaciones según pronóstico y escenarios what-if. Dudas: ai_technique 'Other' vs 'Classical ML'; hitl_role 'Maintained' vs 'Elevated'; sin métricas de precisión; ¿gemelo o tablero predictivo? | FT 2026-09-06: Incluido: gemelo = pronóstico de series temporales en SAP Analytics Cloud (Smart Predict, partición 75/25, selección automática de modelo; algoritmo no nombrado) con datos históricos reales del banco de alimentos; los operadores deciden reprogramaciones según pronóstico y escenarios what-if. Dudas: ai_technique 'Other' vs 'Classical ML'; hitl_role 'Maintained' vs 'Elevated'; sin métricas de precisión; ¿gemelo o tablero predictivo? | FT 2026-09-06: Incluido: gemelo = pronóstico de series temporales en SAP Analytics Cloud (Smart Predict, partición 75/25, selección automática de modelo; algoritmo no nombrado) con datos históricos reales del banco de alimentos; los operadores deciden reprogramaciones según pronóstico y escenarios what-if. Dudas: ai_technique 'Other' vs 'Classical ML'; hitl_role 'Maintained' vs 'Elevated'; sin métricas de precisión; ¿gemelo o tablero predictivo? | FT 2026-09-06: Incluido: gemelo = pronóstico de series temporales en SAP Analytics Cloud (Smart Predict, partición 75/25, selección automática de modelo; algoritmo no nombrado) con datos históricos reales del banco de alimentos; los operadores deciden reprogramaciones según pronóstico y escenarios what-if. Dudas: ai_technique 'Other' vs 'Classical ML'; hitl_role 'Maintained' vs 'Elevated'; sin métricas de precisión; ¿gemelo o tablero predictivo?</t>
        </is>
      </c>
    </row>
    <row r="113">
      <c r="A113" s="69" t="inlineStr">
        <is>
          <t>R0629</t>
        </is>
      </c>
      <c r="B113" s="49" t="inlineStr">
        <is>
          <t>Shi, L., Yan, L., Shuqing, B., Cuobo, Z. and Yuanchong, C.</t>
        </is>
      </c>
      <c r="C113" s="69" t="n">
        <v>2021</v>
      </c>
      <c r="D113" s="49" t="inlineStr">
        <is>
          <t>Journal of Physics: Conference Series</t>
        </is>
      </c>
      <c r="E113" s="69" t="inlineStr">
        <is>
          <t>10.1088/1742-6596/1756/1/012011</t>
        </is>
      </c>
      <c r="F113" s="69" t="inlineStr">
        <is>
          <t>Empirical case</t>
        </is>
      </c>
      <c r="G113" s="49" t="inlineStr">
        <is>
          <t>Aerospace</t>
        </is>
      </c>
      <c r="H113" s="69" t="inlineStr">
        <is>
          <t>Y</t>
        </is>
      </c>
      <c r="I113" s="69" t="inlineStr">
        <is>
          <t>N</t>
        </is>
      </c>
      <c r="J113" s="69" t="inlineStr">
        <is>
          <t>Y</t>
        </is>
      </c>
      <c r="K113" s="69" t="inlineStr">
        <is>
          <t>N</t>
        </is>
      </c>
      <c r="L113" s="69" t="inlineStr">
        <is>
          <t>N</t>
        </is>
      </c>
      <c r="M113" s="69" t="inlineStr">
        <is>
          <t>N</t>
        </is>
      </c>
      <c r="N113" s="69" t="inlineStr">
        <is>
          <t>Other</t>
        </is>
      </c>
      <c r="O113" s="69" t="inlineStr">
        <is>
          <t>Optimisation</t>
        </is>
      </c>
      <c r="P113" s="69" t="inlineStr">
        <is>
          <t>5 Prescriptive-autonomous</t>
        </is>
      </c>
      <c r="Q113" s="69" t="inlineStr">
        <is>
          <t>Reduced</t>
        </is>
      </c>
      <c r="R113" s="69" t="inlineStr">
        <is>
          <t>Interpret outputs</t>
        </is>
      </c>
      <c r="S113" s="49" t="inlineStr">
        <is>
          <t>No explicit conditions stated; manual operation is displaced where automatic assembly stations and automatic material distribution are introduced to raise efficiency and quality conformance, while humans keep visual monitoring, upstream process-plan approval and dispatching.</t>
        </is>
      </c>
      <c r="T113" s="49" t="inlineStr">
        <is>
          <t>A three-layer (hardware/software/application) digital-twin assembly platform for aerospace mixed-line production couples a workshop-level twin (plan, logistics and quality optimization via data mining) with a line-level twin (fuzzy-reasoning model matching driving equipment monitoring, path and inventory optimization); optimized information is fed back automatically to the shop floor.</t>
        </is>
      </c>
      <c r="U113" s="49" t="inlineStr">
        <is>
          <t>Sec. 2.1 items (1)-(3) (PDF p.3 / printed p.2); Sec. 2.2 System architecture, Application layer + Fig. 1 (PDF p.3-4 / printed p.2-3); Sec. 3.1 Visual monitoring mode (PDF p.3-4 / printed p.2-3); Sec. 3.2 Analysis, control and decision-making mode + Figs. 2-3 (PDF p.4-5 / printed p.3-4); Sec. 4 Application verification + Fig. 4 (PDF p.6 / printed p.5); Sec. 5 Conclusion (PDF p.6 / printed p.5)</t>
        </is>
      </c>
      <c r="V113" s="69" t="inlineStr">
        <is>
          <t>N</t>
        </is>
      </c>
      <c r="W113" s="49" t="inlineStr">
        <is>
          <t>FT 2026-09-06: Incluido: gemelo digital implantado de taller y linea de montaje aeroespacial con logistica interna (distribucion automatica, almacen, rutas, inventario). Duda: la IA es debil y no es de aprendizaje: solo 'data mining' y 'fuzzy reasoning rules' mas bases de conocimiento; la 'optimizacion de dos niveles' no nombra algoritmo ni da resultados. Rol humano nunca discutido. Verificar si basta. | FT 2026-09-06: Incluido: gemelo digital implantado de taller y linea de montaje aeroespacial con logistica interna (distribucion automatica, almacen, rutas, inventario). Duda: la IA es debil y no es de aprendizaje: solo 'data mining' y 'fuzzy reasoning rules' mas bases de conocimiento; la 'optimizacion de dos niveles' no nombra algoritmo ni da resultados. Rol humano nunca discutido. Verificar si basta. | TA: Make-annotated production/shop-floor twin with supply chain framing</t>
        </is>
      </c>
    </row>
    <row r="114">
      <c r="A114" s="69" t="inlineStr">
        <is>
          <t>R0639</t>
        </is>
      </c>
      <c r="B114" s="49" t="inlineStr">
        <is>
          <t>Gao, D. and Zhao, H.</t>
        </is>
      </c>
      <c r="C114" s="69" t="n">
        <v>2026</v>
      </c>
      <c r="D114" s="49" t="inlineStr">
        <is>
          <t>International Journal of Knowledge Management</t>
        </is>
      </c>
      <c r="E114" s="69" t="inlineStr">
        <is>
          <t>10.4018/ijkm.402393</t>
        </is>
      </c>
      <c r="F114" s="69" t="inlineStr">
        <is>
          <t>Simulation/synthetic</t>
        </is>
      </c>
      <c r="G114" s="49" t="inlineStr">
        <is>
          <t>Generic/cross-sector</t>
        </is>
      </c>
      <c r="H114" s="69" t="inlineStr">
        <is>
          <t>Y</t>
        </is>
      </c>
      <c r="I114" s="69" t="inlineStr">
        <is>
          <t>Y</t>
        </is>
      </c>
      <c r="J114" s="69" t="inlineStr">
        <is>
          <t>N</t>
        </is>
      </c>
      <c r="K114" s="69" t="inlineStr">
        <is>
          <t>Y</t>
        </is>
      </c>
      <c r="L114" s="69" t="inlineStr">
        <is>
          <t>N</t>
        </is>
      </c>
      <c r="M114" s="69" t="inlineStr">
        <is>
          <t>Y</t>
        </is>
      </c>
      <c r="N114" s="69" t="inlineStr">
        <is>
          <t>Hybrid</t>
        </is>
      </c>
      <c r="O114" s="69" t="inlineStr">
        <is>
          <t>Forecasting/estimation</t>
        </is>
      </c>
      <c r="P114" s="69" t="inlineStr">
        <is>
          <t>4 Prescriptive-advisory</t>
        </is>
      </c>
      <c r="Q114" s="69" t="inlineStr">
        <is>
          <t>Maintained</t>
        </is>
      </c>
      <c r="R114" s="69" t="inlineStr">
        <is>
          <t>Interpret outputs</t>
        </is>
      </c>
      <c r="S114" s="49" t="inlineStr">
        <is>
          <t>Human involvement depends on interpretable, attributed risk scores and twin outcomes reported in managerial terms; adoption is incremental as data integration and analytics maturity increase, with decisions staying with managers rather than models.</t>
        </is>
      </c>
      <c r="T114" s="49" t="inlineStr">
        <is>
          <t>Three-layer framework (ML/DL risk scoring, digital-twin scenario testing, performance linkage) on a synthetic MNC panel: Federated GCN gave the best disruption prediction (AUC 0.94); twin scenarios showed cross-border diversity, digitalization and ESG dampened climate-shock losses and cut recovery from eight to five months.</t>
        </is>
      </c>
      <c r="U114" s="49" t="inlineStr">
        <is>
          <t>Methodology &gt; Analytical Framework &gt; Prescriptive Layer: Optimisation and Digital Twins; Methodology &gt; Translating Predictions Into Implementable Action; Methodology &gt; Dataset Construction (Sample and Period); Results &gt; Predictive Model Performance (Table 3); Results &gt; Scenario Simulations (Table 4, Figure 2); Discussion &gt; Interpretation of Results Through the Knowledge Framework (HTML full text, no page numbers)</t>
        </is>
      </c>
      <c r="V114" s="69" t="inlineStr">
        <is>
          <t>Y</t>
        </is>
      </c>
      <c r="W114" s="49" t="inlineStr">
        <is>
          <t>FT 2026-09-06: Incluido: el gemelo digital se construye y ejecuta ('A digital twin was created for each corporation'), con resultados propios (Tabla 4, Figura 2) y el indice de resiliencia derivado de el. Duda para Rodrigo: todo es sintetico, sin sistema real ni arquitectura del gemelo; si exiges contraparte fisica, excluir por 'No digital twin / digital model'. | FT 2026-09-06: Incluido: el gemelo digital se construye y ejecuta ('A digital twin was created for each corporation'), con resultados propios (Tabla 4, Figura 2) y el indice de resiliencia derivado de el. Duda para Rodrigo: todo es sintetico, sin sistema real ni arquitectura del gemelo; si exiges contraparte fisica, excluir por 'No digital twin / digital model'. | TA flag: gemelo enunciado como mecanismo ("translated into resilience strategies through optimization and digital-twin simulations") sobre datos simulados; el texto completo decide.</t>
        </is>
      </c>
    </row>
    <row r="115">
      <c r="A115" s="69" t="inlineStr">
        <is>
          <t>R0643</t>
        </is>
      </c>
      <c r="B115" s="49" t="inlineStr">
        <is>
          <t>Sontakke, P., Chandre, P., Dhotre, P. and Pathak, G.</t>
        </is>
      </c>
      <c r="C115" s="69" t="n">
        <v>2026</v>
      </c>
      <c r="D115" s="49" t="inlineStr">
        <is>
          <t>Lecture Notes in Networks and Systems</t>
        </is>
      </c>
      <c r="E115" s="69" t="inlineStr">
        <is>
          <t>10.1007/978-3-032-13003-7_15</t>
        </is>
      </c>
      <c r="F115" s="69" t="n"/>
      <c r="G115" s="69" t="n"/>
      <c r="H115" s="69" t="n"/>
      <c r="I115" s="69" t="n"/>
      <c r="J115" s="69" t="n"/>
      <c r="K115" s="69" t="n"/>
      <c r="L115" s="69" t="n"/>
      <c r="M115" s="69" t="n"/>
      <c r="N115" s="69" t="n"/>
      <c r="O115" s="69" t="n"/>
      <c r="P115" s="69" t="n"/>
      <c r="Q115" s="69" t="n"/>
      <c r="R115" s="69" t="n"/>
      <c r="S115" s="49" t="n"/>
      <c r="T115" s="49" t="n"/>
      <c r="U115" s="69" t="n"/>
      <c r="V115" s="69" t="n"/>
      <c r="W115" s="49" t="inlineStr">
        <is>
          <t>FT: NOT RETRIEVED. Texto completo no accesible. Con el proxy de Hull la pagina de Springer solo muestra el resumen y "This is a preview of subscription content": Hull no tiene suscripcion. OpenAlex: is_oa false, oa_status closed, sin oa_url. Semantic Scholar: DOI no encontrado (404). Google Scholar: unico resultado sin enlace [PDF]. No hay copia abierta; se necesita descarga manual.</t>
        </is>
      </c>
    </row>
    <row r="116">
      <c r="A116" s="69" t="inlineStr">
        <is>
          <t>R0663</t>
        </is>
      </c>
      <c r="B116" s="49" t="inlineStr">
        <is>
          <t>Lu, X., Lin, Y., Ng, H. and Liu, Y.</t>
        </is>
      </c>
      <c r="C116" s="69" t="n">
        <v>2025</v>
      </c>
      <c r="D116" s="49" t="inlineStr">
        <is>
          <t>Proceedings - Winter Simulation Conference</t>
        </is>
      </c>
      <c r="E116" s="69" t="inlineStr">
        <is>
          <t>10.1109/wsc68292.2025.11339053</t>
        </is>
      </c>
      <c r="F116" s="69" t="inlineStr">
        <is>
          <t>Empirical case</t>
        </is>
      </c>
      <c r="G116" s="49" t="inlineStr">
        <is>
          <t>Retail (Amazon e-commerce retail supply chain: vendors, purchase orders, fulfilment warehouses, customer outbound)</t>
        </is>
      </c>
      <c r="H116" s="69" t="inlineStr">
        <is>
          <t>Y</t>
        </is>
      </c>
      <c r="I116" s="69" t="inlineStr">
        <is>
          <t>Y</t>
        </is>
      </c>
      <c r="J116" s="69" t="inlineStr">
        <is>
          <t>N</t>
        </is>
      </c>
      <c r="K116" s="69" t="inlineStr">
        <is>
          <t>Y</t>
        </is>
      </c>
      <c r="L116" s="69" t="inlineStr">
        <is>
          <t>N</t>
        </is>
      </c>
      <c r="M116" s="69" t="inlineStr">
        <is>
          <t>Y</t>
        </is>
      </c>
      <c r="N116" s="69" t="inlineStr">
        <is>
          <t>Classical ML</t>
        </is>
      </c>
      <c r="O116" s="69" t="inlineStr">
        <is>
          <t>Simulation surrogate</t>
        </is>
      </c>
      <c r="P116" s="69" t="inlineStr">
        <is>
          <t>3 Predictive</t>
        </is>
      </c>
      <c r="Q116" s="69" t="inlineStr">
        <is>
          <t>Maintained</t>
        </is>
      </c>
      <c r="R116" s="69" t="inlineStr">
        <is>
          <t>Interpret outputs</t>
        </is>
      </c>
      <c r="S116" s="49" t="inlineStr">
        <is>
          <t>Not explicitly discussed; implicitly, ML emulators are accepted only when explainable (monotonic input-output relations matching business intuition) to earn stakeholder trust; users choose models by accuracy/explainability/speed and define interventions, keeping decisions outside the simulator.</t>
        </is>
      </c>
      <c r="T116" s="49" t="inlineStr">
        <is>
          <t>SEmulate replaces the computationally expensive OR order-placing optimisation inside Amazon's digital-twin supply chain simulator with monotonic XGBoost emulators plus ML vendor fill-rate predictors, keeping physics-based inbound/outbound logic; runtime falls ~90% (orders of magnitude) with ~3% accuracy loss, enabling rapid, interpretable counterfactual experimentation for decision-makers.</t>
        </is>
      </c>
      <c r="U116" s="49" t="inlineStr">
        <is>
          <t>Key finding: Abstract (p. 462); Section 2 Overview of SEmulate (pp. 463-465, Figure 1 causal flow: order placing, procurement, inbound, outbound, supply update); Section 3.1 Order Placing Module (p. 466, Table 1 model choices) and 3.1.1-3.1.2 (p. 467, monotonic XgBoost TIP/OQ models); 3.2 Procurement Model (pp. 467-468, ML fill-rate predictor); 4.5 Amazon's Supply Chain Simulation (p. 472, Table 2: -3% accuracy, -90% runtime, +2 use cases); Section 5 Conclusion (p. 472, optimisation left as future work). Twin/validation evidence: Abstract and Section 1 (pp. 462-463, 'digital-twin based simulator' integrating production systems); 4.5 (p. 472, simulated inbound volume compared against real-world volume). HITL evidence: Section 1 (p. 463, explainability needed to earn stakeholder trust); Section 2 end (p. 466, desktop platform for users to test interventions); Section 3.1 (p. 466, explainability must align with business intuition; users specify model choice); 4.1 (p. 469, business adjusts labour planning and capacity control from estimated impacts).</t>
        </is>
      </c>
      <c r="V116" s="69" t="inlineStr">
        <is>
          <t>Y</t>
        </is>
      </c>
      <c r="W116" s="49" t="inlineStr">
        <is>
          <t>FT 2026-09-06: Incluido: modelo digital operativo de la cadena minorista de Amazon (pedidos→proveedores→inbound→outbound) con emuladores ML (XGBoost monotónico, GP), validado contra volumen real (§4.5; ejemplos §4.1-4.4 sintéticos). Duda: los autores llaman 'digital-twin' al simulador base, no a SEmulate ('simulador híbrido'). HITL implícito: interpretabilidad para stakeholders, usuarios eligen modelos e intervenciones; decisiones externas. Alternativa hitl_role: Elevated. | FT 2026-09-06: Incluido: modelo digital operativo de la cadena minorista de Amazon (pedidos→proveedores→inbound→outbound) con emuladores ML (XGBoost monotónico, GP), validado contra volumen real (§4.5; ejemplos §4.1-4.4 sintéticos). Duda: los autores llaman 'digital-twin' al simulador base, no a SEmulate ('simulador híbrido'). HITL implícito: interpretabilidad para stakeholders, usuarios eligen modelos e intervenciones; decisiones externas. Alternativa hitl_role: Elevated. | TA flag: objeto = simulador gemelo de cadena acelerado con emulación por ML; verificar que el simulador se conserve como gemelo.</t>
        </is>
      </c>
    </row>
    <row r="117">
      <c r="A117" s="69" t="inlineStr">
        <is>
          <t>R0664</t>
        </is>
      </c>
      <c r="B117" s="49" t="inlineStr">
        <is>
          <t>Dolgui, A. and Ivanov, D.</t>
        </is>
      </c>
      <c r="C117" s="69" t="n">
        <v>2025</v>
      </c>
      <c r="D117" s="49" t="inlineStr">
        <is>
          <t>International Journal of Production Research</t>
        </is>
      </c>
      <c r="E117" s="69" t="inlineStr">
        <is>
          <t>10.1080/00207543.2024.2372008</t>
        </is>
      </c>
      <c r="F117" s="69" t="n"/>
      <c r="G117" s="69" t="n"/>
      <c r="H117" s="69" t="n"/>
      <c r="I117" s="69" t="n"/>
      <c r="J117" s="69" t="n"/>
      <c r="K117" s="69" t="n"/>
      <c r="L117" s="69" t="n"/>
      <c r="M117" s="69" t="n"/>
      <c r="N117" s="69" t="n"/>
      <c r="O117" s="69" t="n"/>
      <c r="P117" s="69" t="n"/>
      <c r="Q117" s="69" t="n"/>
      <c r="R117" s="69" t="n"/>
      <c r="S117" s="49" t="n"/>
      <c r="T117" s="49" t="n"/>
      <c r="U117" s="69" t="n"/>
      <c r="V117" s="69" t="n"/>
      <c r="W117" s="49" t="inlineStr">
        <is>
          <t>FT: EXCLUDED - No AI/ML component. Excluir (propuesta): position paper sin implementación; IA solo como habilitador enumerado en el nivel 3 del gemelo (‘AI and generative AI’) y agenda futura, sin método ni mecanismo; gemelo como lente, no objeto. Duda: Secc. 4 atribuye a IA generativa predicción/optimización/anomalías y DSS autoaprendientes (iDT, cf. R0309); si constitutiva: Conceptual, Other, Decision support, nivel 3-4, HITL Elevated (alt. Maintained)/Interpret outputs.</t>
        </is>
      </c>
    </row>
    <row r="118">
      <c r="A118" s="69" t="inlineStr">
        <is>
          <t>R0674</t>
        </is>
      </c>
      <c r="B118" s="49" t="inlineStr">
        <is>
          <t>Ashraf, M., Eltawil, A. and Ali, I.</t>
        </is>
      </c>
      <c r="C118" s="69" t="n">
        <v>2024</v>
      </c>
      <c r="D118" s="49" t="inlineStr">
        <is>
          <t>Operational Research</t>
        </is>
      </c>
      <c r="E118" s="69" t="inlineStr">
        <is>
          <t>10.1007/s12351-024-00831-y</t>
        </is>
      </c>
      <c r="F118" s="69" t="inlineStr">
        <is>
          <t>Simulation/synthetic</t>
        </is>
      </c>
      <c r="G118" s="49" t="inlineStr">
        <is>
          <t>Generic/cross-sector</t>
        </is>
      </c>
      <c r="H118" s="69" t="inlineStr">
        <is>
          <t>Y</t>
        </is>
      </c>
      <c r="I118" s="69" t="inlineStr">
        <is>
          <t>Y</t>
        </is>
      </c>
      <c r="J118" s="69" t="inlineStr">
        <is>
          <t>Y</t>
        </is>
      </c>
      <c r="K118" s="69" t="inlineStr">
        <is>
          <t>Y</t>
        </is>
      </c>
      <c r="L118" s="69" t="inlineStr">
        <is>
          <t>N</t>
        </is>
      </c>
      <c r="M118" s="69" t="inlineStr">
        <is>
          <t>Y</t>
        </is>
      </c>
      <c r="N118" s="69" t="inlineStr">
        <is>
          <t>Hybrid</t>
        </is>
      </c>
      <c r="O118" s="69" t="inlineStr">
        <is>
          <t>Anomaly detection; Forecasting/estimation</t>
        </is>
      </c>
      <c r="P118" s="69" t="inlineStr">
        <is>
          <t>3 Predictive</t>
        </is>
      </c>
      <c r="Q118" s="69" t="inlineStr">
        <is>
          <t>Maintained</t>
        </is>
      </c>
      <c r="R118" s="69" t="inlineStr">
        <is>
          <t>Interpret outputs; Set objectives/constraints</t>
        </is>
      </c>
      <c r="S118" s="49" t="inlineStr">
        <is>
          <t>Decision-maker sets the detection-model sensitivity (nu) trading detection delay against false alarms within acceptable performance limits, and acts on detection, disrupted-echelon and TTR outputs to deploy recovery policies; no approval loop; optimisation engine left as future work.</t>
        </is>
      </c>
      <c r="T118" s="49" t="inlineStr">
        <is>
          <t>CDSCT framework whose disruption-detection module (deep autoencoder + OCSVM) reached 97.6% recall, 2.5% false alarms and 7.1-day mean detection lag on a simulated make-to-order three-echelon supply chain; LSTM models identify the disrupted echelon and predict time-to-recovery; outputs inform human decision-makers, who deploy recovery policies and choose the sensitivity/false-alarm trade-off.</t>
        </is>
      </c>
      <c r="U118" s="49" t="inlineStr">
        <is>
          <t>Key finding: Abstract; Sect. 3 Problem statement (Fig. 1a operational phase, Fig. 1b training phase of the CDSCT); Sect. 5 System implementation and 5.1 (AnyLogic 8.7 DES, supplier-manufacturer-distributor plus demand); Sect. 5.2 (Fig. 5, disruption detection module); Sect. 6.2 (Table 2, Fig. 9: recall 97.6%, false alarms 2.5%, mean lag 7.1 days); Sect. 6.3-6.4 (Tables 3-4); Sect. 8 Conclusion. HITL: Abstract; Sect. 1 (decision-makers deploy recovery policies); Sect. 5.2.2 and 6.2 (decision-maker chooses the nu trade-off between lag and false alarms); Sect. 7 Managerial implications; Sect. 8 (optimisation engine and real-world case listed as future work). No page numbers visible (HTML, article number 23).</t>
        </is>
      </c>
      <c r="V118" s="69" t="inlineStr">
        <is>
          <t>Y</t>
        </is>
      </c>
      <c r="W118" s="49" t="inlineStr">
        <is>
          <t>FT 2026-09-06: Incluido: CDSCT con arquitectura explícita (Fig. 1a/b: datos en tiempo real → autoencoder+OCSVM detecta → LSTM identifica escalón y predice TTR); tres escalones; ML ejecutado. Humano (implícito): decisor externo que interpreta salidas y fija la sensibilidad (nu); sin aprobación. Dudas: el 'sistema físico' es simulación AnyLogic (sin caso real); Plan=Y discutible (gestión de riesgo); nivel 2 vs 3. | FT 2026-09-06: Incluido: CDSCT con arquitectura explícita (Fig. 1a/b: datos en tiempo real → autoencoder+OCSVM detecta → LSTM identifica escalón y predice TTR); tres escalones; ML ejecutado. Humano (implícito): decisor externo que interpreta salidas y fija la sensibilidad (nu); sin aprobación. Dudas: el 'sistema físico' es simulación AnyLogic (sin caso real); Plan=Y discutible (gestión de riesgo); nivel 2 vs 3.</t>
        </is>
      </c>
    </row>
  </sheetData>
  <autoFilter ref="A1:W118"/>
  <dataValidations count="7">
    <dataValidation sqref="H2:M1000 V2:V1000" showDropDown="0" showInputMessage="0" showErrorMessage="0" allowBlank="1" type="list" errorStyle="stop" operator="between">
      <formula1>"Y,N"</formula1>
      <formula2>0</formula2>
    </dataValidation>
    <dataValidation sqref="F2:F1000" showDropDown="0" showInputMessage="0" showErrorMessage="0" allowBlank="1" type="list" errorStyle="stop" operator="between">
      <formula1>"Conceptual,Review,Simulation/synthetic,Empirical case,Empirical data"</formula1>
      <formula2>0</formula2>
    </dataValidation>
    <dataValidation sqref="N2:N1000" showDropDown="0" showInputMessage="0" showErrorMessage="0" allowBlank="1" type="list" errorStyle="stop" operator="between">
      <formula1>"RNN/LSTM/GRU,Other deep learning,Classical ML,Metaheuristic/evolutionary,Reinforcement learning,Hybrid,LLM/agent,Other"</formula1>
      <formula2>0</formula2>
    </dataValidation>
    <dataValidation sqref="O2:O1000" showDropDown="0" showInputMessage="0" showErrorMessage="0" allowBlank="1" type="list" errorStyle="stop" operator="between">
      <formula1>"Forecasting/estimation,Optimisation,Anomaly detection,Simulation surrogate,Control,Decision support,Other"</formula1>
      <formula2>0</formula2>
    </dataValidation>
    <dataValidation sqref="P2:P1000" showDropDown="0" showInputMessage="0" showErrorMessage="0" allowBlank="1" type="list" errorStyle="stop" operator="between">
      <formula1>"1 Descriptive,2 Diagnostic,3 Predictive,4 Prescriptive-advisory,5 Prescriptive-autonomous"</formula1>
      <formula2>0</formula2>
    </dataValidation>
    <dataValidation sqref="Q2:Q1000" showDropDown="0" showInputMessage="0" showErrorMessage="0" allowBlank="1" type="list" errorStyle="stop" operator="between">
      <formula1>"Elevated,Maintained,Reduced,Replaced,Not discussed"</formula1>
      <formula2>0</formula2>
    </dataValidation>
    <dataValidation sqref="R2:R1000" showDropDown="0" showInputMessage="0" showErrorMessage="0" allowBlank="1" type="list" errorStyle="stop" operator="between">
      <formula1>"Approve/override,Set objectives/constraints,Handle exceptions,Provide data/labels,Interpret outputs,None,Not discussed"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7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26" customWidth="1" style="16" min="2" max="2"/>
    <col width="90" customWidth="1" style="16" min="3" max="3"/>
  </cols>
  <sheetData>
    <row r="1" ht="15" customHeight="1" s="17">
      <c r="A1" s="25" t="inlineStr">
        <is>
          <t>Field</t>
        </is>
      </c>
      <c r="B1" s="25" t="inlineStr">
        <is>
          <t>Value</t>
        </is>
      </c>
      <c r="C1" s="25" t="inlineStr">
        <is>
          <t>Definition / decision rule</t>
        </is>
      </c>
    </row>
    <row r="2" ht="34.5" customHeight="1" s="17">
      <c r="A2" s="27" t="inlineStr">
        <is>
          <t>Inclusion rule</t>
        </is>
      </c>
      <c r="B2" s="27" t="inlineStr">
        <is>
          <t>All three required</t>
        </is>
      </c>
      <c r="C2" s="27" t="inlineStr">
        <is>
          <t>The paper must (1) apply or propose an AI/ML method, (2) situate it in a digital twin or synchronised digital model of operations, and (3) address a supply chain or logistics context. Absence of any one is grounds for exclusion.</t>
        </is>
      </c>
    </row>
    <row r="3" ht="23.25" customHeight="1" s="17">
      <c r="A3" s="27" t="inlineStr">
        <is>
          <t>Decision rule: Make-only twins</t>
        </is>
      </c>
      <c r="B3" s="27" t="inlineStr">
        <is>
          <t>Confirm with author</t>
        </is>
      </c>
      <c r="C3" s="27" t="inlineStr">
        <is>
          <t>A shop-floor twin with no supply chain framing is excluded. A production twin framed within supply chain planning or intra-plant logistics is included under SCOR Make.</t>
        </is>
      </c>
    </row>
    <row r="4" ht="23.25" customHeight="1" s="17">
      <c r="A4" s="27" t="inlineStr">
        <is>
          <t>Pre-flag (auto)</t>
        </is>
      </c>
      <c r="B4" s="27" t="inlineStr">
        <is>
          <t>Advisory only</t>
        </is>
      </c>
      <c r="C4" s="27" t="inlineStr">
        <is>
          <t>Automated keyword heuristics applied to title and abstract to order the screening queue. Every decision is taken by the researcher; flags carry no evidential weight and are not reported as screening outcomes.</t>
        </is>
      </c>
    </row>
    <row r="5" ht="15" customHeight="1" s="17">
      <c r="A5" s="27" t="inlineStr">
        <is>
          <t>Evidence type</t>
        </is>
      </c>
      <c r="B5" s="27" t="inlineStr">
        <is>
          <t>Conceptual</t>
        </is>
      </c>
      <c r="C5" s="27" t="inlineStr">
        <is>
          <t>Framework or architecture proposed without implementation.</t>
        </is>
      </c>
    </row>
    <row r="6" ht="15" customHeight="1" s="17">
      <c r="A6" s="27" t="inlineStr">
        <is>
          <t>Evidence type</t>
        </is>
      </c>
      <c r="B6" s="27" t="inlineStr">
        <is>
          <t>Review</t>
        </is>
      </c>
      <c r="C6" s="27" t="inlineStr">
        <is>
          <t>Literature review or survey.</t>
        </is>
      </c>
    </row>
    <row r="7" ht="15" customHeight="1" s="17">
      <c r="A7" s="27" t="inlineStr">
        <is>
          <t>Evidence type</t>
        </is>
      </c>
      <c r="B7" s="27" t="inlineStr">
        <is>
          <t>Simulation/synthetic</t>
        </is>
      </c>
      <c r="C7" s="27" t="inlineStr">
        <is>
          <t>Implemented and evaluated on generated or simulated data.</t>
        </is>
      </c>
    </row>
    <row r="8" ht="15" customHeight="1" s="17">
      <c r="A8" s="27" t="inlineStr">
        <is>
          <t>Evidence type</t>
        </is>
      </c>
      <c r="B8" s="27" t="inlineStr">
        <is>
          <t>Empirical case</t>
        </is>
      </c>
      <c r="C8" s="27" t="inlineStr">
        <is>
          <t>Applied in a real organisation, qualitative or mixed evidence.</t>
        </is>
      </c>
    </row>
    <row r="9" ht="15" customHeight="1" s="17">
      <c r="A9" s="27" t="inlineStr">
        <is>
          <t>Evidence type</t>
        </is>
      </c>
      <c r="B9" s="27" t="inlineStr">
        <is>
          <t>Empirical data</t>
        </is>
      </c>
      <c r="C9" s="27" t="inlineStr">
        <is>
          <t>Evaluated on real operational data.</t>
        </is>
      </c>
    </row>
    <row r="10" ht="15" customHeight="1" s="17">
      <c r="A10" s="27" t="inlineStr">
        <is>
          <t>Integration extent</t>
        </is>
      </c>
      <c r="B10" s="27" t="inlineStr">
        <is>
          <t>1 Descriptive</t>
        </is>
      </c>
      <c r="C10" s="27" t="inlineStr">
        <is>
          <t>The twin mirrors state; AI limited to representation or monitoring.</t>
        </is>
      </c>
    </row>
    <row r="11" ht="15" customHeight="1" s="17">
      <c r="A11" s="27" t="inlineStr">
        <is>
          <t>Integration extent</t>
        </is>
      </c>
      <c r="B11" s="27" t="inlineStr">
        <is>
          <t>2 Diagnostic</t>
        </is>
      </c>
      <c r="C11" s="27" t="inlineStr">
        <is>
          <t>AI explains deviations or detects anomalies.</t>
        </is>
      </c>
    </row>
    <row r="12" ht="15" customHeight="1" s="17">
      <c r="A12" s="27" t="inlineStr">
        <is>
          <t>Integration extent</t>
        </is>
      </c>
      <c r="B12" s="27" t="inlineStr">
        <is>
          <t>3 Predictive</t>
        </is>
      </c>
      <c r="C12" s="27" t="inlineStr">
        <is>
          <t>AI forecasts states or corrects parameters; decisions remain external.</t>
        </is>
      </c>
    </row>
    <row r="13" ht="15" customHeight="1" s="17">
      <c r="A13" s="27" t="inlineStr">
        <is>
          <t>Integration extent</t>
        </is>
      </c>
      <c r="B13" s="27" t="inlineStr">
        <is>
          <t>4 Prescriptive-advisory</t>
        </is>
      </c>
      <c r="C13" s="27" t="inlineStr">
        <is>
          <t>AI or optimisation proposes decisions; a human approves or selects.</t>
        </is>
      </c>
    </row>
    <row r="14" ht="15" customHeight="1" s="17">
      <c r="A14" s="27" t="inlineStr">
        <is>
          <t>Integration extent</t>
        </is>
      </c>
      <c r="B14" s="27" t="inlineStr">
        <is>
          <t>5 Prescriptive-autonomous</t>
        </is>
      </c>
      <c r="C14" s="27" t="inlineStr">
        <is>
          <t>The system executes decisions without human approval in the loop.</t>
        </is>
      </c>
    </row>
    <row r="15" ht="15" customHeight="1" s="17">
      <c r="A15" s="27" t="inlineStr">
        <is>
          <t>HITL role</t>
        </is>
      </c>
      <c r="B15" s="27" t="inlineStr">
        <is>
          <t>Elevated</t>
        </is>
      </c>
      <c r="C15" s="27" t="inlineStr">
        <is>
          <t>The human role grows in scope or authority as AI is integrated.</t>
        </is>
      </c>
    </row>
    <row r="16" ht="15" customHeight="1" s="17">
      <c r="A16" s="27" t="inlineStr">
        <is>
          <t>HITL role</t>
        </is>
      </c>
      <c r="B16" s="27" t="inlineStr">
        <is>
          <t>Maintained</t>
        </is>
      </c>
      <c r="C16" s="27" t="inlineStr">
        <is>
          <t>The human keeps an equivalent decision role alongside the AI.</t>
        </is>
      </c>
    </row>
    <row r="17" ht="15" customHeight="1" s="17">
      <c r="A17" s="27" t="inlineStr">
        <is>
          <t>HITL role</t>
        </is>
      </c>
      <c r="B17" s="27" t="inlineStr">
        <is>
          <t>Reduced</t>
        </is>
      </c>
      <c r="C17" s="27" t="inlineStr">
        <is>
          <t>The human role narrows to supervision or exception handling.</t>
        </is>
      </c>
    </row>
    <row r="18" ht="15" customHeight="1" s="17">
      <c r="A18" s="27" t="inlineStr">
        <is>
          <t>HITL role</t>
        </is>
      </c>
      <c r="B18" s="27" t="inlineStr">
        <is>
          <t>Replaced</t>
        </is>
      </c>
      <c r="C18" s="27" t="inlineStr">
        <is>
          <t>The human is removed from the loop for the studied function.</t>
        </is>
      </c>
    </row>
    <row r="19" ht="15" customHeight="1" s="17">
      <c r="A19" s="27" t="inlineStr">
        <is>
          <t>HITL function</t>
        </is>
      </c>
      <c r="B19" s="27" t="inlineStr">
        <is>
          <t>Approve/override</t>
        </is>
      </c>
      <c r="C19" s="27" t="inlineStr">
        <is>
          <t>Human validates, selects among, or vetoes machine proposals.</t>
        </is>
      </c>
    </row>
    <row r="20" ht="15" customHeight="1" s="17">
      <c r="A20" s="27" t="inlineStr">
        <is>
          <t>HITL function</t>
        </is>
      </c>
      <c r="B20" s="27" t="inlineStr">
        <is>
          <t>Set objectives/constraints</t>
        </is>
      </c>
      <c r="C20" s="27" t="inlineStr">
        <is>
          <t>Human defines goals, weights, or bounds the machine optimises within.</t>
        </is>
      </c>
    </row>
    <row r="21" ht="15" customHeight="1" s="17">
      <c r="A21" s="27" t="inlineStr">
        <is>
          <t>HITL function</t>
        </is>
      </c>
      <c r="B21" s="27" t="inlineStr">
        <is>
          <t>Handle exceptions</t>
        </is>
      </c>
      <c r="C21" s="27" t="inlineStr">
        <is>
          <t>Human intervenes only when the system flags or fails.</t>
        </is>
      </c>
    </row>
    <row r="22" ht="15" customHeight="1" s="17">
      <c r="A22" s="27" t="inlineStr">
        <is>
          <t>HITL function</t>
        </is>
      </c>
      <c r="B22" s="27" t="inlineStr">
        <is>
          <t>Provide data/labels</t>
        </is>
      </c>
      <c r="C22" s="27" t="inlineStr">
        <is>
          <t>Human supplies inputs, corrections, or labels that train or steer the model.</t>
        </is>
      </c>
    </row>
    <row r="23" ht="15" customHeight="1" s="17">
      <c r="A23" s="27" t="inlineStr">
        <is>
          <t>HITL function</t>
        </is>
      </c>
      <c r="B23" s="27" t="inlineStr">
        <is>
          <t>Interpret outputs</t>
        </is>
      </c>
      <c r="C23" s="27" t="inlineStr">
        <is>
          <t>Human translates model outputs into organisational action.</t>
        </is>
      </c>
    </row>
    <row r="24" ht="34.5" customHeight="1" s="17">
      <c r="A24" s="27" t="inlineStr">
        <is>
          <t>Search record</t>
        </is>
      </c>
      <c r="B24" s="27" t="inlineStr">
        <is>
          <t>Executed 17-18 Aug 2026</t>
        </is>
      </c>
      <c r="C24" s="27" t="inlineStr">
        <is>
          <t>Scopus TITLE-ABS-KEY and WoS TS: ("digital twin*" OR "digital model*") AND ("supply chain" OR "logistics") AND ("artificial intelligence" OR "machine learning"); 2010-2026; English; articles, reviews, conference papers. Scopus n=662, WoS n=379, duplicates n=329, unique n=712.</t>
        </is>
      </c>
    </row>
    <row r="25">
      <c r="A25" s="38" t="inlineStr">
        <is>
          <t>Decision rule: threshold (C1)</t>
        </is>
      </c>
      <c r="B25" s="38" t="inlineStr">
        <is>
          <t>Adopted 2026-09-05</t>
        </is>
      </c>
      <c r="C25" s="38" t="inlineStr">
        <is>
          <t>A criterion counts as met only when the digital twin or digital model, the supply chain or logistics setting, or the AI/ML method is an object, component or method of the study as stated in the title, abstract or keywords. A passing mention in a list of enabling technologies, trends or future work does not count, even when the term appears as an author keyword.</t>
        </is>
      </c>
    </row>
    <row r="26">
      <c r="A26" s="38" t="inlineStr">
        <is>
          <t>Decision rule: primary exclusion code (C2)</t>
        </is>
      </c>
      <c r="B26" s="38" t="inlineStr">
        <is>
          <t>Adopted 2026-09-05</t>
        </is>
      </c>
      <c r="C26" s="38" t="inlineStr">
        <is>
          <t>When more than one criterion fails, the primary code is the first failing criterion in the order E1 (no digital twin or model), E2 (no supply chain or logistics framing), E3 (no AI/ML). Secondary failures are noted in the justification.</t>
        </is>
      </c>
    </row>
    <row r="27">
      <c r="A27" s="38" t="inlineStr">
        <is>
          <t>Decision rule: reviews (C3)</t>
        </is>
      </c>
      <c r="B27" s="38" t="inlineStr">
        <is>
          <t>Adopted 2026-09-05</t>
        </is>
      </c>
      <c r="C27" s="38" t="inlineStr">
        <is>
          <t>Any record that is a review, survey or bibliometric study (self-described in the abstract, or Document type = Review) is coded E4 regardless of topic and excluded as primary evidence. Each E4 carries a snowballing value (high, medium or low) in the justification so that backward snowballing can be limited to on-topic reviews.</t>
        </is>
      </c>
    </row>
    <row r="28">
      <c r="A28" s="38" t="inlineStr">
        <is>
          <t>Decision rule: adoption and prioritisation studies (C4)</t>
        </is>
      </c>
      <c r="B28" s="38" t="inlineStr">
        <is>
          <t>Adopted 2026-09-05</t>
        </is>
      </c>
      <c r="C28" s="38" t="inlineStr">
        <is>
          <t>Adoption, perception or prioritisation studies (questionnaire surveys, PLS-SEM, MCDA, interview studies) in which digital twins and AI appear as constructs rather than as a system or method applied or proposed are excluded. Code E1 when the twin is only a construct or a mention; E3 when the twin is the object of study but no AI/ML method is applied or proposed. First cases: R0014 (E1), R0019 (E3).</t>
        </is>
      </c>
    </row>
    <row r="29">
      <c r="A29" s="38" t="inlineStr">
        <is>
          <t>Decision rule: Make-only twins, refinement (C5)</t>
        </is>
      </c>
      <c r="B29" s="38" t="inlineStr">
        <is>
          <t>Adopted 2026-09-05</t>
        </is>
      </c>
      <c r="C29" s="38" t="inlineStr">
        <is>
          <t>The supply chain or intra-plant logistics framing required for a production twin must frame the proposed study itself. A generic statement that twin data can help with supply chain management does not qualify. First case: R0033 (E2). Positive cases: R0025 and R0050 (material flow and intra-shop logistics named in the abstract).</t>
        </is>
      </c>
    </row>
    <row r="30">
      <c r="A30" s="38" t="inlineStr">
        <is>
          <t>Decision rule: sensitivity at title/abstract stage</t>
        </is>
      </c>
      <c r="B30" s="38" t="inlineStr">
        <is>
          <t>Adopted 2026-09-05</t>
        </is>
      </c>
      <c r="C30" s="38" t="inlineStr">
        <is>
          <t>When the digital twin and the supply chain setting are central and an AI/ML method is explicitly named as a capability or component of the proposed system, the record is included and the full-text stage decides (e.g. R0012, R0013).</t>
        </is>
      </c>
    </row>
    <row r="31">
      <c r="A31" s="38" t="inlineStr">
        <is>
          <t>Screening codes</t>
        </is>
      </c>
      <c r="B31" s="38" t="inlineStr">
        <is>
          <t>I, E1 to E6, DUDA</t>
        </is>
      </c>
      <c r="C31" s="38" t="inlineStr">
        <is>
          <t>I = include for full text. E1 = no digital twin or digital model. E2 = no supply chain or logistics framing. E3 = no AI or machine learning. E4 = review, retained for backward snowballing. E5 = out of range, not in English, or grey literature. E6 = undetected duplicate. DUDA = no rule applies; resolved jointly and, where needed, a new rule is dated in this sheet.</t>
        </is>
      </c>
    </row>
    <row r="32">
      <c r="A32" s="38" t="inlineStr">
        <is>
          <t>Code to Exclusion reason mapping</t>
        </is>
      </c>
      <c r="B32" s="38" t="inlineStr">
        <is>
          <t>Screening columns K, L, O</t>
        </is>
      </c>
      <c r="C32" s="38" t="inlineStr">
        <is>
          <t>Decision: I = Include; E1 to E6 = Exclude; DUDA = Unsure. Exclusion reason: E1 = No digital twin/model; E2 = No supply chain scope; E3 = No AI/ML component; E4 = Wrong publication type; E5 = Not in English, Not peer-reviewed or Wrong publication type according to the sub-reason; E6 = Duplicate. The code itself is kept in column O (Codigo final).</t>
        </is>
      </c>
    </row>
    <row r="33">
      <c r="A33" s="38" t="inlineStr">
        <is>
          <t>Screening workflow</t>
        </is>
      </c>
      <c r="B33" s="38" t="inlineStr">
        <is>
          <t>Proposal, then confirmation</t>
        </is>
      </c>
      <c r="C33" s="38" t="inlineStr">
        <is>
          <t>Claude proposes decision, code and a one-line justification quoting the abstract (Screening columns P to T); Rodrigo, screener of record, confirms each batch of 50 before final values are written to columns K, L, N and O and the PRISMA_log counters are updated. Order: 345 strong candidates, 137 to check, 109 reviews, 76 likely exclusions, then the 45 records without pre-flag.</t>
        </is>
      </c>
    </row>
    <row r="34">
      <c r="A34" s="38" t="inlineStr">
        <is>
          <t>Keywords source</t>
        </is>
      </c>
      <c r="B34" s="38" t="inlineStr">
        <is>
          <t>Exports of 17-18 Aug 2026</t>
        </is>
      </c>
      <c r="C34" s="38" t="inlineStr">
        <is>
          <t>The Screening sheet holds title and abstract only; author and index keywords (Scopus) and author keywords and Keywords Plus (WoS) are taken from the original exports, matched by DOI or title, and count as evidence under C1.</t>
        </is>
      </c>
    </row>
    <row r="35">
      <c r="A35" s="38" t="inlineStr">
        <is>
          <t>Precedent: implicit twin (R0076)</t>
        </is>
      </c>
      <c r="B35" s="38" t="inlineStr">
        <is>
          <t>Ruled 2026-09-05</t>
        </is>
      </c>
      <c r="C35" s="38" t="inlineStr">
        <is>
          <t>A record is not included on the inference that its AI would require a digital twin. R0076 was included for full-text verification on explicit grounds only: "digital twin simulations" in the abstract, the index keyword "Digital twin", and a platform (Circular TwAIn) applied to a value chain with transport and logistics operators. If the full text describes no twin, it is excluded at the full-text stage for absence of a digital twin.</t>
        </is>
      </c>
    </row>
    <row r="36">
      <c r="A36" s="38" t="inlineStr">
        <is>
          <t>Precedent: production twins with a supply chain disruption case (R0077)</t>
        </is>
      </c>
      <c r="B36" s="38" t="inlineStr">
        <is>
          <t>Ruled 2026-09-05</t>
        </is>
      </c>
      <c r="C36" s="38" t="inlineStr">
        <is>
          <t>Node-local production twins hosting ML estimators whose framework is applied to a supply chain disruption case of the study itself satisfy the Make framing (supply chain resilience) and are included with the Make annotation. Relevance as background for the literature review is noted but is not itself an inclusion criterion.</t>
        </is>
      </c>
    </row>
    <row r="37">
      <c r="A37" s="38" t="inlineStr">
        <is>
          <t>Precedent: supply chain mentioned as destination only (R0088)</t>
        </is>
      </c>
      <c r="B37" s="38" t="inlineStr">
        <is>
          <t>Ruled 2026-09-05</t>
        </is>
      </c>
      <c r="C37" s="38" t="inlineStr">
        <is>
          <t>A production twin whose abstract names the supply chain only as a destination of generated outputs is excluded under C5 (E2), even when the AI component is substantive.</t>
        </is>
      </c>
    </row>
    <row r="38">
      <c r="A38" s="38" t="inlineStr">
        <is>
          <t>Precedent: database language discrepancy (R0053)</t>
        </is>
      </c>
      <c r="B38" s="38" t="inlineStr">
        <is>
          <t>Ruled 2026-09-05</t>
        </is>
      </c>
      <c r="C38" s="38" t="inlineStr">
        <is>
          <t>When Scopus and WoS disagree on language and the journal publishes in a language other than English, the record is excluded under the declared language criterion (E5, Not in English).</t>
        </is>
      </c>
    </row>
    <row r="39">
      <c r="A39" s="38" t="inlineStr">
        <is>
          <t>Decision rule: twin of operations (C6)</t>
        </is>
      </c>
      <c r="B39" s="38" t="inlineStr">
        <is>
          <t>Adopted 2026-09-05</t>
        </is>
      </c>
      <c r="C39" s="38" t="inlineStr">
        <is>
          <t>The digital twin or digital model must be a synchronised model of an operational system, asset or process (a supply chain, a logistics or production process, or an individual logistics or production asset), so that the AI acts on operational states or decisions. Twins used only as physics-based data generators for a sensor or an algorithm (radio propagation, electromagnetic clutter), data or document containers (digital product passports, Asset Administration Shell submodels) and market constructs (consumer-segment twins) do not satisfy criterion 1 and are coded E1. Applied retrospectively: R0030 and R0027 recoded from I to E1; R0101, R0102 and R0128 coded E1 in batch 3.</t>
        </is>
      </c>
    </row>
    <row r="40">
      <c r="A40" s="38" t="inlineStr">
        <is>
          <t>Clarification of C1: no inferred twin status (R0161)</t>
        </is>
      </c>
      <c r="B40" s="38" t="inlineStr">
        <is>
          <t>Ruled 2026-09-05</t>
        </is>
      </c>
      <c r="C40" s="38" t="inlineStr">
        <is>
          <t>Twin status is never inferred. A simulation model that the authors do not call a digital twin or digital model, or that they explicitly distinguish from one (R0161: a synthetic sandbox offered "without requiring proprietary data or full-scale digital twin infrastructure"), does not satisfy criterion 1 and is coded E1, whatever methods it uses.</t>
        </is>
      </c>
    </row>
    <row r="41">
      <c r="A41" s="38" t="inlineStr">
        <is>
          <t>Precedent: conceptual technology frameworks grounded in literature (R0190)</t>
        </is>
      </c>
      <c r="B41" s="38" t="inlineStr">
        <is>
          <t>Ruled 2026-09-05</t>
        </is>
      </c>
      <c r="C41" s="38" t="inlineStr">
        <is>
          <t>A conceptual framework that maps disruptions to several digital technologies as separate constructs, grounded in a literature review and without a proposed system or AI method, is coded E4 and retained for backward snowballing (high value) rather than E1.</t>
        </is>
      </c>
    </row>
    <row r="42">
      <c r="A42" s="38" t="inlineStr">
        <is>
          <t>Precedent: production twin planned against demand (R0170)</t>
        </is>
      </c>
      <c r="B42" s="38" t="inlineStr">
        <is>
          <t>Ruled 2026-09-05</t>
        </is>
      </c>
      <c r="C42" s="38" t="inlineStr">
        <is>
          <t>A production configuration twin that plans against demand and order deadlines, with only a generic sentence about logistics-production synchronisation, does not meet the Make framing and is coded E2. Planning production against demand is not by itself supply chain framing.</t>
        </is>
      </c>
    </row>
    <row r="43">
      <c r="A43" s="38" t="inlineStr">
        <is>
          <t>Precedent: demand-side twins outside operations scope (R0216)</t>
        </is>
      </c>
      <c r="B43" s="38" t="inlineStr">
        <is>
          <t>Ruled 2026-09-05</t>
        </is>
      </c>
      <c r="C43" s="38" t="inlineStr">
        <is>
          <t>A patient-level twin with applied ML used to plan hospital staffing and supplies is a sound twin-plus-ML implementation but lies outside the production and logistics operations scope of the review; coded E2 (C6 noted as secondary).</t>
        </is>
      </c>
    </row>
    <row r="44">
      <c r="A44" s="38" t="inlineStr">
        <is>
          <t>Precedent: technologies assessed without explicit implementation (R0227)</t>
        </is>
      </c>
      <c r="B44" s="38" t="inlineStr">
        <is>
          <t>Ruled 2026-09-05</t>
        </is>
      </c>
      <c r="C44" s="38" t="inlineStr">
        <is>
          <t>When a digital twin and AI are evaluated as influence factors through system analysis, mathematical modelling or linear programming, without an explicit implementation of the twin, criterion 1 is not met (E1, C4 and C1). Implementation is never inferred from claimed results.</t>
        </is>
      </c>
    </row>
    <row r="45">
      <c r="A45" s="38" t="inlineStr">
        <is>
          <t>Precedent: AI that only orchestrates computing resources (R0238)</t>
        </is>
      </c>
      <c r="B45" s="38" t="inlineStr">
        <is>
          <t>Ruled 2026-09-05</t>
        </is>
      </c>
      <c r="C45" s="38" t="inlineStr">
        <is>
          <t>AI or ML used only to allocate computing resources for a digital twin platform, without acting on operational or logistics decisions, does not satisfy criterion 3 (E3).</t>
        </is>
      </c>
    </row>
    <row r="46">
      <c r="A46" s="38" t="inlineStr">
        <is>
          <t>Decision rule: multi-agent systems count as AI (C7)</t>
        </is>
      </c>
      <c r="B46" s="38" t="inlineStr">
        <is>
          <t>Adopted 2026-09-05</t>
        </is>
      </c>
      <c r="C46" s="38" t="inlineStr">
        <is>
          <t>Agent-based and multi-agent system architectures (autonomous agents making or negotiating decisions) satisfy criterion 3 as artificial intelligence, whether or not a learning method is named. First case: R0295 (included, Make).</t>
        </is>
      </c>
    </row>
    <row r="47">
      <c r="A47" s="38" t="inlineStr">
        <is>
          <t>Precedent: twin declared as the objective, framework called a precursor (R0272)</t>
        </is>
      </c>
      <c r="B47" s="38" t="inlineStr">
        <is>
          <t>Ruled 2026-09-05</t>
        </is>
      </c>
      <c r="C47" s="38" t="inlineStr">
        <is>
          <t>When the digital twin is the declared objective of the paper (title and keywords) and the authors describe their hybrid simulation-ML-optimisation framework as a precursor to that twin, the twin exists for criterion 1 and the record is included. This differs from R0285, where the twin was only a remote future outcome.</t>
        </is>
      </c>
    </row>
    <row r="48">
      <c r="A48" s="38" t="inlineStr">
        <is>
          <t>Precedent: conceptual twin structure without AI implementation (R0256)</t>
        </is>
      </c>
      <c r="B48" s="38" t="inlineStr">
        <is>
          <t>Ruled 2026-09-05</t>
        </is>
      </c>
      <c r="C48" s="38" t="inlineStr">
        <is>
          <t>A conceptual digital twin structure whose abstract only justifies the possibility of using AI, without applying or proposing a method, is coded E3.</t>
        </is>
      </c>
    </row>
    <row r="49">
      <c r="A49" s="38" t="inlineStr">
        <is>
          <t>Precedent: weak but implemented AI in a warehouse twin (R0299)</t>
        </is>
      </c>
      <c r="B49" s="38" t="inlineStr">
        <is>
          <t>Ruled 2026-09-05</t>
        </is>
      </c>
      <c r="C49" s="38" t="inlineStr">
        <is>
          <t>A real-time warehouse twin that implements a learned predictive model (multivariate regression) and a search algorithm (A*) for human-AMR integration satisfies criterion 3; implemented methods count even when modest.</t>
        </is>
      </c>
    </row>
    <row r="50">
      <c r="A50" s="38" t="inlineStr">
        <is>
          <t>Precedent: explicitly declared model validated as a replica (R0306)</t>
        </is>
      </c>
      <c r="B50" s="38" t="inlineStr">
        <is>
          <t>Ruled 2026-09-05</t>
        </is>
      </c>
      <c r="C50" s="38" t="inlineStr">
        <is>
          <t>When the authors explicitly state that they modelled the environment and validated its ability to simulate the real physical system, and the digital twin is the declared purpose (abstract and author keyword), criterion 1 is met as a digital model even if the word twin is not applied to the model itself. Differs from R0161 (authors distance the model from a twin) and R0285 (twin only as remote future outcome).</t>
        </is>
      </c>
    </row>
    <row r="51">
      <c r="A51" s="27" t="inlineStr">
        <is>
          <t>Decision rule: AI mentioned but not implemented (C8)</t>
        </is>
      </c>
      <c r="B51" s="27" t="inlineStr">
        <is>
          <t>Ruled 2026-09-06</t>
        </is>
      </c>
      <c r="C51" s="27" t="inlineStr">
        <is>
          <t>When artificial intelligence or machine learning is only named - as an author or index keyword, or in a passing mention - without a method that the authors apply or propose, criterion 3 is not met and the record is coded E3, however central the digital twin and the supply chain are. This governs the 94 records pre-flagged "AI terms only in keywords". First cases: R0532 (port-to-factory twin, AI only among three author keywords) and R0511 (fuzzy multi-objective optimisation and a cognitive decision engine, AI only as an index keyword). Named agentic or multi-agent mechanisms still count under C7 (R0520).</t>
        </is>
      </c>
    </row>
    <row r="52">
      <c r="A52" s="27" t="inlineStr">
        <is>
          <t>Precedent: healthcare supply network twins (R0521)</t>
        </is>
      </c>
      <c r="B52" s="27" t="inlineStr">
        <is>
          <t>Ruled 2026-09-06</t>
        </is>
      </c>
      <c r="C52" s="27" t="inlineStr">
        <is>
          <t>When the model is of the supply network itself - visibility, supplier trust, demand prediction, healthcare logistics - and not of the patient, the healthcare setting is within the scope of the review and the record is included. This bounds R0216, which excluded a patient-level twin used to plan hospital staffing: the dividing line is what is modelled, not the sector.</t>
        </is>
      </c>
    </row>
    <row r="53">
      <c r="A53" s="27" t="inlineStr">
        <is>
          <t>Precedent: cyber-defence applications (R0527)</t>
        </is>
      </c>
      <c r="B53" s="27" t="inlineStr">
        <is>
          <t>Ruled 2026-09-06</t>
        </is>
      </c>
      <c r="C53" s="27" t="inlineStr">
        <is>
          <t>A digital twin with reinforcement learning whose decisions are cyber-defence mechanisms rather than operations or logistics decisions is excluded under scope (E2), even when the abstract states that the machine learning simulates behaviour on the supply chain. Judgement delegated by the screener of record: include only if the record strengthens the argument of the review.</t>
        </is>
      </c>
    </row>
    <row r="54">
      <c r="A54" s="27" t="inlineStr">
        <is>
          <t>Clarification of C3: declared literature survey outranks a mention (R0524)</t>
        </is>
      </c>
      <c r="B54" s="27" t="inlineStr">
        <is>
          <t>Ruled 2026-09-06</t>
        </is>
      </c>
      <c r="C54" s="27" t="inlineStr">
        <is>
          <t>When a trends or adoption study declares a literature survey among its methods, C3 applies and the record is coded E4 with a snowballing value, even when the digital twin would otherwise fail C1 as a mere mention. Codes are not stacked: the review status is the primary code.</t>
        </is>
      </c>
    </row>
    <row r="55">
      <c r="A55" s="27" t="inlineStr">
        <is>
          <t>Decision rule: C8 tightened to a use test</t>
        </is>
      </c>
      <c r="B55" s="27" t="inlineStr">
        <is>
          <t>Ruled 2026-09-06 (second ruling)</t>
        </is>
      </c>
      <c r="C55" s="27" t="inlineStr">
        <is>
          <t>Criterion 3 is met only when the study USES an AI or ML method: the method is executed and reported (trained, run, evaluated) in the study, or it is a concrete, named component of the system the authors propose (an LLM disruption-detection module, an AI-based knowledge management system, a reinforcement-learning agent, machine-learning analytics of the twin). Naming AI as a keyword, as an adjective ("intelligent", "cognitive", "AI-driven"), as an enabling technology, as an enabled capability or as a future possibility does not count, however central the twin and the supply chain are, and no exception is made for "intelligent digital twin" framings (R0565 → E3). Conversely, a decision method that is implemented and used in the studied system counts even when the authors never label it AI (R0591: resource scheduling and path planning models measured on UAV logistics distribution → I). A method used only as the researchers own analysis aid, outside the twin or the operations system, does not count (R0523, R0577). This tightens the sensitivity rule: "named as a capability" is no longer sufficient; "named as a concrete component" still is.</t>
        </is>
      </c>
    </row>
    <row r="56">
      <c r="A56" s="27" t="inlineStr">
        <is>
          <t>Retention pool: Antecedente C8</t>
        </is>
      </c>
      <c r="B56" s="27" t="inlineStr">
        <is>
          <t>Adopted 2026-09-06</t>
        </is>
      </c>
      <c r="C56" s="27" t="inlineStr">
        <is>
          <t>Records excluded under E3 whose digital twin is implemented or concretely designed AND whose supply chain or logistics setting is central are the records that are perfect on topic but lack AI. They keep code E3 in the PRISMA counts and are tagged in Notes as [Antecedente C8: alto|medio] so that they are retained for backward snowballing and for the background of the literature review, alongside the E4 pool. Alto = twin implemented or validated; medio = conceptual twin or panorama. The sheets Antecedentes_C8 and Snowballing_E4 are regenerated from these tags at every confirmation. Retro-tagged 2026-09-06: R0111, R0112, R0220, R0235, R0300, R0307, R0314, R0510, R0511, R0532 (alto); R0256, R0263, R0266, R0275, R0277, R0319, R0523 (medio).</t>
        </is>
      </c>
    </row>
    <row r="57">
      <c r="A57" s="27" t="inlineStr">
        <is>
          <t>Precedent: packaging line with human-in-the-loop control (R0586)</t>
        </is>
      </c>
      <c r="B57" s="27" t="inlineStr">
        <is>
          <t>Ruled 2026-09-06</t>
        </is>
      </c>
      <c r="C57" s="27" t="inlineStr">
        <is>
          <t>A robotic packaging cell optimised with a digital twin and decision-tree control that integrates human-in-the-loop strategies is excluded under the Make rule (E2): the study frames a packaging cell, and logistics appears only in a closing sentence. Confirmed by the screener of record ("estamos hablando de logistica"). Full text could reopen it only if the deployment is a distribution-centre operation.</t>
        </is>
      </c>
    </row>
    <row r="58">
      <c r="A58" s="27" t="inlineStr">
        <is>
          <t>Clarification of C8 use limb: method versus tool</t>
        </is>
      </c>
      <c r="B58" s="27" t="inlineStr">
        <is>
          <t>Proposed 2026-09-06 (batch 10); superseded in part by the third ruling (SAP Analytics Cloud counts)</t>
        </is>
      </c>
      <c r="C58" s="27" t="inlineStr">
        <is>
          <t>A decision or prediction method counts under the use limb of C8 only when it is a named method embedded in the twin or in the system the authors propose (scheduling and path-planning models in R0591; two-layer optimisation in the control loop of R0629). A tool, platform or capability without a model class (a decision support system in R0631, a predictive forecast produced in SAP Analytics Cloud in R0621) does not count, nor does the simulation engine of the twin itself (discrete-event simulation in R0635, R0633, R0566). Conceptual papers whose object is the AI-in-twin integration itself for supply chains (title or abstract makes AI a constituent of the twin concept) keep the Ivanov carve-out (R0614, R0554); AI listed as an enabler among technologies does not.</t>
        </is>
      </c>
    </row>
    <row r="59">
      <c r="A59" s="27" t="inlineStr">
        <is>
          <t>Open question: knowledge representation as AI (R0627)</t>
        </is>
      </c>
      <c r="B59" s="27" t="inlineStr">
        <is>
          <t>Raised 2026-09-06, pending ruling</t>
        </is>
      </c>
      <c r="C59" s="27" t="inlineStr">
        <is>
          <t>Ontologies, knowledge graphs and property-graph meta-models used to build a logistics twin (R0627, last-mile freight parking) are symbolic AI in the textbook sense but do not decide or predict. Until ruled, they do not satisfy criterion 3 (E3, retained as Antecedente C8: alto). If the screener of record extends criterion 3 to knowledge representation, R0627 becomes I and the extension is dated here.</t>
        </is>
      </c>
    </row>
    <row r="60">
      <c r="A60" s="27" t="inlineStr">
        <is>
          <t>Decision rule: C8, third ruling (keep the good examples)</t>
        </is>
      </c>
      <c r="B60" s="27" t="inlineStr">
        <is>
          <t>Ruled 2026-09-06 (third ruling)</t>
        </is>
      </c>
      <c r="C60" s="27" t="inlineStr">
        <is>
          <t>Criterion 3 is met when the abstract shows AI, machine learning or predictive analytics operating in the system that the study builds, deploys or defines: an executed method (R0591, R0629); a predictive analytics tool used to produce the twin forecasts (SAP Analytics Cloud, R0621: "la cloud de SAP si cuenta"); an AI capability integrated in a documented real deployment (Ford SCDT with agentic AI in decision-making, R0525: "es perfecto, no quiero que se vayan buenos ejemplos como ese"); or AI as the constitutive element of a conceptual supply chain twin (Ivanov line, R0554, R0614: "Ivanov es literal el pionero"). It is not met when AI appears only in the keywords or as an adjective while the abstract describes classical modelling, simulation or a tool without any predictive or learning function (R0532, R0511, R0565, R0631, R0635), nor when AI is one enabler in a list. The earlier strict formulation is read in this light; no confirmed include is recoded (R0525, R0530, R0107, R0157 stand).</t>
        </is>
      </c>
    </row>
    <row r="61">
      <c r="A61" s="27" t="inlineStr">
        <is>
          <t>Snowballing value criterion (E4 pool)</t>
        </is>
      </c>
      <c r="B61" s="27" t="inlineStr">
        <is>
          <t>Adopted 2026-09-06</t>
        </is>
      </c>
      <c r="C61" s="27" t="inlineStr">
        <is>
          <t>Alto: the review sits in the exact digital twin + AI + supply chain/logistics intersection. Medio: the declared scope of the review names supply chain or logistics and, in addition, digital twins or AI as objects of the review, or the review carries a human-in-the-loop / human-machine collaboration axis. Bajo: twins, AI or the supply chain appear only as listed enablers, or the domain is unrelated. Values are recorded in Notes and drive the order of the Snowballing_E4 sheet.</t>
        </is>
      </c>
    </row>
    <row r="62">
      <c r="A62" s="27" t="inlineStr">
        <is>
          <t>Title/abstract screening closed (provisional, before the final audit)</t>
        </is>
      </c>
      <c r="B62" s="27" t="inlineStr">
        <is>
          <t>2026-09-06</t>
        </is>
      </c>
      <c r="C62" s="27" t="inlineStr">
        <is>
          <t>Provisional closure. All 712 records screened and confirmed by the screener of record in 14 batches. Included for full-text retrieval: 129 (26 with the Make annotation). Excluded: 583 = E1 140 (no digital twin/model), E2 100 (no supply chain/logistics scope or out-of-scope domain), E3 36 (no AI/ML), E4 302 (reviews and other non-primary publication types, retained for backward snowballing: alto 32, medio 79, bajo 191), E5 5 (4 not in English, 1 extended abstract). E6 0. Retained for background: 29 E3 records tagged Antecedente C8 (alto 19, medio 10). Sheets Includes_fulltext, Snowballing_E4 and Antecedentes_C8 list the three pools. Next stage: retrieval and full-text eligibility (PRISMA_log rows 12 to 22). Superseded by the final-audit closure row below.</t>
        </is>
      </c>
    </row>
    <row r="63">
      <c r="A63" s="27" t="inlineStr">
        <is>
          <t>Final audit of all 712 decisions</t>
        </is>
      </c>
      <c r="B63" s="27" t="inlineStr">
        <is>
          <t>Applied 2026-09-06</t>
        </is>
      </c>
      <c r="C63" s="27" t="inlineStr">
        <is>
          <t>Instruction of the screener of record: re-check every decision, apply judgement to the weak sensitivity includes with the dissertation context in view, and for companion reports always remove the second appearance. Six independent re-screenings (groups A to F) were run over the final decisions, adjudicated, and the adjudication itself was checked by a seventh independent screener before being written. Result: 30 recodes (each Notes entry begins with "Recodificado 2026-09-06 en la auditoría final" and keeps the original note), 16 includes kept with an explicit full-text flag ("Auditoría final 2026-09-06: se mantiene I"), 10 snowballing values recalibrated, 1 pool value adjusted, 1 Make annotation added, 10 cross-links between related reports. Recodes: I→E1 R0071, R0134; I→E3 (pool) R0022, R0147, R0133, R0234, R0389; I→E4 R0093 (alto), R0335 (alto); I→E6 R0155, R0315; E1→E4 R0065, R0007, R0117; E2→E4 R0099, R0114, R0136, R0259, R0617; E2→E1 R0195, R0217, R0288, R0207, R0548, R0594, R0673; I→E1 R0245; E3→E4 R0275, R0263; E3→E1 R0345. Make added to R0127; Make removed with the recodes of R0335 and R0155. Kept with flag: R0080, R0081, R0107, R0118, R0127, R0142, R0157, R0166, R0192, R0341, R0347, R0350, R0530, R0551, R0639, R0663. Items the screener of record may still veto are listed in the closing report of 2026-09-06.</t>
        </is>
      </c>
    </row>
    <row r="64">
      <c r="A64" s="27" t="inlineStr">
        <is>
          <t>Decision rule: companion reports (pairs)</t>
        </is>
      </c>
      <c r="B64" s="27" t="inlineStr">
        <is>
          <t>Ruled 2026-09-06 by the screener of record</t>
        </is>
      </c>
      <c r="C64" s="27" t="inlineStr">
        <is>
          <t>When two records report the same study (same authors, same framework and same case, typically a conference version and a journal version), the second appearance is excluded as E6 with the exclusion reason "Duplicate" and the note "informe compañero de R0xxx"; the first appearance (the journal article where one exists) is the primary report and its note names the companion. In the PRISMA flow these E6 records are reported as "companion reports of included studies" (PRISMA 2020 counts reports, not studies), not as retrieval duplicates. Applied: R0155 → E6 (companion of R0152), R0315 → E6 (companion of R0298). Distinct studies by the same group are NOT pairs and are all kept: R0272 (master planning under disruptions) versus R0298 (inventory and cash management); R0331 (framework) versus R0328 (augmented reality and human-machine interaction on that framework); both kept, cross-linked, overlap to be checked at full text. Where the second report was already excluded on its own merits (R0511/R0520, R0676/R0551, R0672/R0307, R0490) only a cross-link was added.</t>
        </is>
      </c>
    </row>
    <row r="65">
      <c r="A65" s="27" t="inlineStr">
        <is>
          <t>Clarification of C3 applied in the final audit: review as the primary method or genre</t>
        </is>
      </c>
      <c r="B65" s="27" t="inlineStr">
        <is>
          <t>Ruled 2026-09-06 (final audit)</t>
        </is>
      </c>
      <c r="C65" s="27" t="inlineStr">
        <is>
          <t>C3 applies when a review-type method or genre is the sole or primary basis of the record: a literature review or literature synthesis as the basis of a conceptual framework (R0065, R0007, R0093, R0114, R0335), a perspective or position article (R0136), a compilation of a research stream (R0117), a trend analysis with secondary case synthesis (R0099), a state-of-the-art review followed by a framework (R0259), a declared overview (R0275), a study built on case studies and literature reviews (R0263), an editorial column (R0617). These are E4 with a snowballing value even when they sit in the exact intersection (R0093 and R0335 carry alto). C3 does not apply when a literature review or bibliometric analysis is only preparatory to another primary method: an adoption survey follows C4 (R0217 → E1); a proposed and validated system with a bibliometric gap analysis is screened on its system (R0142 → I). A summary of third-party industry solutions without a twin of the study is not a review (R0634, R0245 → E1). Theory-building conceptual papers that do not rest on a declared review and whose object is the AI-enabled supply chain twin remain includes (Ivanov line: R0011, R0084, R0137, R0273, R0309, R0554, R0614, R0664). Expository papers with no declared review method and no twin of their own follow C1/C2 (R0207, R0288 → E1).</t>
        </is>
      </c>
    </row>
    <row r="66">
      <c r="A66" s="27" t="inlineStr">
        <is>
          <t>Clarification of C8 applied in the final audit: label versus articulated role</t>
        </is>
      </c>
      <c r="B66" s="27" t="inlineStr">
        <is>
          <t>Ruled 2026-09-06 (final audit)</t>
        </is>
      </c>
      <c r="C66" s="27" t="inlineStr">
        <is>
          <t>Descriptive or conceptual papers in which AI is only a label or a capability of the systems described ("AI-based logistics systems", "AI-driven supply chain optimization", "letting machine learning and AI do the work", "the artificial intelligence technologies have to be integrated", "enterprise AI", "with simulation and artificial intelligence technologies new opportunities ... are possible") do not meet criterion 3 and go to E3 with an Antecedente C8 tag when the twin and the setting are central (R0022, R0147, R0133, R0234, R0389 → E3 medio). The Ivanov-line includes differ because the abstract articulates the role of AI inside the twin concept (AI-based knowledge management systems and a human-AI collaboration space in R0554; AI and simulation integrating to describe, predict and optimise in R0614; OR-AI symbiosis architecture in R0011; agentic AI triangulated with digital twins in R0084). R0530 (AI-driven digital twin framework for logistics supply chains with a volatility-detection case) stands under the third ruling as recorded on 2026-09-06, as do R0107 (implemented forklift twin, ML a proposed component of the architecture) and R0157; papers that USE AI without naming the method also stand (R0347 "digital modeling using artificial intelligence algorithms" with industrial testing; R0201 AI-processed images). Full text decides all of these; they are flagged in Notes.</t>
        </is>
      </c>
    </row>
    <row r="67">
      <c r="A67" s="27" t="inlineStr">
        <is>
          <t>Note on C5 in the final audit (R0080, R0081, R0118, R0192, R0341)</t>
        </is>
      </c>
      <c r="B67" s="27" t="inlineStr">
        <is>
          <t>Ruled 2026-09-06 (final audit)</t>
        </is>
      </c>
      <c r="C67" s="27" t="inlineStr">
        <is>
          <t>C5 is applied leniently but uniformly at title/abstract: the supply chain or logistics framing qualifies when it is part of the study as stated: a declared goal (R0341 "how data from interwoven, autonomous and intelligent supply chains can be integrated"), a research question (R0081 "enhancing supply chain management"), the title and closing framing of an empirical study (R0118), an analysed scenario (R0192 "supply chain forecasting") or an explicit operations-and-supply-chain-management framing (R0080 "adoption of iDTs in operations and supply chain management", also a direct human-in-the-loop example). Only a generic benefit sentence detached from the study (R0033, R0088, R0586 and the other E2 precedents) fails. All five are kept as Make includes with a full-text flag; the screener of record may veto any of them, R0080 being the weakest.</t>
        </is>
      </c>
    </row>
    <row r="68">
      <c r="A68" s="27" t="inlineStr">
        <is>
          <t>Snowballing values recalibrated in the final audit</t>
        </is>
      </c>
      <c r="B68" s="27" t="inlineStr">
        <is>
          <t>Applied 2026-09-06</t>
        </is>
      </c>
      <c r="C68" s="27" t="inlineStr">
        <is>
          <t>Ten E4 values were realigned to the snowballing criterion and the change is recorded in each note ("ajustado en la auditoría final 2026-09-06, antes ..."): R0049 medio→bajo; R0632 medio→bajo; R0250 alto→medio; R0131, R0228, R0257, R0304, R0582, R0461, R0470 bajo→medio. Pool value R0307 alto→medio (proof of concept of a system design, not an operating twin).</t>
        </is>
      </c>
    </row>
    <row r="69">
      <c r="A69" s="27" t="inlineStr">
        <is>
          <t>Title/abstract screening closed after the final audit</t>
        </is>
      </c>
      <c r="B69" s="27" t="inlineStr">
        <is>
          <t>2026-09-06</t>
        </is>
      </c>
      <c r="C69" s="27" t="inlineStr">
        <is>
          <t>All 712 records screened, confirmed and audited. Included for full-text retrieval: 117 (25 with the Make annotation). Excluded: 595 = E1 148 (no digital twin/model), E2 88 (no supply chain/logistics scope or out-of-scope domain), E3 38 (no AI/ML), E4 314 (reviews and other non-primary publication types, retained for backward snowballing: alto 33, medio 89, bajo 192), E5 5 (4 not in English, 1 extended abstract), E6 2 (companion reports of included studies). Retained for background: 32 E3 records tagged Antecedente C8 (alto 18, medio 14). Sheets Includes_fulltext, Snowballing_E4 and Antecedentes_C8 list the three pools. Next stage: retrieval and full-text eligibility (PRISMA_log rows 12 to 22); the Coding sheet is pre-populated with the 117 includes.</t>
        </is>
      </c>
    </row>
    <row r="70">
      <c r="A70" s="27" t="inlineStr">
        <is>
          <t>Full-text stage: retrieval protocol</t>
        </is>
      </c>
      <c r="B70" s="27" t="inlineStr">
        <is>
          <t>Started 2026-09-06</t>
        </is>
      </c>
      <c r="C70" s="27" t="inlineStr">
        <is>
          <t>Full texts are read in the screener's own browser session (Claude in Chrome with the University of Hull EZproxy and the Tec de Monterrey IEEE Xplore sign-in) or from PDFs the screener supplies; each text is saved verbatim in the session workspace (/fulltext/&lt;ID&gt;.txt) and every quote in the coding record is verified against it by script (FT_quotes sheet, column "Verified"). IEEE Xplore conference proceedings are not covered by either institution (journals only): they are marked "Retrieved = N" unless an open-access copy is located (OpenAlex, Semantic Scholar, repositories). PDF-only articles (IFAC-PapersOnLine, Procedia) are read through pdf.js text extraction in the browser; page numbers are then cited.</t>
        </is>
      </c>
    </row>
    <row r="71">
      <c r="A71" s="27" t="inlineStr">
        <is>
          <t>Full-text eligibility rules</t>
        </is>
      </c>
      <c r="B71" s="27" t="inlineStr">
        <is>
          <t>Adopted 2026-09-06</t>
        </is>
      </c>
      <c r="C71" s="27" t="inlineStr">
        <is>
          <t>Same three criteria as title/abstract, now verified in the body: (1) a digital twin or digital model of an operational system that is implemented, simulated or concretely designed (architecture with components and data flows); a purely conceptual twin is acceptable only when the paper's object is the twin concept itself (theory-building papers, Ivanov line); twin status is never inferred from a plain simulation model unless the authors validate it as a replica; (2) supply chain or logistics setting, incl. intra-plant logistics and supply chain planning, framed by the paper itself; (3) an AI/ML method used in, or constitutively designed into, the twin/system (named method executed or specified; agents, LLMs and predictive analytics tools count; AI as keyword, adjective, enabler or future work does not). Exclusion reasons map to PRISMA_log rows 15-19: No AI/ML component; No digital twin / digital model; No supply chain / logistics scope; Not peer-reviewed / low-quality venue; Other (note reason). Claude proposes with verbatim quotes; the screener of record confirms (FT decision column).</t>
        </is>
      </c>
    </row>
    <row r="72">
      <c r="A72" s="27" t="inlineStr">
        <is>
          <t>Full-text coding conventions</t>
        </is>
      </c>
      <c r="B72" s="27" t="inlineStr">
        <is>
          <t>Adopted 2026-09-06</t>
        </is>
      </c>
      <c r="C72" s="27" t="inlineStr">
        <is>
          <t>Coding sheet fields use the vocabularies defined above (Evidence type, Integration extent 1-5, HITL role, HITL function). Where a paper shows two configurations, the primary value is written first and secondary values follow after "; " (e.g. "Approve/override; Handle exceptions"); ai_role and ai_technique may also carry a secondary value. "Not discussed" is used when the paper never addresses the human role; "None" when the loop is explicitly automated. Integration extent is coded on what the paper actually implements or specifies (advisory = 4; autonomous execution without human approval = 5), not on its aspirations. Key finding and conditions are paraphrased (&lt;= 50 / 40 words); Page/section gives section numbers and page numbers when visible. Doubts for the screener are listed in the FT note (Spanish).</t>
        </is>
      </c>
    </row>
    <row r="73">
      <c r="A73" s="27" t="inlineStr">
        <is>
          <t>Full-text stage: provisional closure</t>
        </is>
      </c>
      <c r="B73" s="27" t="inlineStr">
        <is>
          <t>2026-09-06</t>
        </is>
      </c>
      <c r="C73" s="27" t="inlineStr">
        <is>
          <t>All 117 reports sought. Retrieved and assessed: 75 (62 proposed FT includes, 13 proposed FT exclusions: No AI/ML component 5, No digital twin / digital model 5, Not peer-reviewed / low-quality venue 1, Other = review 2). Not retrievable so far: 42 (31 IEEE Xplore conference papers not subscribed by Hull or Tec and without any open copy after OpenAlex, Semantic Scholar, OpenAIRE, Crossref, Google Scholar and Bing searches; 8 Springer chapters (IFIP AICT, LNNS, LNEE, LNME, Proc. Math. &amp; Stat.) not subscribed, two of them embargoed on HAL until 2027; SPIE (R0064), ASCE (R0324) and Emerald (R0026) paywalls). Every FT decision is a proposal by Claude with verbatim quotes verified against the saved text (FT_quotes sheet); the screener of record confirms in Fulltext_eligibility and PRISMA_log rows 12-22 are then finalised. Open copies were used for 6 paywalled reports (R0270 Aalto, R0299/R0173/R0174 ResearchGate author copies, R0331 HAL, R0203 SGEM upload, R0564/R0663 INFORMS WSC archive).</t>
        </is>
      </c>
    </row>
    <row r="74">
      <c r="A74" s="27" t="inlineStr">
        <is>
          <t>Full-text stage closed</t>
        </is>
      </c>
      <c r="B74" s="27" t="inlineStr">
        <is>
          <t>2026-09-06</t>
        </is>
      </c>
      <c r="C74" s="27" t="inlineStr">
        <is>
          <t>The screener of record confirmed all full-text proposals on 2026-09-06 ("vibo"): 62 studies included, 13 excluded at full text (No AI/ML component 5: R0012, R0050, R0081, R0184, R0664; No digital twin / digital model 5: R0013, R0066, R0150, R0289, R0347; Other = review 2: R0024, R0146; Not peer-reviewed / low-quality venue 1: R0321), 42 reports not retrievable: 31 IEEE Xplore conference papers, 8 Springer chapters (R0076, R0089, R0162, R0233, R0253, R0295, R0500, R0643), R0026 (Emerald), R0064 (SPIE), R0324 (ASCE); retrieval trail in Fulltext_eligibility. PRISMA 2020 flow: identified 1,041 (Scopus 662, WoS 379); duplicates removed 329; screened 712; excluded at title/abstract 595; sought for retrieval 117; not retrieved 42; assessed 75; excluded 13; included 62. Any report retrieved later (manual PDF) is processed with the same protocol and the counts are updated.</t>
        </is>
      </c>
    </row>
    <row r="75">
      <c r="A75" s="27" t="inlineStr">
        <is>
          <t>Repository copy</t>
        </is>
      </c>
      <c r="B75" s="27" t="inlineStr">
        <is>
          <t>2026-09-16</t>
        </is>
      </c>
      <c r="C75" s="27" t="inlineStr">
        <is>
          <t>This copy of the workbook is the one committed to the sc-transport-optimization repository (slr/workbook/). The Abstract column of the Screening sheet was removed to avoid redistributing publisher abstracts; every decision, note and quoted justification is unchanged. Abstracts can be re-attached from the Scopus and Web of Science exports by ID (the exports are not in the repository).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315"/>
  <sheetViews>
    <sheetView workbookViewId="0">
      <pane ySplit="1" topLeftCell="A2" activePane="bottomLeft" state="frozen"/>
      <selection pane="bottomLeft" activeCell="A1" sqref="A1"/>
    </sheetView>
  </sheetViews>
  <sheetFormatPr baseColWidth="8" defaultRowHeight="15"/>
  <cols>
    <col width="8" customWidth="1" style="17" min="1" max="1"/>
    <col width="6" customWidth="1" style="17" min="2" max="2"/>
    <col width="60" customWidth="1" style="17" min="3" max="3"/>
    <col width="30" customWidth="1" style="17" min="4" max="4"/>
    <col width="28" customWidth="1" style="17" min="5" max="5"/>
    <col width="8" customWidth="1" style="17" min="6" max="6"/>
    <col width="90" customWidth="1" style="17" min="7" max="7"/>
  </cols>
  <sheetData>
    <row r="1">
      <c r="A1" s="48" t="inlineStr">
        <is>
          <t>ID</t>
        </is>
      </c>
      <c r="B1" s="48" t="inlineStr">
        <is>
          <t>Year</t>
        </is>
      </c>
      <c r="C1" s="48" t="inlineStr">
        <is>
          <t>Title</t>
        </is>
      </c>
      <c r="D1" s="48" t="inlineStr">
        <is>
          <t>Venue</t>
        </is>
      </c>
      <c r="E1" s="48" t="inlineStr">
        <is>
          <t>DOI</t>
        </is>
      </c>
      <c r="F1" s="48" t="inlineStr">
        <is>
          <t>Value</t>
        </is>
      </c>
      <c r="G1" s="48" t="inlineStr">
        <is>
          <t>Screening note</t>
        </is>
      </c>
    </row>
    <row r="2">
      <c r="A2" s="49" t="inlineStr">
        <is>
          <t>R0021</t>
        </is>
      </c>
      <c r="B2" s="49" t="n">
        <v>2026</v>
      </c>
      <c r="C2" s="49" t="inlineStr">
        <is>
          <t>Digital twins for low-altitude transportation and logistics: A barrier-centric survey of UAV and eVTOL systems</t>
        </is>
      </c>
      <c r="D2" s="49" t="inlineStr">
        <is>
          <t>Transportation Research Part E: Logistics and Transportation Review</t>
        </is>
      </c>
      <c r="E2" s="49" t="inlineStr">
        <is>
          <t>10.1016/j.tre.2026.105116</t>
        </is>
      </c>
      <c r="F2" s="49" t="inlineStr">
        <is>
          <t>alto</t>
        </is>
      </c>
      <c r="G2" s="49" t="inlineStr">
        <is>
          <t>"This survey interprets application maturity through a barrier-centric framework": gemelos para transporte y logística de baja altitud con reto de verificación de IA. Valor para snowballing: alto.</t>
        </is>
      </c>
    </row>
    <row r="3">
      <c r="A3" s="49" t="inlineStr">
        <is>
          <t>R0040</t>
        </is>
      </c>
      <c r="B3" s="49" t="n">
        <v>2026</v>
      </c>
      <c r="C3" s="49" t="inlineStr">
        <is>
          <t>A survey of system-cybernetic principles in supply chain resilience: viability, artificial intelligence, digital twins, and ecosystems</t>
        </is>
      </c>
      <c r="D3" s="49" t="inlineStr">
        <is>
          <t>International Journal of Systems Science</t>
        </is>
      </c>
      <c r="E3" s="49" t="inlineStr">
        <is>
          <t>10.1080/00207721.2025.2519204</t>
        </is>
      </c>
      <c r="F3" s="49" t="inlineStr">
        <is>
          <t>alto</t>
        </is>
      </c>
      <c r="G3" s="49" t="inlineStr">
        <is>
          <t>"In this paper, we summarise system-cybernetic views of supply chain resilience and viability" y "system-cybernetic principles underlying AI-based digital twins and ecosystems". Valor para snowballing: alto.</t>
        </is>
      </c>
    </row>
    <row r="4">
      <c r="A4" s="49" t="inlineStr">
        <is>
          <t>R0063</t>
        </is>
      </c>
      <c r="B4" s="49" t="n">
        <v>2026</v>
      </c>
      <c r="C4" s="49" t="inlineStr">
        <is>
          <t>A Review on Smart Warehouses: How Can Discrete-Event Simulation Improve Their Success</t>
        </is>
      </c>
      <c r="D4" s="49" t="inlineStr">
        <is>
          <t>Lecture Notes in Networks and Systems</t>
        </is>
      </c>
      <c r="E4" s="49" t="inlineStr">
        <is>
          <t>10.1007/978-3-032-18878-6_30</t>
        </is>
      </c>
      <c r="F4" s="49" t="inlineStr">
        <is>
          <t>alto</t>
        </is>
      </c>
      <c r="G4" s="49" t="inlineStr">
        <is>
          <t>"This work details a structured literature review, focused on smart warehouses" que cubre "Digital Twins of smart warehouses" e integración de IA. Valor para snowballing: alto (almacenes).</t>
        </is>
      </c>
    </row>
    <row r="5">
      <c r="A5" s="49" t="inlineStr">
        <is>
          <t>R0072</t>
        </is>
      </c>
      <c r="B5" s="49" t="n">
        <v>2026</v>
      </c>
      <c r="C5" s="49" t="inlineStr">
        <is>
          <t>Digital Twins-Driven Sustainable Industrial Supply Chain Management: A Survey</t>
        </is>
      </c>
      <c r="D5" s="49" t="inlineStr">
        <is>
          <t>Lecture Notes in Mechanical Engineering</t>
        </is>
      </c>
      <c r="E5" s="49" t="inlineStr">
        <is>
          <t>10.1007/978-3-032-01517-4_9</t>
        </is>
      </c>
      <c r="F5" s="49" t="inlineStr">
        <is>
          <t>alto</t>
        </is>
      </c>
      <c r="G5" s="49" t="inlineStr">
        <is>
          <t>Survey: "This paper first introduces the application background and overall framework design of Digital Twins in sustainable supply chain management" y revisa "machine learning and predictive optimization" como habilitador. Valor para snowballing: alto.</t>
        </is>
      </c>
    </row>
    <row r="6">
      <c r="A6" s="49" t="inlineStr">
        <is>
          <t>R0092</t>
        </is>
      </c>
      <c r="B6" s="49" t="n">
        <v>2026</v>
      </c>
      <c r="C6" s="49" t="inlineStr">
        <is>
          <t>Artificial intelligence and digital twins: pathways to climate-resilient, traceable and equitable global food supply chains</t>
        </is>
      </c>
      <c r="D6" s="49" t="inlineStr">
        <is>
          <t>TRENDS IN FOOD SCIENCE &amp; TECHNOLOGY</t>
        </is>
      </c>
      <c r="E6" s="49" t="inlineStr">
        <is>
          <t>10.1016/j.tifs.2026.105973</t>
        </is>
      </c>
      <c r="F6" s="49" t="inlineStr">
        <is>
          <t>alto</t>
        </is>
      </c>
      <c r="G6" s="49" t="inlineStr">
        <is>
          <t>Perspectiva que sintetiza evidencia ("Drawing on recent implementations in processing, cold-chain logistics, and post-harvest systems, we synthesize demonstrated benefits") y propone agenda, no un sistema; revisión narrativa sobre "integrated AI-digital-twin frameworks" en cadenas alimentarias. Valor para snowballing: alto.</t>
        </is>
      </c>
    </row>
    <row r="7">
      <c r="A7" s="49" t="inlineStr">
        <is>
          <t>R0093</t>
        </is>
      </c>
      <c r="B7" s="49" t="n">
        <v>2026</v>
      </c>
      <c r="C7" s="49" t="inlineStr">
        <is>
          <t>Optimizing Material Flow in Industrial Warehousing: A Human-Centric Industrial Metaverse</t>
        </is>
      </c>
      <c r="D7" s="49" t="inlineStr">
        <is>
          <t>IEEE ACCESS</t>
        </is>
      </c>
      <c r="E7" s="49" t="inlineStr">
        <is>
          <t>10.1109/access.2026.3676984</t>
        </is>
      </c>
      <c r="F7" s="49" t="inlineStr">
        <is>
          <t>alto</t>
        </is>
      </c>
      <c r="G7" s="49" t="inlineStr">
        <is>
          <t>Recodificado 2026-09-06 en la auditoría final (I→E4): Marco conceptual derivado de revisión de literatura (C3): "this study employs a qualitative research methodology based on an extensive literature review and comparative analysis"; el marco propuesto sí está en la intersección exacta ("integrating AR wearables, digital twins, machine learning, and cyber-physical synchronization standards to optimize material flow processes") con eje humano-céntrico, por eso valor alto. Valor para snowballing: alto. | Nota original (I): Marco conceptual (basado en revisión) para almacenes: "integrating AR wearables, digital twins, machine learning, and cyber-physical synchronization standards to optimize material flow processes"; logística de almacén, enfoque humano-céntrico.</t>
        </is>
      </c>
    </row>
    <row r="8">
      <c r="A8" s="49" t="inlineStr">
        <is>
          <t>R0120</t>
        </is>
      </c>
      <c r="B8" s="49" t="n">
        <v>2025</v>
      </c>
      <c r="C8" s="49" t="inlineStr">
        <is>
          <t>Developing Supply Chain Resilience with Advanced Digital Technology: A Review</t>
        </is>
      </c>
      <c r="D8" s="49" t="inlineStr">
        <is>
          <t>IFAC-PapersOnLine</t>
        </is>
      </c>
      <c r="E8" s="49" t="inlineStr">
        <is>
          <t>10.1016/j.ifacol.2025.09.484</t>
        </is>
      </c>
      <c r="F8" s="49" t="inlineStr">
        <is>
          <t>alto</t>
        </is>
      </c>
      <c r="G8" s="49" t="inlineStr">
        <is>
          <t>Revisión de 29 artículos sobre IA, BDA, blockchain y gemelos/simulación en resiliencia de cadena ("By performing a comprehensive literature assessment of supply chain resilience research published in impact-factored journals from 2014 to 2024"). Valor para snowballing: alto.</t>
        </is>
      </c>
    </row>
    <row r="9">
      <c r="A9" s="49" t="inlineStr">
        <is>
          <t>R0140</t>
        </is>
      </c>
      <c r="B9" s="49" t="n">
        <v>2025</v>
      </c>
      <c r="C9" s="49" t="inlineStr">
        <is>
          <t>The Research Landscape of Data-Driven Simulation in Transport and Logistics</t>
        </is>
      </c>
      <c r="D9" s="49" t="inlineStr">
        <is>
          <t>Procedia Computer Science</t>
        </is>
      </c>
      <c r="E9" s="49" t="inlineStr">
        <is>
          <t>10.1016/j.procs.2025.12.007</t>
        </is>
      </c>
      <c r="F9" s="49" t="inlineStr">
        <is>
          <t>alto</t>
        </is>
      </c>
      <c r="G9" s="49" t="inlineStr">
        <is>
          <t>"The aim of this paper is to review the evolution, current status and future trends of research in this field" (simulación basada en datos en transporte y logística), con "the use of digital twins of real logistics systems". Valor para snowballing: alto.</t>
        </is>
      </c>
    </row>
    <row r="10">
      <c r="A10" s="49" t="inlineStr">
        <is>
          <t>R0145</t>
        </is>
      </c>
      <c r="B10" s="49" t="n">
        <v>2025</v>
      </c>
      <c r="C10" s="49" t="inlineStr">
        <is>
          <t>Digital Twin Applications for Intralogistics Processes: A Literature Review</t>
        </is>
      </c>
      <c r="D10" s="49" t="inlineStr">
        <is>
          <t>IFAC-PapersOnLine</t>
        </is>
      </c>
      <c r="E10" s="49" t="inlineStr">
        <is>
          <t>10.1016/j.ifacol.2025.09.274</t>
        </is>
      </c>
      <c r="F10" s="49" t="inlineStr">
        <is>
          <t>alto</t>
        </is>
      </c>
      <c r="G10" s="49" t="inlineStr">
        <is>
          <t>"this paper reviews literature to identify trends and challenges in this domain" (gemelos en intralogística), señalando que "the integration of digital models, optimisation algorithms, and machine learning remains underexplored". Valor para snowballing: alto.</t>
        </is>
      </c>
    </row>
    <row r="11">
      <c r="A11" s="49" t="inlineStr">
        <is>
          <t>R0160</t>
        </is>
      </c>
      <c r="B11" s="49" t="n">
        <v>2025</v>
      </c>
      <c r="C11" s="49" t="inlineStr">
        <is>
          <t>Industry 4.0 technologies for improving SCOR model's enable phase: A systematic literature review</t>
        </is>
      </c>
      <c r="D11" s="49" t="inlineStr">
        <is>
          <t>Proceedings of the International Conference on Mechanical and Intelligent Manufacturing Technologies, ICMIMT</t>
        </is>
      </c>
      <c r="E11" s="49" t="inlineStr">
        <is>
          <t>10.1109/icmimt65123.2025.11091944</t>
        </is>
      </c>
      <c r="F11" s="49" t="inlineStr">
        <is>
          <t>alto</t>
        </is>
      </c>
      <c r="G11" s="49" t="inlineStr">
        <is>
          <t>"This study conducts a systematic literature review to identify Industry 4.0 technologies applicable to enhance the enable phase" del modelo SCOR, con gemelos y ML entre las tecnologías. Valor para snowballing: alto (SCOR).</t>
        </is>
      </c>
    </row>
    <row r="12">
      <c r="A12" s="49" t="inlineStr">
        <is>
          <t>R0169</t>
        </is>
      </c>
      <c r="B12" s="49" t="n">
        <v>2025</v>
      </c>
      <c r="C12" s="49" t="inlineStr">
        <is>
          <t>Human-in-the-Loop Artificial Intelligence for Asset Management: A Systematic Review of Applications, Methods, and Research Challenges</t>
        </is>
      </c>
      <c r="D12" s="49" t="inlineStr">
        <is>
          <t>Proceedings of 2025 IEEE International Conference on Data and Software Engineering, ICoDSE 2025</t>
        </is>
      </c>
      <c r="E12" s="49" t="inlineStr">
        <is>
          <t>10.1109/icodse68111.2025.11351812</t>
        </is>
      </c>
      <c r="F12" s="49" t="inlineStr">
        <is>
          <t>alto</t>
        </is>
      </c>
      <c r="G12" s="49" t="inlineStr">
        <is>
          <t>"The study employed a Systematic Literature Review approach, following the PRISMA protocol of the Scopus database" sobre IA con humano en el bucle para gestión de activos (incluida "transportation and logistics"); gemelos más eficaces con participación humana. Valor para snowballing: alto (HITL).</t>
        </is>
      </c>
    </row>
    <row r="13">
      <c r="A13" s="49" t="inlineStr">
        <is>
          <t>R0190</t>
        </is>
      </c>
      <c r="B13" s="49" t="n">
        <v>2025</v>
      </c>
      <c r="C13" s="49" t="inlineStr">
        <is>
          <t>Risk Management and Macroeconomic Disruptions in Supply Chains: The Role of Blockchain, Digital Twins, Generative AI, and Quantum Computing</t>
        </is>
      </c>
      <c r="D13" s="49" t="inlineStr">
        <is>
          <t>IEEE Transactions on Engineering Management</t>
        </is>
      </c>
      <c r="E13" s="49" t="inlineStr">
        <is>
          <t>10.1109/tem.2025.3585433</t>
        </is>
      </c>
      <c r="F13" s="49" t="inlineStr">
        <is>
          <t>alto</t>
        </is>
      </c>
      <c r="G13" s="49" t="inlineStr">
        <is>
          <t>Resuelto 2026-09-05 por Rodrigo: marco conceptual "grounded in a thorough review of both conceptual and empirical literature" que trata gemelos e IA generativa como constructos separados, sin sistema ni método de IA; retenido como revisión conceptual para snowballing hacia atrás. Valor para snowballing: alto.</t>
        </is>
      </c>
    </row>
    <row r="14">
      <c r="A14" s="49" t="inlineStr">
        <is>
          <t>R0198</t>
        </is>
      </c>
      <c r="B14" s="49" t="n">
        <v>2025</v>
      </c>
      <c r="C14" s="49" t="inlineStr">
        <is>
          <t>AI-Driven Innovation and Digital Twins: Integrating MHE Automation to Enhance Smart Warehousing, Logistics, and FSMA Compliance in the Food Industry</t>
        </is>
      </c>
      <c r="D14" s="49" t="inlineStr">
        <is>
          <t>TEMSCON Global 2025 - 2025 IEEE Technology and Engineering Management Society Conference - Global, Conference Proceedings</t>
        </is>
      </c>
      <c r="E14" s="49" t="inlineStr">
        <is>
          <t>10.1109/temsconglobal64363.2025.11238286</t>
        </is>
      </c>
      <c r="F14" s="49" t="inlineStr">
        <is>
          <t>alto</t>
        </is>
      </c>
      <c r="G14" s="49" t="inlineStr">
        <is>
          <t>"This investigation uses Systematic Literature Review (SLR) methodology to evaluate academic studies about AI and Digital Twin implementations within smart warehousing solutions". Valor para snowballing: alto.</t>
        </is>
      </c>
    </row>
    <row r="15">
      <c r="A15" s="49" t="inlineStr">
        <is>
          <t>R0242</t>
        </is>
      </c>
      <c r="B15" s="49" t="n">
        <v>2024</v>
      </c>
      <c r="C15" s="49" t="inlineStr">
        <is>
          <t>A Topic Modeling Approach to Determine Supply Chain Management Priorities Enabled by Digital Twin Technology</t>
        </is>
      </c>
      <c r="D15" s="49" t="inlineStr">
        <is>
          <t>Sustainability (Switzerland)</t>
        </is>
      </c>
      <c r="E15" s="49" t="inlineStr">
        <is>
          <t>10.3390/su16093552</t>
        </is>
      </c>
      <c r="F15" s="49" t="inlineStr">
        <is>
          <t>alto</t>
        </is>
      </c>
      <c r="G15" s="49" t="inlineStr">
        <is>
          <t>Análisis de literatura sobre gemelos en cadenas mediante modelado de tópicos ("This paper examines scientific papers in the field of digital twins to explore the different areas of application in supply chains"). Valor para snowballing: alto.</t>
        </is>
      </c>
    </row>
    <row r="16">
      <c r="A16" s="49" t="inlineStr">
        <is>
          <t>R0246</t>
        </is>
      </c>
      <c r="B16" s="49" t="n">
        <v>2024</v>
      </c>
      <c r="C16" s="49" t="inlineStr">
        <is>
          <t>Metaverse in transportation and logistics operations: An AI-supported digital technological framework</t>
        </is>
      </c>
      <c r="D16" s="49" t="inlineStr">
        <is>
          <t>Transportation Research Part E: Logistics and Transportation Review</t>
        </is>
      </c>
      <c r="E16" s="49" t="inlineStr">
        <is>
          <t>10.1016/j.tre.2024.103496</t>
        </is>
      </c>
      <c r="F16" s="49" t="inlineStr">
        <is>
          <t>alto</t>
        </is>
      </c>
      <c r="G16" s="49" t="inlineStr">
        <is>
          <t>Marco conceptual (TR-E) derivado de "a selective critical review" con casos ilustrativos (MTR): "We establish an AI supported digital technological framework, called the ABCDE framework, for transportation and logistics companies to adopt with their use of metaverse", con IA, blockchain, gemelos y realidad extendida como constructos separados y sin sistema propuesto (precedente R0190; mismo trato que R0224). Valor para snowballing: alto.</t>
        </is>
      </c>
    </row>
    <row r="17">
      <c r="A17" s="49" t="inlineStr">
        <is>
          <t>R0286</t>
        </is>
      </c>
      <c r="B17" s="49" t="n">
        <v>2023</v>
      </c>
      <c r="C17" s="49" t="inlineStr">
        <is>
          <t>A Bibliometric Analysis of Digital Twin in the Supply Chain</t>
        </is>
      </c>
      <c r="D17" s="49" t="inlineStr">
        <is>
          <t>Mathematics</t>
        </is>
      </c>
      <c r="E17" s="49" t="inlineStr">
        <is>
          <t>10.3390/math11153350</t>
        </is>
      </c>
      <c r="F17" s="49" t="inlineStr">
        <is>
          <t>alto</t>
        </is>
      </c>
      <c r="G17" s="49" t="inlineStr">
        <is>
          <t>"This paper presents a bibliometric analysis of digital twin in the supply chain"; tendencias hacia aprendizaje profundo e IA. Valor para snowballing: alto.</t>
        </is>
      </c>
    </row>
    <row r="18">
      <c r="A18" s="49" t="inlineStr">
        <is>
          <t>R0329</t>
        </is>
      </c>
      <c r="B18" s="49" t="n">
        <v>2022</v>
      </c>
      <c r="C18" s="49" t="inlineStr">
        <is>
          <t>The Role Of AI In Warehouse Digital Twins</t>
        </is>
      </c>
      <c r="D18" s="49" t="inlineStr">
        <is>
          <t>European Modeling and Simulation Symposium, EMSS</t>
        </is>
      </c>
      <c r="E18" s="49" t="inlineStr">
        <is>
          <t>10.46354/i3m.2022.emss.024</t>
        </is>
      </c>
      <c r="F18" s="49" t="inlineStr">
        <is>
          <t>alto</t>
        </is>
      </c>
      <c r="G18" s="49" t="inlineStr">
        <is>
          <t>Examen de casos de uso y madurez de la IA en gemelos de almacén ("this paper examines the use cases of warehouse digital twins (WDT). This study aims to assess the maturity of AI application within WDT"). Valor para snowballing: alto.</t>
        </is>
      </c>
    </row>
    <row r="19">
      <c r="A19" s="49" t="inlineStr">
        <is>
          <t>R0335</t>
        </is>
      </c>
      <c r="B19" s="49" t="n">
        <v>2021</v>
      </c>
      <c r="C19" s="49" t="inlineStr">
        <is>
          <t>Smart master production schedule for the supply chain: A conceptual framework</t>
        </is>
      </c>
      <c r="D19" s="49" t="inlineStr">
        <is>
          <t>Computers</t>
        </is>
      </c>
      <c r="E19" s="49" t="inlineStr">
        <is>
          <t>10.3390/computers10120156</t>
        </is>
      </c>
      <c r="F19" s="49" t="inlineStr">
        <is>
          <t>alto</t>
        </is>
      </c>
      <c r="G19" s="49" t="inlineStr">
        <is>
          <t>Recodificado 2026-09-06 en la auditoría final (I→E4): Marco conceptual basado en revisión del estado del arte (C3): "This paper reviews the state of the art and proposes a ZDM strategy-based conceptual framework that models, optimizes and simulates the master production schedule (MPS) problem to maximize service levels in SCs"; intersección exacta gemelo + ML + planeación de cadena ("digital twin (DT) technology, enable new simulation and optimization methods, especially in combination with machine learning (ML) procedures"), por eso valor alto. Make retirado (deja de ser inclusión). Valor para snowballing: alto. | Nota original (I) (anotado Make en el cribado inicial, retirado): Marco conceptual de programa maestro de producción para la cadena: "digital twin (DT) technology, enable new simulation and optimization methods, especially in combination with machine learning (ML) procedures"; "proposes a ZDM strategy-based conceptual framework that models, optimizes and simulates the master production schedule (MPS) problem to maximize service levels in SCs". Make (planeación de producción encuadrada en niveles de servicio de la cadena, como R0328 y R0331); conceptual; verificar que el gemelo sea componente del marco.</t>
        </is>
      </c>
    </row>
    <row r="20">
      <c r="A20" s="49" t="inlineStr">
        <is>
          <t>R0395</t>
        </is>
      </c>
      <c r="B20" s="49" t="n">
        <v>2026</v>
      </c>
      <c r="C20" s="49" t="inlineStr">
        <is>
          <t>Autonomous Supply Chains: Integrating Artificial Intelligence, Digital Twins, and Predictive Analytics for Intelligent Decision Systems</t>
        </is>
      </c>
      <c r="D20" s="49" t="inlineStr">
        <is>
          <t>Information (Switzerland)</t>
        </is>
      </c>
      <c r="E20" s="49" t="inlineStr">
        <is>
          <t>10.3390/info17040371</t>
        </is>
      </c>
      <c r="F20" s="49" t="inlineStr">
        <is>
          <t>alto</t>
        </is>
      </c>
      <c r="G20" s="49" t="inlineStr">
        <is>
          <t>Revision estructurada de 52 estudios sobre cadenas autonomas ("Autonomous Supply Chains: Integrating Artificial Intelligence, Digital Twins, and Predictive Analytics") con marco multicapa y "human-AI collaboration in decision-making". Valor para snowballing: alto.</t>
        </is>
      </c>
    </row>
    <row r="21">
      <c r="A21" s="49" t="inlineStr">
        <is>
          <t>R0415</t>
        </is>
      </c>
      <c r="B21" s="49" t="n">
        <v>2026</v>
      </c>
      <c r="C21" s="49" t="inlineStr">
        <is>
          <t>A systematic analysis of generative artificial intelligence for supply chain transformation</t>
        </is>
      </c>
      <c r="D21" s="49" t="inlineStr">
        <is>
          <t>Supply Chain Analytics</t>
        </is>
      </c>
      <c r="E21" s="49" t="inlineStr">
        <is>
          <t>10.1016/j.sca.2025.100188</t>
        </is>
      </c>
      <c r="F21" s="49" t="inlineStr">
        <is>
          <t>alto</t>
        </is>
      </c>
      <c r="G21" s="49" t="inlineStr">
        <is>
          <t>Revision sistematica PRISMA de 98 estudios de IA generativa en cadena con mapeo SCOR ("the first combined thematic and Supply Chain Operations Reference (SCOR) model-based mapping"); agenda de "hybrid GAI-driven optimization with digital twin architectures". Valor para snowballing: alto.</t>
        </is>
      </c>
    </row>
    <row r="22">
      <c r="A22" s="49" t="inlineStr">
        <is>
          <t>R0421</t>
        </is>
      </c>
      <c r="B22" s="49" t="n">
        <v>2026</v>
      </c>
      <c r="C22" s="49" t="inlineStr">
        <is>
          <t>AI-enhanced Digital Twin systems for warehouse logistics optimization: A review of challenges with solutions and future directions</t>
        </is>
      </c>
      <c r="D22" s="49" t="inlineStr">
        <is>
          <t>ICT Express</t>
        </is>
      </c>
      <c r="E22" s="49" t="inlineStr">
        <is>
          <t>10.1016/j.icte.2026.01.009</t>
        </is>
      </c>
      <c r="F22" s="49" t="inlineStr">
        <is>
          <t>alto</t>
        </is>
      </c>
      <c r="G22" s="49" t="inlineStr">
        <is>
          <t>Revision de gemelos con IA para logistica de almacen ("AI-enhanced Digital Twin systems for warehouse logistics optimization: A review"); planeacion de rutas, asignacion de tareas, inventario y robots colaborativos. Valor para snowballing: alto.</t>
        </is>
      </c>
    </row>
    <row r="23">
      <c r="A23" s="49" t="inlineStr">
        <is>
          <t>R0426</t>
        </is>
      </c>
      <c r="B23" s="49" t="n">
        <v>2026</v>
      </c>
      <c r="C23" s="49" t="inlineStr">
        <is>
          <t>Resilient and Intelligent Supply Chains: Advances and Challenges in AI-Driven Optimization and Forecasting</t>
        </is>
      </c>
      <c r="D23" s="49" t="inlineStr">
        <is>
          <t>Applied Sciences (Switzerland)</t>
        </is>
      </c>
      <c r="E23" s="49" t="inlineStr">
        <is>
          <t>10.3390/app16094285</t>
        </is>
      </c>
      <c r="F23" s="49" t="inlineStr">
        <is>
          <t>alto</t>
        </is>
      </c>
      <c r="G23" s="49" t="inlineStr">
        <is>
          <t>Revision de optimizacion de cadena con IA e investigacion de operaciones ("This review synthesizes recent advances in supply chain optimization"); capa de "digitalized execution through simulation and digital twin environments" y ecosistemas de decision supervisados por humanos. Valor para snowballing: alto.</t>
        </is>
      </c>
    </row>
    <row r="24">
      <c r="A24" s="49" t="inlineStr">
        <is>
          <t>R0477</t>
        </is>
      </c>
      <c r="B24" s="49" t="n">
        <v>2025</v>
      </c>
      <c r="C24" s="49" t="inlineStr">
        <is>
          <t>A comprehensive review of simulation optimization methods in agricultural supply chains and transition towards an agent-based intelligent digital framework for agriculture 4.0</t>
        </is>
      </c>
      <c r="D24" s="49" t="inlineStr">
        <is>
          <t>ENGINEERING APPLICATIONS OF ARTIFICIAL INTELLIGENCE</t>
        </is>
      </c>
      <c r="E24" s="49" t="inlineStr">
        <is>
          <t>10.1016/j.engappai.2024.109930</t>
        </is>
      </c>
      <c r="F24" s="49" t="inlineStr">
        <is>
          <t>alto</t>
        </is>
      </c>
      <c r="G24" s="49" t="inlineStr">
        <is>
          <t>Revision de optimizacion basada en simulacion en cadenas agricolas con marco conceptual de gemelo con agentes y aprendizaje por refuerzo ("a conceptual framework for a digital and intelligent agricultural supply chain, seamlessly integrating agent-based simulation and reinforcement learning strategies"). Valor para snowballing: alto.</t>
        </is>
      </c>
    </row>
    <row r="25">
      <c r="A25" s="49" t="inlineStr">
        <is>
          <t>R0489</t>
        </is>
      </c>
      <c r="B25" s="49" t="n">
        <v>2023</v>
      </c>
      <c r="C25" s="49" t="inlineStr">
        <is>
          <t>Convergence of Distributed Ledger Technologies with Digital Twins, IoT, and AI for fresh food logistics: Challenges and opportunities</t>
        </is>
      </c>
      <c r="D25" s="49" t="inlineStr">
        <is>
          <t>Journal of Industrial Information Integration</t>
        </is>
      </c>
      <c r="E25" s="49" t="inlineStr">
        <is>
          <t>10.1016/j.jii.2022.100393</t>
        </is>
      </c>
      <c r="F25" s="49" t="inlineStr">
        <is>
          <t>alto</t>
        </is>
      </c>
      <c r="G25" s="49" t="inlineStr">
        <is>
          <t>Revision de la convergencia de libros mayores distribuidos, gemelos, IoT e IA en logistica alimentaria ("this work presents a review of the application of these technologies for food logistics"). Valor para snowballing: alto.</t>
        </is>
      </c>
    </row>
    <row r="26">
      <c r="A26" s="49" t="inlineStr">
        <is>
          <t>R0490</t>
        </is>
      </c>
      <c r="B26" s="49" t="n">
        <v>2023</v>
      </c>
      <c r="C26" s="49" t="inlineStr">
        <is>
          <t>The Role of AI in Warehouse Digital Twins: Literature Review †</t>
        </is>
      </c>
      <c r="D26" s="49" t="inlineStr">
        <is>
          <t>Applied Sciences (Switzerland)</t>
        </is>
      </c>
      <c r="E26" s="49" t="inlineStr">
        <is>
          <t>10.3390/app13116746</t>
        </is>
      </c>
      <c r="F26" s="49" t="inlineStr">
        <is>
          <t>alto</t>
        </is>
      </c>
      <c r="G26" s="49" t="inlineStr">
        <is>
          <t>Revision de la IA en gemelos de almacen ("This paper aims to evaluate the synergies between AI and digital twins"; "assess the maturity of AI applications within WDT"). Valor para snowballing: alto. Posible version extendida del examen de casos de uso ya cribado en el lote 7.</t>
        </is>
      </c>
    </row>
    <row r="27">
      <c r="A27" s="49" t="inlineStr">
        <is>
          <t>R0497</t>
        </is>
      </c>
      <c r="B27" s="49" t="n">
        <v>2021</v>
      </c>
      <c r="C27" s="49" t="inlineStr">
        <is>
          <t>Digital Twin Integrated Reinforced Learning in Supply Chain and Logistics</t>
        </is>
      </c>
      <c r="D27" s="49" t="inlineStr">
        <is>
          <t>Logistics</t>
        </is>
      </c>
      <c r="E27" s="49" t="inlineStr">
        <is>
          <t>10.3390/logistics5040084</t>
        </is>
      </c>
      <c r="F27" s="49" t="inlineStr">
        <is>
          <t>alto</t>
        </is>
      </c>
      <c r="G27" s="49" t="inlineStr">
        <is>
          <t>Revision sistematica de gemelos con aprendizaje por refuerzo en cadena y logistica ("Digital Twin Integrated Reinforced Learning in Supply Chain and Logistics") con marco propuesto ("A framework for data-driven digital twin generation and reinforced learning has been proposed"). Valor para snowballing: alto.</t>
        </is>
      </c>
    </row>
    <row r="28">
      <c r="A28" s="49" t="inlineStr">
        <is>
          <t>R0544</t>
        </is>
      </c>
      <c r="B28" s="49" t="n">
        <v>2026</v>
      </c>
      <c r="C28" s="49" t="inlineStr">
        <is>
          <t>Innovations in digital twin technology for real-time food traceability and post-harvest optimization for sustainable development</t>
        </is>
      </c>
      <c r="D28" s="49" t="inlineStr">
        <is>
          <t>FOOD CONTROL</t>
        </is>
      </c>
      <c r="E28" s="49" t="inlineStr">
        <is>
          <t>10.1016/j.foodcont.2026.112388</t>
        </is>
      </c>
      <c r="F28" s="49" t="inlineStr">
        <is>
          <t>alto</t>
        </is>
      </c>
      <c r="G28" s="49" t="inlineStr">
        <is>
          <t>Revision declarada: "The aim of this review is to critically evaluate the role of Digital Twin technology in enabling real-time food traceability and post-harvest optimization across agri-food supply chains", con "the fusion of AI, IoT and blockchain". Valor para snowballing: alto.</t>
        </is>
      </c>
    </row>
    <row r="29">
      <c r="A29" s="49" t="inlineStr">
        <is>
          <t>R0573</t>
        </is>
      </c>
      <c r="B29" s="49" t="n">
        <v>2025</v>
      </c>
      <c r="C29" s="49" t="inlineStr">
        <is>
          <t>A Systematic Literature Review on Digital Twins in Circular Supply Chain Management</t>
        </is>
      </c>
      <c r="D29" s="49" t="inlineStr">
        <is>
          <t>Business Strategy and the Environment</t>
        </is>
      </c>
      <c r="E29" s="49" t="inlineStr">
        <is>
          <t>10.1002/bse.70038</t>
        </is>
      </c>
      <c r="F29" s="49" t="inlineStr">
        <is>
          <t>alto</t>
        </is>
      </c>
      <c r="G29" s="49" t="inlineStr">
        <is>
          <t>Revision sistematica PRISMA de 109 articulos: "This study presents a systematic literature review exploring the role of Digital Twins (DTs) in Circular Supply Chain Management (CSCM)", con grupo tematico "Big Data, AI, and Circular Economy". Valor para snowballing: alto.</t>
        </is>
      </c>
    </row>
    <row r="30">
      <c r="A30" s="49" t="inlineStr">
        <is>
          <t>R0588</t>
        </is>
      </c>
      <c r="B30" s="49" t="n">
        <v>2025</v>
      </c>
      <c r="C30" s="49" t="inlineStr">
        <is>
          <t>State of the Art of Digital Twins in Improving Supply Chain Resilience</t>
        </is>
      </c>
      <c r="D30" s="49" t="inlineStr">
        <is>
          <t>LOGISTICS-BASEL</t>
        </is>
      </c>
      <c r="E30" s="49" t="inlineStr">
        <is>
          <t>10.3390/logistics9010022</t>
        </is>
      </c>
      <c r="F30" s="49" t="inlineStr">
        <is>
          <t>alto</t>
        </is>
      </c>
      <c r="G30" s="49" t="inlineStr">
        <is>
          <t>Revision del estado del arte: "This paper aims to provide a comprehensive review of the state of the art in digital twin applications within supply chains", con palabra clave de autor "systematic literature review". Valor para snowballing: alto.</t>
        </is>
      </c>
    </row>
    <row r="31">
      <c r="A31" s="49" t="inlineStr">
        <is>
          <t>R0605</t>
        </is>
      </c>
      <c r="B31" s="49" t="n">
        <v>2024</v>
      </c>
      <c r="C31" s="49" t="inlineStr">
        <is>
          <t>Digital twin-based warehouse management system: a theoretical toolbox for future research and applications</t>
        </is>
      </c>
      <c r="D31" s="49" t="inlineStr">
        <is>
          <t>International Journal of Logistics Management</t>
        </is>
      </c>
      <c r="E31" s="49" t="inlineStr">
        <is>
          <t>10.1108/ijlm-01-2023-0030</t>
        </is>
      </c>
      <c r="F31" s="49" t="inlineStr">
        <is>
          <t>alto</t>
        </is>
      </c>
      <c r="G31" s="49" t="inlineStr">
        <is>
          <t>Revision (Doc type Review) con "systematic literature analysis method" sobre el sistema de gestion de almacen basado en gemelo y la torre de control de cadena; propone caja de herramientas teorica. Valor para snowballing: alto.</t>
        </is>
      </c>
    </row>
    <row r="32">
      <c r="A32" s="49" t="inlineStr">
        <is>
          <t>R0616</t>
        </is>
      </c>
      <c r="B32" s="49" t="n">
        <v>2023</v>
      </c>
      <c r="C32" s="49" t="inlineStr">
        <is>
          <t>Digital twin applications in urban logistics: an overview</t>
        </is>
      </c>
      <c r="D32" s="49" t="inlineStr">
        <is>
          <t>Urban, Planning and Transport Research</t>
        </is>
      </c>
      <c r="E32" s="49" t="inlineStr">
        <is>
          <t>10.1080/21650020.2023.2216768</t>
        </is>
      </c>
      <c r="F32" s="49" t="inlineStr">
        <is>
          <t>alto</t>
        </is>
      </c>
      <c r="G32" s="49" t="inlineStr">
        <is>
          <t>Revision (Doc type Review) con modelo conceptual: "we survey previous research on DT applications in urban logistics as we found that a holistic overview is lacking"; palabras clave de IA y ML y metodos DDO. Valor para snowballing: alto.</t>
        </is>
      </c>
    </row>
    <row r="33">
      <c r="A33" s="49" t="inlineStr">
        <is>
          <t>R0620</t>
        </is>
      </c>
      <c r="B33" s="49" t="n">
        <v>2022</v>
      </c>
      <c r="C33" s="49" t="inlineStr">
        <is>
          <t>Digital twin for sustainable manufacturing supply chains: Current trends, future perspectives, and an implementation framework</t>
        </is>
      </c>
      <c r="D33" s="49" t="inlineStr">
        <is>
          <t>Technological Forecasting and Social Change</t>
        </is>
      </c>
      <c r="E33" s="49" t="inlineStr">
        <is>
          <t>10.1016/j.techfore.2021.121448</t>
        </is>
      </c>
      <c r="F33" s="49" t="inlineStr">
        <is>
          <t>alto</t>
        </is>
      </c>
      <c r="G33" s="49" t="inlineStr">
        <is>
          <t>Revision sistematica de 98 articulos ("This paper presents a systematic literature review of 98 research papers on various digital supply chain twin dimensions") con marco de implementacion; palabra clave de IA. Valor para snowballing: alto.</t>
        </is>
      </c>
    </row>
    <row r="34">
      <c r="A34" s="49" t="inlineStr">
        <is>
          <t>R0630</t>
        </is>
      </c>
      <c r="B34" s="49" t="n">
        <v>2021</v>
      </c>
      <c r="C34" s="49" t="inlineStr">
        <is>
          <t>Digital Twin in the Agri-Food Supply Chain: A Literature Review</t>
        </is>
      </c>
      <c r="D34" s="49" t="inlineStr">
        <is>
          <t>IFIP Advances in Information and Communication Technology</t>
        </is>
      </c>
      <c r="E34" s="49" t="inlineStr">
        <is>
          <t>10.1007/978-3-030-85910-7_29</t>
        </is>
      </c>
      <c r="F34" s="49" t="inlineStr">
        <is>
          <t>alto</t>
        </is>
      </c>
      <c r="G34" s="49" t="inlineStr">
        <is>
          <t>Revision de literatura declarada ("Digital Twin in the Agri-Food Supply Chain: A Literature Review") con clasificacion por fase de la cadena y modelado basado en datos o en fisica. Valor para snowballing: alto.</t>
        </is>
      </c>
    </row>
    <row r="35">
      <c r="A35" s="49" t="inlineStr">
        <is>
          <t>R0006</t>
        </is>
      </c>
      <c r="B35" s="49" t="n">
        <v>2026</v>
      </c>
      <c r="C35" s="49" t="inlineStr">
        <is>
          <t>AI IN FOOD SUPPLY CHAIN MANAGEMENT: A COMPREHENSIVE ANALYSIS; [SZTUCZNA INTELIGENCJA W ZARZĄDZANIU ŁAŃCUCHEM DOSTAW ŻYWNOŚCI: KOMPLEKSOWA ANALIZA]</t>
        </is>
      </c>
      <c r="D35" s="49" t="inlineStr">
        <is>
          <t>Polish Journal of Management Studies</t>
        </is>
      </c>
      <c r="E35" s="49" t="inlineStr">
        <is>
          <t>10.17512/pjms.2026.33.1.10</t>
        </is>
      </c>
      <c r="F35" s="49" t="inlineStr">
        <is>
          <t>medio</t>
        </is>
      </c>
      <c r="G35" s="49" t="inlineStr">
        <is>
          <t>Revisión integradora con bibliometría: "This study presents an integrated review of how Artificial Intelligence (AI) has transformed Food Supply Chain Management" con "VOS viewer based bibliometric analysis"; gemelos sólo mencionados. Valor para snowballing: medio.</t>
        </is>
      </c>
    </row>
    <row r="36">
      <c r="A36" s="49" t="inlineStr">
        <is>
          <t>R0016</t>
        </is>
      </c>
      <c r="B36" s="49" t="n">
        <v>2026</v>
      </c>
      <c r="C36" s="49" t="inlineStr">
        <is>
          <t>Computational Economics of Circular Construction: Machine Learning and Digital Twins for Optimizing Demolition Waste Recovery and Business Value</t>
        </is>
      </c>
      <c r="D36" s="49" t="inlineStr">
        <is>
          <t>Computation</t>
        </is>
      </c>
      <c r="E36" s="49" t="inlineStr">
        <is>
          <t>10.3390/computation14040076</t>
        </is>
      </c>
      <c r="F36" s="49" t="inlineStr">
        <is>
          <t>medio</t>
        </is>
      </c>
      <c r="G36" s="49" t="inlineStr">
        <is>
          <t>"This study conducts a systematic literature review using the Context–Mechanism–Outcome (CMO) framework" (PRISMA 2020, 42 estudios) sobre gemelos, IA y otros habilitadores en residuos de construcción. Valor para snowballing: medio (logística inversa).</t>
        </is>
      </c>
    </row>
    <row r="37">
      <c r="A37" s="49" t="inlineStr">
        <is>
          <t>R0039</t>
        </is>
      </c>
      <c r="B37" s="49" t="n">
        <v>2026</v>
      </c>
      <c r="C37" s="49" t="inlineStr">
        <is>
          <t>A multi-layer Industry 4.0 framework for ensuring halal integrity in NZ meat supply chains</t>
        </is>
      </c>
      <c r="D37" s="49" t="inlineStr">
        <is>
          <t>Food Control</t>
        </is>
      </c>
      <c r="E37" s="49" t="inlineStr">
        <is>
          <t>10.1016/j.foodcont.2025.111880</t>
        </is>
      </c>
      <c r="F37" s="49" t="inlineStr">
        <is>
          <t>medio</t>
        </is>
      </c>
      <c r="G37" s="49" t="inlineStr">
        <is>
          <t>"This study provides a comprehensive review of how Industry 4.0 technologies, including Blockchain, Artificial Intelligence (AI), Internet of Things (IoT), Cloud Computing, Digital Twins, and Augmented Reality (AR), can be integrated to enhance halal assurance"; propone arquitectura. Valor para snowballing: medio.</t>
        </is>
      </c>
    </row>
    <row r="38">
      <c r="A38" s="49" t="inlineStr">
        <is>
          <t>R0046</t>
        </is>
      </c>
      <c r="B38" s="49" t="n">
        <v>2026</v>
      </c>
      <c r="C38" s="49" t="inlineStr">
        <is>
          <t>Supply chain mapping for enhanced visibility and resilience: a multi-industry comparative study of best practices and emerging technologies</t>
        </is>
      </c>
      <c r="D38" s="49" t="inlineStr">
        <is>
          <t>International Journal of Business Performance and Supply Chain Modelling</t>
        </is>
      </c>
      <c r="E38" s="49" t="inlineStr">
        <is>
          <t>10.1504/ijbpscm.2026.154574</t>
        </is>
      </c>
      <c r="F38" s="49" t="inlineStr">
        <is>
          <t>medio</t>
        </is>
      </c>
      <c r="G38" s="49" t="inlineStr">
        <is>
          <t>"This study provides an integrated review of key mapping typologies" de mapeo de cadena; gemelos e IA como tecnologías combinadas. Valor para snowballing: medio.</t>
        </is>
      </c>
    </row>
    <row r="39">
      <c r="A39" s="49" t="inlineStr">
        <is>
          <t>R0052</t>
        </is>
      </c>
      <c r="B39" s="49" t="n">
        <v>2026</v>
      </c>
      <c r="C39" s="49" t="inlineStr">
        <is>
          <t>Innovations in modelling city logistics</t>
        </is>
      </c>
      <c r="D39" s="49" t="inlineStr">
        <is>
          <t>Transportation Research Procedia</t>
        </is>
      </c>
      <c r="E39" s="49" t="inlineStr">
        <is>
          <t>10.1016/j.trpro.2026.04.098</t>
        </is>
      </c>
      <c r="F39" s="49" t="inlineStr">
        <is>
          <t>medio</t>
        </is>
      </c>
      <c r="G39" s="49" t="inlineStr">
        <is>
          <t>"This review paper presents recent innovations in modelling city logistics"; gemelos y ML entre los temas cubiertos. Valor para snowballing: medio.</t>
        </is>
      </c>
    </row>
    <row r="40">
      <c r="A40" s="49" t="inlineStr">
        <is>
          <t>R0079</t>
        </is>
      </c>
      <c r="B40" s="49" t="n">
        <v>2026</v>
      </c>
      <c r="C40" s="49" t="inlineStr">
        <is>
          <t>Systematic Review of Artificial Intelligence Tools Applied to the Classification, Quality Control, and Shelf Life Prediction of Post-harvest Agricultural Products (2000–2025)</t>
        </is>
      </c>
      <c r="D40" s="49" t="inlineStr">
        <is>
          <t>Communications in Computer and Information Science</t>
        </is>
      </c>
      <c r="E40" s="49" t="inlineStr">
        <is>
          <t>10.1007/978-3-032-11494-5_3</t>
        </is>
      </c>
      <c r="F40" s="49" t="inlineStr">
        <is>
          <t>medio</t>
        </is>
      </c>
      <c r="G40" s="49" t="inlineStr">
        <is>
          <t>"This study presents a systematic review of artificial intelligence (AI) and Internet of Things (IoT) applications in post-harvest fruit management" (PRISMA 2020); gemelo–IoT para vida de anaquel en cadena de frío. Valor para snowballing: medio.</t>
        </is>
      </c>
    </row>
    <row r="41">
      <c r="A41" s="49" t="inlineStr">
        <is>
          <t>R0085</t>
        </is>
      </c>
      <c r="B41" s="49" t="n">
        <v>2026</v>
      </c>
      <c r="C41" s="49" t="inlineStr">
        <is>
          <t>Enabling Flexible, Resilient, and Sustainable Supply Chains through Metaverse Technologies</t>
        </is>
      </c>
      <c r="D41" s="49" t="inlineStr">
        <is>
          <t>Global Journal of Flexible Systems Management</t>
        </is>
      </c>
      <c r="E41" s="49" t="inlineStr">
        <is>
          <t>10.1007/s40171-026-00490-2</t>
        </is>
      </c>
      <c r="F41" s="49" t="inlineStr">
        <is>
          <t>medio</t>
        </is>
      </c>
      <c r="G41" s="49" t="inlineStr">
        <is>
          <t>Análisis temático de literatura con modelado de tópicos ("Using a mixed-method approach incorporating BERTopic modeling, the research identifies four thematic areas") que "applies the antecedents–decisions–outcomes (ADO) framework to propose an outline for further research avenues"; carácter de revisión. Valor para snowballing: medio.</t>
        </is>
      </c>
    </row>
    <row r="42">
      <c r="A42" s="49" t="inlineStr">
        <is>
          <t>R0117</t>
        </is>
      </c>
      <c r="B42" s="49" t="n">
        <v>2025</v>
      </c>
      <c r="C42" s="49" t="inlineStr">
        <is>
          <t>Artificial intelligence and circular supply chains: framework for applications and deployment from the triple bottom line model perspective</t>
        </is>
      </c>
      <c r="D42" s="49" t="inlineStr">
        <is>
          <t>Annals of Operations Research</t>
        </is>
      </c>
      <c r="E42" s="49" t="inlineStr">
        <is>
          <t>10.1007/s10479-025-06510-1</t>
        </is>
      </c>
      <c r="F42" s="49" t="inlineStr">
        <is>
          <t>medio</t>
        </is>
      </c>
      <c r="G42" s="49" t="inlineStr">
        <is>
          <t>Recodificado 2026-09-06 en la auditoría final (E1→E4): Síntesis de literatura (C3): "this study compiles and organizes AI in CSC research by identifying the enablers of AI"; cadena circular e IA como objetos, gemelo sólo listado ("technologies such as Digital Twins, Industrial Internet of Things, and Blockchain provide frameworks for cyber-physical systems"). Valor para snowballing: medio. | Nota original (E1): Marco conceptual de IA en cadenas circulares (TBL) que "compiles and organizes AI in CSC research"; gemelo sólo en lista ("technologies such as Digital Twins, Industrial Internet of Things, and Blockchain provide frameworks for cyber-physical systems"). Carácter de revisión conceptual, sin valor para snowballing.</t>
        </is>
      </c>
    </row>
    <row r="43">
      <c r="A43" s="49" t="inlineStr">
        <is>
          <t>R0124</t>
        </is>
      </c>
      <c r="B43" s="49" t="n">
        <v>2025</v>
      </c>
      <c r="C43" s="49" t="inlineStr">
        <is>
          <t>Quantitative Methods for Agri-Food Supply Chain Resilience: A Systematic Literature Review Using Text Mining</t>
        </is>
      </c>
      <c r="D43" s="49" t="inlineStr">
        <is>
          <t>IFAC-PapersOnLine</t>
        </is>
      </c>
      <c r="E43" s="49" t="inlineStr">
        <is>
          <t>10.1016/j.ifacol.2025.09.044</t>
        </is>
      </c>
      <c r="F43" s="49" t="inlineStr">
        <is>
          <t>medio</t>
        </is>
      </c>
      <c r="G43" s="49" t="inlineStr">
        <is>
          <t>"This study conducts a Systematic Literature Review (SLR) using text mining and Latent Dirichlet Allocation (LDA)" sobre resiliencia agroalimentaria; gemelo sólo como recomendación. Valor para snowballing: medio.</t>
        </is>
      </c>
    </row>
    <row r="44">
      <c r="A44" s="49" t="inlineStr">
        <is>
          <t>R0131</t>
        </is>
      </c>
      <c r="B44" s="49" t="n">
        <v>2025</v>
      </c>
      <c r="C44" s="49" t="inlineStr">
        <is>
          <t>A Bibliometric and Trend Analysis on Intelligent Technologies in Fashion 5.0 Supply Chains</t>
        </is>
      </c>
      <c r="D44" s="49" t="inlineStr">
        <is>
          <t>Lecture Notes in Networks and Systems</t>
        </is>
      </c>
      <c r="E44" s="49" t="inlineStr">
        <is>
          <t>10.1007/978-3-031-97985-9_87</t>
        </is>
      </c>
      <c r="F44" s="49" t="inlineStr">
        <is>
          <t>medio</t>
        </is>
      </c>
      <c r="G44" s="49" t="inlineStr">
        <is>
          <t>"This paper conducts a bibliometric and trend analysis to identify key research areas, gaps, and technological enablers shaping Fashion 5.0"; propone modelo de madurez. Valor para snowballing: medio (ajustado en la auditoría final 2026-09-06, antes bajo: Fashion 5.0 nombra la cadena de moda con eje humano-céntrico y los habilitadores como objeto).</t>
        </is>
      </c>
    </row>
    <row r="45">
      <c r="A45" s="49" t="inlineStr">
        <is>
          <t>R0136</t>
        </is>
      </c>
      <c r="B45" s="49" t="n">
        <v>2025</v>
      </c>
      <c r="C45" s="49" t="inlineStr">
        <is>
          <t>Toward Smart Manufacturing Metaverse via Digital Twinning in Extended Reality</t>
        </is>
      </c>
      <c r="D45" s="49" t="inlineStr">
        <is>
          <t>Journal of Computing and Information Science in Engineering</t>
        </is>
      </c>
      <c r="E45" s="49" t="inlineStr">
        <is>
          <t>10.1115/1.4070437</t>
        </is>
      </c>
      <c r="F45" s="49" t="inlineStr">
        <is>
          <t>medio</t>
        </is>
      </c>
      <c r="G45" s="49" t="inlineStr">
        <is>
          <t>Recodificado 2026-09-06 en la auditoría final (E2→E4): Artículo de perspectiva (C3): "This article presents a forward-looking perspective on the development of smart MfgVerse"; gemelos cognitivos e IA en manufactura con eje humano-máquina ("human-centered manufacturing metaverse"), cadena y logística sólo como redes auxiliares ("auxiliary networks of sales, supply chain, logistics, and remanufacturing systems"). Valor para snowballing: medio. | Nota original (E2): Perspectiva de metaverso de manufactura con gemelos cognitivos e IA; la cadena y la logística sólo como redes auxiliares ("auxiliary networks of sales, supply chain, logistics, and remanufacturing systems"), sin encuadre de planeación ni logística intra-planta (regla Make).</t>
        </is>
      </c>
    </row>
    <row r="46">
      <c r="A46" s="49" t="inlineStr">
        <is>
          <t>R0139</t>
        </is>
      </c>
      <c r="B46" s="49" t="n">
        <v>2025</v>
      </c>
      <c r="C46" s="49" t="inlineStr">
        <is>
          <t>Predictive Analytics using Geolocation in Logistics: A Review</t>
        </is>
      </c>
      <c r="D46" s="49" t="inlineStr">
        <is>
          <t>2025 Global Conference on Information Technology and Communication Networks, GITCON 2025</t>
        </is>
      </c>
      <c r="E46" s="49" t="inlineStr">
        <is>
          <t>10.1109/gitcon65266.2025.11376703</t>
        </is>
      </c>
      <c r="F46" s="49" t="inlineStr">
        <is>
          <t>medio</t>
        </is>
      </c>
      <c r="G46" s="49" t="inlineStr">
        <is>
          <t>"This review synthesizes key technologies-such as GPS, RFID, UAVs, and IoT-that underpin this transformation" en logística; gemelos como paradigma emergente. Valor para snowballing: medio.</t>
        </is>
      </c>
    </row>
    <row r="47">
      <c r="A47" s="49" t="inlineStr">
        <is>
          <t>R0171</t>
        </is>
      </c>
      <c r="B47" s="49" t="n">
        <v>2025</v>
      </c>
      <c r="C47" s="49" t="inlineStr">
        <is>
          <t>Harnessing Digital Twins for Construction Site Management</t>
        </is>
      </c>
      <c r="D47" s="49" t="inlineStr">
        <is>
          <t>Proceedings of the International Symposium on Automation and Robotics in Construction</t>
        </is>
      </c>
      <c r="E47" s="49" t="inlineStr">
        <is>
          <t>10.22260/isarc2025/0100</t>
        </is>
      </c>
      <c r="F47" s="49" t="inlineStr">
        <is>
          <t>medio</t>
        </is>
      </c>
      <c r="G47" s="49" t="inlineStr">
        <is>
          <t>"This study uses a Systematics literature review (SLR) to thoroughly examine the function of DTs for onsite construction management", incluida "logistics and material". Valor para snowballing: medio.</t>
        </is>
      </c>
    </row>
    <row r="48">
      <c r="A48" s="49" t="inlineStr">
        <is>
          <t>R0175</t>
        </is>
      </c>
      <c r="B48" s="49" t="n">
        <v>2025</v>
      </c>
      <c r="C48" s="49" t="inlineStr">
        <is>
          <t>Harnessing Industry 4.0 technologies in minimizing food loss and waste across the food supply chain: a hybrid study</t>
        </is>
      </c>
      <c r="D48" s="49" t="inlineStr">
        <is>
          <t>Benchmarking</t>
        </is>
      </c>
      <c r="E48" s="49" t="inlineStr">
        <is>
          <t>10.1108/bij-10-2024-0900</t>
        </is>
      </c>
      <c r="F48" s="49" t="inlineStr">
        <is>
          <t>medio</t>
        </is>
      </c>
      <c r="G48" s="49" t="inlineStr">
        <is>
          <t>"A multi-stage systematic literature review (SLR) of 122 research papers was employed to identify emerging themes", seguida de ranking de tecnologías por 34 expertos (también C4); gemelo como una de seis tecnologías. Valor para snowballing: medio.</t>
        </is>
      </c>
    </row>
    <row r="49">
      <c r="A49" s="49" t="inlineStr">
        <is>
          <t>R0191</t>
        </is>
      </c>
      <c r="B49" s="49" t="n">
        <v>2025</v>
      </c>
      <c r="C49" s="49" t="inlineStr">
        <is>
          <t>Generative AI and Territorial Logistics Network Modeling</t>
        </is>
      </c>
      <c r="D49" s="49" t="inlineStr">
        <is>
          <t>2025 IEEE International Conference on Advanced Technologies in Supply Chain Management, ATSCM 2025</t>
        </is>
      </c>
      <c r="E49" s="49" t="inlineStr">
        <is>
          <t>10.1109/atscm67505.2025.11473856</t>
        </is>
      </c>
      <c r="F49" s="49" t="inlineStr">
        <is>
          <t>medio</t>
        </is>
      </c>
      <c r="G49" s="49" t="inlineStr">
        <is>
          <t>"This research proposes a systematic and bibliometric review of recent publications (2020-2025) indexed in Scopus, using the PRISMA protocol" sobre IA generativa y redes logísticas territoriales; agenda con gemelos. Valor para snowballing: medio.</t>
        </is>
      </c>
    </row>
    <row r="50">
      <c r="A50" s="49" t="inlineStr">
        <is>
          <t>R0202</t>
        </is>
      </c>
      <c r="B50" s="49" t="n">
        <v>2025</v>
      </c>
      <c r="C50" s="49" t="inlineStr">
        <is>
          <t>Integrating artificial intelligence into the supply chain-Implications for management control: A systematic Literature Review</t>
        </is>
      </c>
      <c r="D50" s="49" t="inlineStr">
        <is>
          <t>2025 IEEE International Conference on Advanced Technologies in Supply Chain Management, ATSCM 2025</t>
        </is>
      </c>
      <c r="E50" s="49" t="inlineStr">
        <is>
          <t>10.1109/atscm67505.2025.11473486</t>
        </is>
      </c>
      <c r="F50" s="49" t="inlineStr">
        <is>
          <t>medio</t>
        </is>
      </c>
      <c r="G50" s="49" t="inlineStr">
        <is>
          <t>"This systematic literature review investigates how the integration of AI is reshaping management control practices and tools within the supply chain context" (48 artículos); gemelos entre las tecnologías; colaboración humano-máquina. Valor para snowballing: medio.</t>
        </is>
      </c>
    </row>
    <row r="51">
      <c r="A51" s="49" t="inlineStr">
        <is>
          <t>R0205</t>
        </is>
      </c>
      <c r="B51" s="49" t="n">
        <v>2025</v>
      </c>
      <c r="C51" s="49" t="inlineStr">
        <is>
          <t>Application of Reinforcement Learning to Improve Finished Goods Inventory Management: A Systematic Review</t>
        </is>
      </c>
      <c r="D51" s="49" t="inlineStr">
        <is>
          <t>IFAC-PapersOnLine</t>
        </is>
      </c>
      <c r="E51" s="49" t="inlineStr">
        <is>
          <t>10.1016/j.ifacol.2025.09.143</t>
        </is>
      </c>
      <c r="F51" s="49" t="inlineStr">
        <is>
          <t>medio</t>
        </is>
      </c>
      <c r="G51" s="49" t="inlineStr">
        <is>
          <t>"This systematic review examines the application of RL in finished goods inventory management by analyzing 57 relevant studies"; gemelos sólo como oportunidad de integración. Valor para snowballing: medio.</t>
        </is>
      </c>
    </row>
    <row r="52">
      <c r="A52" s="49" t="inlineStr">
        <is>
          <t>R0224</t>
        </is>
      </c>
      <c r="B52" s="49" t="n">
        <v>2025</v>
      </c>
      <c r="C52" s="49" t="inlineStr">
        <is>
          <t>A DIKW-Based Pyramid Framework for Integrating the Metaverse in Supply Chain Management</t>
        </is>
      </c>
      <c r="D52" s="49" t="inlineStr">
        <is>
          <t>IEEE Open Journal on Immersive Displays</t>
        </is>
      </c>
      <c r="E52" s="49" t="inlineStr">
        <is>
          <t>10.1109/ojid.2025.3639210</t>
        </is>
      </c>
      <c r="F52" s="49" t="inlineStr">
        <is>
          <t>medio</t>
        </is>
      </c>
      <c r="G52" s="49" t="inlineStr">
        <is>
          <t>"A PRISMA-based literature review was conducted across multiple databases, yielding 34 relevant studies for in-depth analysis" para un marco DIKW de metaverso en SCM; gemelos como tecnología. Valor para snowballing: medio.</t>
        </is>
      </c>
    </row>
    <row r="53">
      <c r="A53" s="49" t="inlineStr">
        <is>
          <t>R0228</t>
        </is>
      </c>
      <c r="B53" s="49" t="n">
        <v>2025</v>
      </c>
      <c r="C53" s="49" t="inlineStr">
        <is>
          <t>From Code to Cargo: A Bibliometric Mapping of the Metaverse Revolution in Supply Chain Management</t>
        </is>
      </c>
      <c r="D53" s="49" t="inlineStr">
        <is>
          <t>ZAGREB INTERNATIONAL REVIEW OF ECONOMICS &amp; BUSINESS</t>
        </is>
      </c>
      <c r="E53" s="49" t="inlineStr">
        <is>
          <t>10.2478/zireb-2025-0008</t>
        </is>
      </c>
      <c r="F53" s="49" t="inlineStr">
        <is>
          <t>medio</t>
        </is>
      </c>
      <c r="G53" s="49" t="inlineStr">
        <is>
          <t>Mapeo bibliométrico del metaverso en SCM ("combines bibliometric analysis via the Bibliometrix package in R Studio and network-based content analysis through VOSviewer"); gemelos como tema. Valor para snowballing: medio (ajustado en la auditoría final 2026-09-06, antes bajo: cadena nombrada en el alcance y gemelos como tema analizado).</t>
        </is>
      </c>
    </row>
    <row r="54">
      <c r="A54" s="49" t="inlineStr">
        <is>
          <t>R0250</t>
        </is>
      </c>
      <c r="B54" s="49" t="n">
        <v>2024</v>
      </c>
      <c r="C54" s="49" t="inlineStr">
        <is>
          <t>Application of simulation and machine learning in supply chain management: A synthesis of the literature using the Sim-ML literature classification framework</t>
        </is>
      </c>
      <c r="D54" s="49" t="inlineStr">
        <is>
          <t>Computers and Industrial Engineering</t>
        </is>
      </c>
      <c r="E54" s="49" t="inlineStr">
        <is>
          <t>10.1016/j.cie.2024.110649</t>
        </is>
      </c>
      <c r="F54" s="49" t="inlineStr">
        <is>
          <t>medio</t>
        </is>
      </c>
      <c r="G54" s="49" t="inlineStr">
        <is>
          <t>Revisión de 99 artículos con el marco Sim-ML ("we developed the Sim-ML Literature Classification Framework") sobre simulación y ML en SCM; señala que los gemelos están subrepresentados. Valor para snowballing: medio (ajustado en la auditoría final 2026-09-06, antes alto: la intersección exacta requiere gemelos como objeto; aquí sólo se señalan como subrepresentados).</t>
        </is>
      </c>
    </row>
    <row r="55">
      <c r="A55" s="49" t="inlineStr">
        <is>
          <t>R0251</t>
        </is>
      </c>
      <c r="B55" s="49" t="n">
        <v>2024</v>
      </c>
      <c r="C55" s="49" t="inlineStr">
        <is>
          <t>Big data, machine learning, and digital twin assisted additive manufacturing: A review</t>
        </is>
      </c>
      <c r="D55" s="49" t="inlineStr">
        <is>
          <t>Materials and Design</t>
        </is>
      </c>
      <c r="E55" s="49" t="inlineStr">
        <is>
          <t>10.1016/j.matdes.2024.113086</t>
        </is>
      </c>
      <c r="F55" s="49" t="inlineStr">
        <is>
          <t>medio</t>
        </is>
      </c>
      <c r="G55" s="49" t="inlineStr">
        <is>
          <t>"This review paper aims to examine present research and development in the convergence of big data, machine learning, and digital twin-assisted AM"; cadena sólo como aspecto optimizable. Valor para snowballing: medio (ML y gemelos en manufactura aditiva).</t>
        </is>
      </c>
    </row>
    <row r="56">
      <c r="A56" s="49" t="inlineStr">
        <is>
          <t>R0257</t>
        </is>
      </c>
      <c r="B56" s="49" t="n">
        <v>2024</v>
      </c>
      <c r="C56" s="49" t="inlineStr">
        <is>
          <t>The Convergence of Artificial Intelligence and Big Data for Humanitarian Supply Chain Resilience</t>
        </is>
      </c>
      <c r="D56" s="49" t="inlineStr">
        <is>
          <t>2024 7th IEEE International Humanitarian Technologies Conference, IHTC 2024</t>
        </is>
      </c>
      <c r="E56" s="49" t="inlineStr">
        <is>
          <t>10.1109/ihtc61819.2024.10855125</t>
        </is>
      </c>
      <c r="F56" s="49" t="inlineStr">
        <is>
          <t>medio</t>
        </is>
      </c>
      <c r="G56" s="49" t="inlineStr">
        <is>
          <t>Síntesis de casos ("This paper presents a summary of 10 case studies employing primarily 2 of these digital technologies (artificial intelligence, and big data) in the humanitarian supply chain"); gemelo sólo en la lista de ocho tecnologías. Valor para snowballing: medio (ajustado en la auditoría final 2026-09-06, antes bajo: cadena humanitaria nombrada e IA como objeto de los casos).</t>
        </is>
      </c>
    </row>
    <row r="57">
      <c r="A57" s="49" t="inlineStr">
        <is>
          <t>R0262</t>
        </is>
      </c>
      <c r="B57" s="49" t="n">
        <v>2024</v>
      </c>
      <c r="C57" s="49" t="inlineStr">
        <is>
          <t>Recent developments in urban freight analytics for collaborative city logistics</t>
        </is>
      </c>
      <c r="D57" s="49" t="inlineStr">
        <is>
          <t>Transportation Research Procedia</t>
        </is>
      </c>
      <c r="E57" s="49" t="inlineStr">
        <is>
          <t>10.1016/j.trpro.2024.03.003</t>
        </is>
      </c>
      <c r="F57" s="49" t="inlineStr">
        <is>
          <t>medio</t>
        </is>
      </c>
      <c r="G57" s="49" t="inlineStr">
        <is>
          <t>"This paper presents recent developments in urban freight analytics for collaborative city logistics"; gemelos e IA como tecnologías emergentes descritas. Valor para snowballing: medio.</t>
        </is>
      </c>
    </row>
    <row r="58">
      <c r="A58" s="49" t="inlineStr">
        <is>
          <t>R0263</t>
        </is>
      </c>
      <c r="B58" s="49" t="n">
        <v>2024</v>
      </c>
      <c r="C58" s="49" t="inlineStr">
        <is>
          <t>Digital Twin Framework in Supply Chain Governance</t>
        </is>
      </c>
      <c r="D58" s="49" t="inlineStr">
        <is>
          <t>Proceedings - International Conference on Computing, Power, and Communication Technologies, IC2PCT 2024</t>
        </is>
      </c>
      <c r="E58" s="49" t="inlineStr">
        <is>
          <t>10.1109/ic2pct60090.2024.10486732</t>
        </is>
      </c>
      <c r="F58" s="49" t="inlineStr">
        <is>
          <t>medio</t>
        </is>
      </c>
      <c r="G58" s="49" t="inlineStr">
        <is>
          <t>Recodificado 2026-09-06 en la auditoría final (E3→E4): Estudio basado en casos y revisiones (C3): "through the use of case studies, literature reviews, and qualitative methods"; gemelos de cadena como objeto ("virtual copies of actual supply chain systems"), IA sólo listada ("Digital Twin (DT), Big Data, artificial intelligence (AI), Internet of Things (IoT), etc."). Sale del pool Antecedente C8 por ser revisión. Valor para snowballing: medio. | Nota original (E3) (antes en el pool de antecedentes, valor medio): Marco conceptual para implementar gemelos en la gobernanza de cadena (casos, revisiones, métodos cualitativos); la IA sólo en la lista de tecnologías disruptivas ("Digital Twin (DT), Big Data, artificial intelligence (AI), Internet of Things (IoT), etc."), sin método.</t>
        </is>
      </c>
    </row>
    <row r="59">
      <c r="A59" s="49" t="inlineStr">
        <is>
          <t>R0275</t>
        </is>
      </c>
      <c r="B59" s="49" t="n">
        <v>2024</v>
      </c>
      <c r="C59" s="49" t="inlineStr">
        <is>
          <t>Navigating the Future: Digital Twin in Maritime Industry</t>
        </is>
      </c>
      <c r="D59" s="49" t="inlineStr">
        <is>
          <t>CoBCom 2024 - International Conference on Broadband Communications for Next Generation Networks and Multimedia Applications, co-located International Conference and Workshop on Systems, Signals and Image Processing, IWSSIP 2024</t>
        </is>
      </c>
      <c r="E59" s="49" t="inlineStr">
        <is>
          <t>10.1109/cobcom62281.2024.10631195</t>
        </is>
      </c>
      <c r="F59" s="49" t="inlineStr">
        <is>
          <t>medio</t>
        </is>
      </c>
      <c r="G59" s="49" t="inlineStr">
        <is>
          <t>Recodificado 2026-09-06 en la auditoría final (E3→E4): Panorama declarado (C3): "The article starts by giving a thorough overview of digital twins"; gemelos en operaciones portuarias ("port management, logistics, safety, and environmental sustainability") con el ML sólo como técnica de construcción listada ("emphasizing the incorporation of machine learning, simulation, data analytics, and Internet of Things (IoT) sensors"). Sale del pool Antecedente C8 por ser revisión. Valor para snowballing: medio. | Nota original (E3) (antes en el pool de antecedentes, valor medio): Panorama de gemelos en operaciones portuarias ("port management, logistics, safety, and environmental sustainability"); el ML sólo en la lista de técnicas de construcción del gemelo ("emphasizing the incorporation of machine learning, simulation, data analytics, and Internet of Things (IoT) sensors"), sin método ni sistema propuesto (mismo trato que R0266). Alternativa E4 (overview).</t>
        </is>
      </c>
    </row>
    <row r="60">
      <c r="A60" s="49" t="inlineStr">
        <is>
          <t>R0276</t>
        </is>
      </c>
      <c r="B60" s="49" t="n">
        <v>2024</v>
      </c>
      <c r="C60" s="49" t="inlineStr">
        <is>
          <t>Navigating Uncertainty: Cutting-Edge Approaches in Process Control and Monitoring for Risk Mitigation in Supply Chain Management †</t>
        </is>
      </c>
      <c r="D60" s="49" t="inlineStr">
        <is>
          <t>Engineering Proceedings</t>
        </is>
      </c>
      <c r="E60" s="49" t="inlineStr">
        <is>
          <t>10.3390/engproc2024067074</t>
        </is>
      </c>
      <c r="F60" s="49" t="inlineStr">
        <is>
          <t>medio</t>
        </is>
      </c>
      <c r="G60" s="49" t="inlineStr">
        <is>
          <t>"This review addresses the pressing issue of supply chain risk management by evaluating cutting-edge solutions" (literatura 2009-2024); IoT, ML y gemelos como hallazgos. Valor para snowballing: medio.</t>
        </is>
      </c>
    </row>
    <row r="61">
      <c r="A61" s="49" t="inlineStr">
        <is>
          <t>R0296</t>
        </is>
      </c>
      <c r="B61" s="49" t="n">
        <v>2023</v>
      </c>
      <c r="C61" s="49" t="inlineStr">
        <is>
          <t>Harnessing Artificial Intelligence for Supply Chain Optimization: Enhanced Demand Prediction and Cost Reduction</t>
        </is>
      </c>
      <c r="D61" s="49" t="inlineStr">
        <is>
          <t>2nd International Engineering Conference on Electrical, Energy, and Artificial Intelligence, EICEEAI 2023</t>
        </is>
      </c>
      <c r="E61" s="49" t="inlineStr">
        <is>
          <t>10.1109/eiceeai60672.2023.10590108</t>
        </is>
      </c>
      <c r="F61" s="49" t="inlineStr">
        <is>
          <t>medio</t>
        </is>
      </c>
      <c r="G61" s="49" t="inlineStr">
        <is>
          <t>"The research seeks to offer an extensive review of artificial intelligence (AI) applications in the supply chain"; gemelos sólo como combinación futura. Valor para snowballing: medio.</t>
        </is>
      </c>
    </row>
    <row r="62">
      <c r="A62" s="49" t="inlineStr">
        <is>
          <t>R0304</t>
        </is>
      </c>
      <c r="B62" s="49" t="n">
        <v>2023</v>
      </c>
      <c r="C62" s="49" t="inlineStr">
        <is>
          <t>Sustainable Urban Freight for Energy-Efficient Smart Cities—Systematic Literature Review</t>
        </is>
      </c>
      <c r="D62" s="49" t="inlineStr">
        <is>
          <t>Energies</t>
        </is>
      </c>
      <c r="E62" s="49" t="inlineStr">
        <is>
          <t>10.3390/en16062617</t>
        </is>
      </c>
      <c r="F62" s="49" t="inlineStr">
        <is>
          <t>medio</t>
        </is>
      </c>
      <c r="G62" s="49" t="inlineStr">
        <is>
          <t>"The purpose of this paper is to identify through a systematic literature review which innovations (hardware and software) applied by logistics service providers (LSPs) in sustainable urban freight"; gemelos e IA como tecnologías inteligentes analizadas. Valor para snowballing: medio (ajustado en la auditoría final 2026-09-06, antes bajo: logística urbana nombrada y gemelos e IA entre las innovaciones analizadas).</t>
        </is>
      </c>
    </row>
    <row r="63">
      <c r="A63" s="49" t="inlineStr">
        <is>
          <t>R0311</t>
        </is>
      </c>
      <c r="B63" s="49" t="n">
        <v>2023</v>
      </c>
      <c r="C63" s="49" t="inlineStr">
        <is>
          <t>Challenges and perspectives for agribusiness logistics chain in the Industry 4.0 era</t>
        </is>
      </c>
      <c r="D63" s="49" t="inlineStr">
        <is>
          <t>Procedia CIRP</t>
        </is>
      </c>
      <c r="E63" s="49" t="inlineStr">
        <is>
          <t>10.1016/j.procir.2023.09.187</t>
        </is>
      </c>
      <c r="F63" s="49" t="inlineStr">
        <is>
          <t>medio</t>
        </is>
      </c>
      <c r="G63" s="49" t="inlineStr">
        <is>
          <t>"the present study conducts a literature review to analyze how Industry 4.0 technologies have been applied to the agribusiness logistics chain"; ML y gemelos entre las tecnologías; propone modelo teórico. Valor para snowballing: medio.</t>
        </is>
      </c>
    </row>
    <row r="64">
      <c r="A64" s="49" t="inlineStr">
        <is>
          <t>R0312</t>
        </is>
      </c>
      <c r="B64" s="49" t="n">
        <v>2023</v>
      </c>
      <c r="C64" s="49" t="inlineStr">
        <is>
          <t>Digitalization of Supply Chain Management with Industry 4.0 Enabling Technologies: A Sustainable Perspective</t>
        </is>
      </c>
      <c r="D64" s="49" t="inlineStr">
        <is>
          <t>Processes</t>
        </is>
      </c>
      <c r="E64" s="49" t="inlineStr">
        <is>
          <t>10.3390/pr11010096</t>
        </is>
      </c>
      <c r="F64" s="49" t="inlineStr">
        <is>
          <t>medio</t>
        </is>
      </c>
      <c r="G64" s="49" t="inlineStr">
        <is>
          <t>Revisión con marco PRISM ("The PRISM framework is followed to discuss the role and significance of sustainable SCM and the integration of Industry 4.0-enabling technologies"); gemelo e IA entre las tecnologías. Valor para snowballing: medio.</t>
        </is>
      </c>
    </row>
    <row r="65">
      <c r="A65" s="49" t="inlineStr">
        <is>
          <t>R0325</t>
        </is>
      </c>
      <c r="B65" s="49" t="n">
        <v>2022</v>
      </c>
      <c r="C65" s="49" t="inlineStr">
        <is>
          <t>Socially responsible operations in the Industry 4.0 era: post-COVID-19 technology adoption and perspectives on future research</t>
        </is>
      </c>
      <c r="D65" s="49" t="inlineStr">
        <is>
          <t>International Journal of Operations and Production Management</t>
        </is>
      </c>
      <c r="E65" s="49" t="inlineStr">
        <is>
          <t>10.1108/ijopm-01-2022-0069</t>
        </is>
      </c>
      <c r="F65" s="49" t="inlineStr">
        <is>
          <t>medio</t>
        </is>
      </c>
      <c r="G65" s="49" t="inlineStr">
        <is>
          <t>Artículo de punto de vista (IJOPM) con marco basado en literatura y expertos ("Academic articles, relevant grey literature, and insights from industry experts are used to support the development of the framework"); gemelos e IA como dos de siete tecnologías (precedente R0190). Valor para snowballing: medio.</t>
        </is>
      </c>
    </row>
    <row r="66">
      <c r="A66" s="49" t="inlineStr">
        <is>
          <t>R0332</t>
        </is>
      </c>
      <c r="B66" s="49" t="n">
        <v>2021</v>
      </c>
      <c r="C66" s="49" t="inlineStr">
        <is>
          <t>Supply chain resilience for vaccines: review of modeling approaches in the context of the COVID-19 pandemic</t>
        </is>
      </c>
      <c r="D66" s="49" t="inlineStr">
        <is>
          <t>Industrial Management and Data Systems</t>
        </is>
      </c>
      <c r="E66" s="49" t="inlineStr">
        <is>
          <t>10.1108/imds-01-2021-0022</t>
        </is>
      </c>
      <c r="F66" s="49" t="inlineStr">
        <is>
          <t>medio</t>
        </is>
      </c>
      <c r="G66" s="49" t="inlineStr">
        <is>
          <t>"Systematic review of the literature on modeling supply chain resilience from 2007 to 2020" aplicada a cadenas de vacunas; IA y gemelos como herramientas recomendadas. Valor para snowballing: medio.</t>
        </is>
      </c>
    </row>
    <row r="67">
      <c r="A67" s="49" t="inlineStr">
        <is>
          <t>R0351</t>
        </is>
      </c>
      <c r="B67" s="49" t="n">
        <v>2026</v>
      </c>
      <c r="C67" s="49" t="inlineStr">
        <is>
          <t>AI-Driven Optimization of Bio-Energy Systems: Models for Resource Assessment and Emission Reduction</t>
        </is>
      </c>
      <c r="D67" s="49" t="inlineStr">
        <is>
          <t>Applied Chemical Engineering</t>
        </is>
      </c>
      <c r="E67" s="49" t="inlineStr">
        <is>
          <t>10.59429/ace.v9i1.5837</t>
        </is>
      </c>
      <c r="F67" s="49" t="inlineStr">
        <is>
          <t>medio</t>
        </is>
      </c>
      <c r="G67" s="49" t="inlineStr">
        <is>
          <t>Revision sistematica de IA en bioenergia ("This paper intends to offer a systematic review on AI techniques available for biomass resource assessment"); gemelos como tendencia emergente y "supply-chain planning" en el alcance declarado. Valor para snowballing: medio.</t>
        </is>
      </c>
    </row>
    <row r="68">
      <c r="A68" s="49" t="inlineStr">
        <is>
          <t>R0355</t>
        </is>
      </c>
      <c r="B68" s="49" t="n">
        <v>2026</v>
      </c>
      <c r="C68" s="49" t="inlineStr">
        <is>
          <t>How can Industry 5.0 transform operational excellence into a driver to achieve SDGs in Ibero-American countries?</t>
        </is>
      </c>
      <c r="D68" s="49" t="inlineStr">
        <is>
          <t>INTERNATIONAL JOURNAL OF LEAN SIX SIGMA</t>
        </is>
      </c>
      <c r="E68" s="49" t="inlineStr">
        <is>
          <t>10.1108/ijlss-09-2025-0267</t>
        </is>
      </c>
      <c r="F68" s="49" t="inlineStr">
        <is>
          <t>medio</t>
        </is>
      </c>
      <c r="G68" s="49" t="inlineStr">
        <is>
          <t>Estudio conceptual basado en literatura sobre excelencia operativa e Industria 5.0 ("The authors adopted a conceptual and literature-based approach to review and synthesise academic literature"); examina "cobots, digital twins, artificial intelligence and blockchain" con colaboracion humano-maquina como eje. Valor para snowballing: medio.</t>
        </is>
      </c>
    </row>
    <row r="69">
      <c r="A69" s="49" t="inlineStr">
        <is>
          <t>R0361</t>
        </is>
      </c>
      <c r="B69" s="49" t="n">
        <v>2025</v>
      </c>
      <c r="C69" s="49" t="inlineStr">
        <is>
          <t>Systematic Review on Applied Technologies in Logistics to Improve Efficiency in the Textile Industry</t>
        </is>
      </c>
      <c r="D69" s="49" t="inlineStr">
        <is>
          <t>Proceedings of the LACCEI international Multi-conference for Engineering, Education and Technology</t>
        </is>
      </c>
      <c r="E69" s="49" t="inlineStr">
        <is>
          <t>10.18687/laccei2025.1.1.487</t>
        </is>
      </c>
      <c r="F69" s="49" t="inlineStr">
        <is>
          <t>medio</t>
        </is>
      </c>
      <c r="G69" s="49" t="inlineStr">
        <is>
          <t>Revision sistematica PRISMA de tecnologias en logistica textil ("This systematic review examines the transformative role of emerging technologies"); "digital modeling" entre las tecnologias analizadas. Valor para snowballing: medio.</t>
        </is>
      </c>
    </row>
    <row r="70">
      <c r="A70" s="49" t="inlineStr">
        <is>
          <t>R0383</t>
        </is>
      </c>
      <c r="B70" s="49" t="n">
        <v>2021</v>
      </c>
      <c r="C70" s="49" t="inlineStr">
        <is>
          <t>Sustainable Development of Smart Manufacturing Driven by the Digital Twin Framework: A Statistical Analysis</t>
        </is>
      </c>
      <c r="D70" s="49" t="inlineStr">
        <is>
          <t>SUSTAINABILITY</t>
        </is>
      </c>
      <c r="E70" s="49" t="inlineStr">
        <is>
          <t>10.3390/su131810139</t>
        </is>
      </c>
      <c r="F70" s="49" t="inlineStr">
        <is>
          <t>medio</t>
        </is>
      </c>
      <c r="G70" s="49" t="inlineStr">
        <is>
          <t>Analisis bibliometrico Proknow-C del gemelo en manufactura inteligente ("This paper intends to make an appraisal of the literature on the digital twin (DT) framework in the domain of smart manufacturing"); IA y ML como habilitadores. Valor para snowballing: medio.</t>
        </is>
      </c>
    </row>
    <row r="71">
      <c r="A71" s="49" t="inlineStr">
        <is>
          <t>R0392</t>
        </is>
      </c>
      <c r="B71" s="49" t="n">
        <v>2026</v>
      </c>
      <c r="C71" s="49" t="inlineStr">
        <is>
          <t>AAOSC: Adaptive agent-oriented system control</t>
        </is>
      </c>
      <c r="D71" s="49" t="inlineStr">
        <is>
          <t>Current Opinion in Chemical Engineering</t>
        </is>
      </c>
      <c r="E71" s="49" t="inlineStr">
        <is>
          <t>10.1016/j.coche.2026.101253</t>
        </is>
      </c>
      <c r="F71" s="49" t="inlineStr">
        <is>
          <t>medio</t>
        </is>
      </c>
      <c r="G71" s="49" t="inlineStr">
        <is>
          <t>Perspectiva (Doc type Review) que propone el marco AAOSC de agentes coordinados por gemelos ("a decentralized control layer built around specialized autonomous agents coordinated through digital twins"), con un caso de "supply chain security" entre cuatro; la cadena es uno de varios dominios. Valor para snowballing: medio. Nota: si lo consideras contribucion primaria, DUDA.</t>
        </is>
      </c>
    </row>
    <row r="72">
      <c r="A72" s="49" t="inlineStr">
        <is>
          <t>R0397</t>
        </is>
      </c>
      <c r="B72" s="49" t="n">
        <v>2026</v>
      </c>
      <c r="C72" s="49" t="inlineStr">
        <is>
          <t>Leveraging AI to Build Agile and Resilient Healthcare Supply Chains for Sustainable Performance: A Systematic Scoping Review and Future Directions</t>
        </is>
      </c>
      <c r="D72" s="49" t="inlineStr">
        <is>
          <t>Sustainability (Switzerland)</t>
        </is>
      </c>
      <c r="E72" s="49" t="inlineStr">
        <is>
          <t>10.3390/su18031434</t>
        </is>
      </c>
      <c r="F72" s="49" t="inlineStr">
        <is>
          <t>medio</t>
        </is>
      </c>
      <c r="G72" s="49" t="inlineStr">
        <is>
          <t>Revision sistematica de alcance sobre IA en cadenas sanitarias ("Using a systematic literature review with PRISMA-style screening"); gemelos como habilitadores estrategicos y agenda sobre "human-AI collaboration, trust calibration". Valor para snowballing: medio.</t>
        </is>
      </c>
    </row>
    <row r="73">
      <c r="A73" s="49" t="inlineStr">
        <is>
          <t>R0398</t>
        </is>
      </c>
      <c r="B73" s="49" t="n">
        <v>2026</v>
      </c>
      <c r="C73" s="49" t="inlineStr">
        <is>
          <t>Next-generation fresh livestock meat supply chains driven by industry 5.0: Towards the integration of ultra-long shelf life and intelligent quality perception</t>
        </is>
      </c>
      <c r="D73" s="49" t="inlineStr">
        <is>
          <t>Trends in Food Science and Technology</t>
        </is>
      </c>
      <c r="E73" s="49" t="inlineStr">
        <is>
          <t>10.1016/j.tifs.2026.105817</t>
        </is>
      </c>
      <c r="F73" s="49" t="inlineStr">
        <is>
          <t>medio</t>
        </is>
      </c>
      <c r="G73" s="49" t="inlineStr">
        <is>
          <t>Revision de cadenas de carne fresca bajo Industria 5.0 ("This review systematically examines how the Industry 5.0 paradigm reshapes shelf-life extension and quality monitoring"); gemelos y colaboracion humano-maquina en la percepcion inteligente de calidad. Valor para snowballing: medio.</t>
        </is>
      </c>
    </row>
    <row r="74">
      <c r="A74" s="49" t="inlineStr">
        <is>
          <t>R0399</t>
        </is>
      </c>
      <c r="B74" s="49" t="n">
        <v>2026</v>
      </c>
      <c r="C74" s="49" t="inlineStr">
        <is>
          <t>Logistics 5.0: systematic literature review and future trends</t>
        </is>
      </c>
      <c r="D74" s="49" t="inlineStr">
        <is>
          <t>Logistics Research</t>
        </is>
      </c>
      <c r="E74" s="49" t="inlineStr">
        <is>
          <t>10.1108/lore-09-2025-0116</t>
        </is>
      </c>
      <c r="F74" s="49" t="inlineStr">
        <is>
          <t>medio</t>
        </is>
      </c>
      <c r="G74" s="49" t="inlineStr">
        <is>
          <t>Revision sistematica de Logistica 5.0 ("A systematic literature review was conducted using the Web of Science database"); gemelos e IA como habilitadores del giro humano-centrico. Valor para snowballing: medio.</t>
        </is>
      </c>
    </row>
    <row r="75">
      <c r="A75" s="49" t="inlineStr">
        <is>
          <t>R0401</t>
        </is>
      </c>
      <c r="B75" s="49" t="n">
        <v>2026</v>
      </c>
      <c r="C75" s="49" t="inlineStr">
        <is>
          <t>Industrial digital twin for intelligent manufacturing: Key technologies, core challenges, applications, and forward-looking trends</t>
        </is>
      </c>
      <c r="D75" s="49" t="inlineStr">
        <is>
          <t>Robotics and Computer-Integrated Manufacturing</t>
        </is>
      </c>
      <c r="E75" s="49" t="inlineStr">
        <is>
          <t>10.1016/j.rcim.2026.103321</t>
        </is>
      </c>
      <c r="F75" s="49" t="inlineStr">
        <is>
          <t>medio</t>
        </is>
      </c>
      <c r="G75" s="49" t="inlineStr">
        <is>
          <t>Revision del gemelo industrial ("This review summarizes key advances in IDT research"); la cadena sólo como area de aplicacion ("supply-chain optimization"). Valor para snowballing: medio.</t>
        </is>
      </c>
    </row>
    <row r="76">
      <c r="A76" s="49" t="inlineStr">
        <is>
          <t>R0403</t>
        </is>
      </c>
      <c r="B76" s="49" t="n">
        <v>2026</v>
      </c>
      <c r="C76" s="49" t="inlineStr">
        <is>
          <t>Operational AI for Multimodal Urban Transport: A Systematic Literature Review and Deployment Framework for Multi-Objective Control and Electrification</t>
        </is>
      </c>
      <c r="D76" s="49" t="inlineStr">
        <is>
          <t>Logistics</t>
        </is>
      </c>
      <c r="E76" s="49" t="inlineStr">
        <is>
          <t>10.3390/logistics10020029</t>
        </is>
      </c>
      <c r="F76" s="49" t="inlineStr">
        <is>
          <t>medio</t>
        </is>
      </c>
      <c r="G76" s="49" t="inlineStr">
        <is>
          <t>Revision sistematica PRISMA 2020 de 145 estudios con marco de despliegue ("This study presents a systematic review and synthesis of 145 peer-reviewed studies"); transporte urbano multimodal, gemelos como tema revisado. Valor para snowballing: medio.</t>
        </is>
      </c>
    </row>
    <row r="77">
      <c r="A77" s="49" t="inlineStr">
        <is>
          <t>R0405</t>
        </is>
      </c>
      <c r="B77" s="49" t="n">
        <v>2026</v>
      </c>
      <c r="C77" s="49" t="inlineStr">
        <is>
          <t>How Far from the Shore? Federated Maritime Intelligence for Autonomous Ship and Harbor Maneuvering</t>
        </is>
      </c>
      <c r="D77" s="49" t="inlineStr">
        <is>
          <t>Applied Sciences (Switzerland)</t>
        </is>
      </c>
      <c r="E77" s="49" t="inlineStr">
        <is>
          <t>10.3390/app16126210</t>
        </is>
      </c>
      <c r="F77" s="49" t="inlineStr">
        <is>
          <t>medio</t>
        </is>
      </c>
      <c r="G77" s="49" t="inlineStr">
        <is>
          <t>Revision critica orientada a arquitectura ("This study presents an architecture-oriented critical review of autonomous ship and harbor maneuvering research"); capa de federacion de gemelos, agentes y supervision humana en logistica portuaria. Valor para snowballing: medio.</t>
        </is>
      </c>
    </row>
    <row r="78">
      <c r="A78" s="49" t="inlineStr">
        <is>
          <t>R0406</t>
        </is>
      </c>
      <c r="B78" s="49" t="n">
        <v>2026</v>
      </c>
      <c r="C78" s="49" t="inlineStr">
        <is>
          <t>Optimizing Biomass Feedstock Logistics Using AI for Integrated Multimodal Transport in Bioenergy and Bioproduct Systems: A Review</t>
        </is>
      </c>
      <c r="D78" s="49" t="inlineStr">
        <is>
          <t>Logistics</t>
        </is>
      </c>
      <c r="E78" s="49" t="inlineStr">
        <is>
          <t>10.3390/logistics10030054</t>
        </is>
      </c>
      <c r="F78" s="49" t="inlineStr">
        <is>
          <t>medio</t>
        </is>
      </c>
      <c r="G78" s="49" t="inlineStr">
        <is>
          <t>Revision de logistica de biomasa con IA y transporte multimodal ("This study analyzes how combining artificial intelligence (AI) with multimodal transport can optimize"); gemelos y ML para pronostico y ruteo. Valor para snowballing: medio.</t>
        </is>
      </c>
    </row>
    <row r="79">
      <c r="A79" s="49" t="inlineStr">
        <is>
          <t>R0408</t>
        </is>
      </c>
      <c r="B79" s="49" t="n">
        <v>2026</v>
      </c>
      <c r="C79" s="49" t="inlineStr">
        <is>
          <t>A Systematic Review of Advances, Challenges, and Optimization Strategies in Maintenance Logistics for Airside Operations</t>
        </is>
      </c>
      <c r="D79" s="49" t="inlineStr">
        <is>
          <t>IEEE Access</t>
        </is>
      </c>
      <c r="E79" s="49" t="inlineStr">
        <is>
          <t>10.1109/access.2026.3651544</t>
        </is>
      </c>
      <c r="F79" s="49" t="inlineStr">
        <is>
          <t>medio</t>
        </is>
      </c>
      <c r="G79" s="49" t="inlineStr">
        <is>
          <t>Revision sistematica de logistica de mantenimiento en operaciones de plataforma ("This study presents a systematic review of the literature on maintenance logistics in airside operations"); ML y gemelos descritos aisladamente, brecha en interaccion humano-maquina. Valor para snowballing: medio.</t>
        </is>
      </c>
    </row>
    <row r="80">
      <c r="A80" s="49" t="inlineStr">
        <is>
          <t>R0413</t>
        </is>
      </c>
      <c r="B80" s="49" t="n">
        <v>2026</v>
      </c>
      <c r="C80" s="49" t="inlineStr">
        <is>
          <t>AI-Driven Strategies for Supply Chain Resilience: A Review of Challenges and Solutions During Pandemics</t>
        </is>
      </c>
      <c r="D80" s="49" t="inlineStr">
        <is>
          <t>International Journal of Engineering, Transactions B: Applications</t>
        </is>
      </c>
      <c r="E80" s="49" t="inlineStr">
        <is>
          <t>10.5829/ije.2026.39.03c.03</t>
        </is>
      </c>
      <c r="F80" s="49" t="inlineStr">
        <is>
          <t>medio</t>
        </is>
      </c>
      <c r="G80" s="49" t="inlineStr">
        <is>
          <t>Revision de estrategias de IA para resiliencia de cadena en pandemias ("This review addresses this gap by analyzing how AI/ML technologies mitigated disruptions"); propone integrar gemelos. Valor para snowballing: medio.</t>
        </is>
      </c>
    </row>
    <row r="81">
      <c r="A81" s="49" t="inlineStr">
        <is>
          <t>R0414</t>
        </is>
      </c>
      <c r="B81" s="49" t="n">
        <v>2026</v>
      </c>
      <c r="C81" s="49" t="inlineStr">
        <is>
          <t>Optimising ICU supply chains: Evidence-based strategies for efficiency, resilience and patient safety—a structured narrative review</t>
        </is>
      </c>
      <c r="D81" s="49" t="inlineStr">
        <is>
          <t>BMJ Open Quality</t>
        </is>
      </c>
      <c r="E81" s="49" t="inlineStr">
        <is>
          <t>10.1136/bmjoq-2025-003422</t>
        </is>
      </c>
      <c r="F81" s="49" t="inlineStr">
        <is>
          <t>medio</t>
        </is>
      </c>
      <c r="G81" s="49" t="inlineStr">
        <is>
          <t>Revision narrativa de cadenas de suministro en UCI ("This narrative review explores current challenges and evidence-based strategies for optimising ICU supply chains"); pronostico con IA y gemelos emergentes en una red de suministro hospitalaria. Valor para snowballing: medio.</t>
        </is>
      </c>
    </row>
    <row r="82">
      <c r="A82" s="49" t="inlineStr">
        <is>
          <t>R0422</t>
        </is>
      </c>
      <c r="B82" s="49" t="n">
        <v>2026</v>
      </c>
      <c r="C82" s="49" t="inlineStr">
        <is>
          <t>The integration of Artificial Intelligence in seaports' smart gate processes: Evidence based on a systematic literature review</t>
        </is>
      </c>
      <c r="D82" s="49" t="inlineStr">
        <is>
          <t>Results in Engineering</t>
        </is>
      </c>
      <c r="E82" s="49" t="inlineStr">
        <is>
          <t>10.1016/j.rineng.2025.108919</t>
        </is>
      </c>
      <c r="F82" s="49" t="inlineStr">
        <is>
          <t>medio</t>
        </is>
      </c>
      <c r="G82" s="49" t="inlineStr">
        <is>
          <t>Revision sistematica PRISMA de IA en puertas inteligentes portuarias ("a systematic literature review was applied following the PRISMA reporting guidelines"); "Reinforcement learning and digital twin systems are emerging as tools for adaptive control". Valor para snowballing: medio.</t>
        </is>
      </c>
    </row>
    <row r="83">
      <c r="A83" s="49" t="inlineStr">
        <is>
          <t>R0428</t>
        </is>
      </c>
      <c r="B83" s="49" t="n">
        <v>2026</v>
      </c>
      <c r="C83" s="49" t="inlineStr">
        <is>
          <t>Smart cold chain logistics for fresh agricultural products: key technologies, challenges, and future trends</t>
        </is>
      </c>
      <c r="D83" s="49" t="inlineStr">
        <is>
          <t>Trends in Food Science and Technology</t>
        </is>
      </c>
      <c r="E83" s="49" t="inlineStr">
        <is>
          <t>10.1016/j.tifs.2025.105421</t>
        </is>
      </c>
      <c r="F83" s="49" t="inlineStr">
        <is>
          <t>medio</t>
        </is>
      </c>
      <c r="G83" s="49" t="inlineStr">
        <is>
          <t>Revision de logistica de cadena de frio inteligente ("This review first outlines how the smart CCL concept evolved"); plataformas de gemelo como requisito futuro. Valor para snowballing: medio.</t>
        </is>
      </c>
    </row>
    <row r="84">
      <c r="A84" s="49" t="inlineStr">
        <is>
          <t>R0434</t>
        </is>
      </c>
      <c r="B84" s="49" t="n">
        <v>2026</v>
      </c>
      <c r="C84" s="49" t="inlineStr">
        <is>
          <t>Enhancing Food Safety and Traceability: The Contribution of Smart Technologies in the Contemporary Food Sector</t>
        </is>
      </c>
      <c r="D84" s="49" t="inlineStr">
        <is>
          <t>Food Reviews International</t>
        </is>
      </c>
      <c r="E84" s="49" t="inlineStr">
        <is>
          <t>10.1080/87559129.2026.2670674</t>
        </is>
      </c>
      <c r="F84" s="49" t="inlineStr">
        <is>
          <t>medio</t>
        </is>
      </c>
      <c r="G84" s="49" t="inlineStr">
        <is>
          <t>Revision PRISMA de tecnologias inteligentes para seguridad alimentaria ("Using the PRISMA framework, recent advancements were systematically reviewed"); "DT improves accountability by providing real-time virtual models of food supply chains". Valor para snowballing: medio.</t>
        </is>
      </c>
    </row>
    <row r="85">
      <c r="A85" s="49" t="inlineStr">
        <is>
          <t>R0437</t>
        </is>
      </c>
      <c r="B85" s="49" t="n">
        <v>2026</v>
      </c>
      <c r="C85" s="49" t="inlineStr">
        <is>
          <t>Digital twin-centered food safety management systems: A review of IoT, AI, and blockchain integration for bacterial pathogen control</t>
        </is>
      </c>
      <c r="D85" s="49" t="inlineStr">
        <is>
          <t>Food Research International</t>
        </is>
      </c>
      <c r="E85" s="49" t="inlineStr">
        <is>
          <t>10.1016/j.foodres.2026.119449</t>
        </is>
      </c>
      <c r="F85" s="49" t="inlineStr">
        <is>
          <t>medio</t>
        </is>
      </c>
      <c r="G85" s="49" t="inlineStr">
        <is>
          <t>Revision PRISMA de sistemas de seguridad alimentaria centrados en gemelo ("this review critically examines the potential of DT-centered integration of IoT, AI, and blockchain"); control de patogenos, no logistica. Valor para snowballing: medio.</t>
        </is>
      </c>
    </row>
    <row r="86">
      <c r="A86" s="49" t="inlineStr">
        <is>
          <t>R0438</t>
        </is>
      </c>
      <c r="B86" s="49" t="n">
        <v>2026</v>
      </c>
      <c r="C86" s="49" t="inlineStr">
        <is>
          <t>Digital twin technology in AI-operated metaverse for food processing: A pathway to sustainability, efficiency and innovation</t>
        </is>
      </c>
      <c r="D86" s="49" t="inlineStr">
        <is>
          <t>Trends in Food Science and Technology</t>
        </is>
      </c>
      <c r="E86" s="49" t="inlineStr">
        <is>
          <t>10.1016/j.tifs.2025.105491</t>
        </is>
      </c>
      <c r="F86" s="49" t="inlineStr">
        <is>
          <t>medio</t>
        </is>
      </c>
      <c r="G86" s="49" t="inlineStr">
        <is>
          <t>Revision de gemelos en el metaverso alimentario ("This review presents recent developments in digital twin (DT) technology for food processing"); aplicaciones en "cold chain logistics" y gemelos cognitivos. Valor para snowballing: medio.</t>
        </is>
      </c>
    </row>
    <row r="87">
      <c r="A87" s="49" t="inlineStr">
        <is>
          <t>R0440</t>
        </is>
      </c>
      <c r="B87" s="49" t="n">
        <v>2026</v>
      </c>
      <c r="C87" s="49" t="inlineStr">
        <is>
          <t>Digitalisation of Shipyard Production Planning: A Review of Simulation, Optimisation, AI, and Digital Twin Methods (2010-2025)</t>
        </is>
      </c>
      <c r="D87" s="49" t="inlineStr">
        <is>
          <t>JOURNAL OF MARINE SCIENCE AND ENGINEERING</t>
        </is>
      </c>
      <c r="E87" s="49" t="inlineStr">
        <is>
          <t>10.3390/jmse14040396</t>
        </is>
      </c>
      <c r="F87" s="49" t="inlineStr">
        <is>
          <t>medio</t>
        </is>
      </c>
      <c r="G87" s="49" t="inlineStr">
        <is>
          <t>Revision metodologica de planeacion de produccion en astilleros ("This paper presents a domain-specific methodological review of shipyard production modelling from 2010 to 2025"); DES, optimizacion, ML, RL y gemelos. Valor para snowballing: medio.</t>
        </is>
      </c>
    </row>
    <row r="88">
      <c r="A88" s="49" t="inlineStr">
        <is>
          <t>R0450</t>
        </is>
      </c>
      <c r="B88" s="49" t="n">
        <v>2025</v>
      </c>
      <c r="C88" s="49" t="inlineStr">
        <is>
          <t>Towards Smart and Sustainable Last Mile Delivery Systems: A Scoping Review and Conceptual Framework</t>
        </is>
      </c>
      <c r="D88" s="49" t="inlineStr">
        <is>
          <t>Sustainability (Switzerland)</t>
        </is>
      </c>
      <c r="E88" s="49" t="inlineStr">
        <is>
          <t>10.3390/su172411270</t>
        </is>
      </c>
      <c r="F88" s="49" t="inlineStr">
        <is>
          <t>medio</t>
        </is>
      </c>
      <c r="G88" s="49" t="inlineStr">
        <is>
          <t>Revision de alcance PRISMA-ScR de ultima milla con marco conceptual ("our paper presents a scoping review to systematically delineate the current state of research on smart and sustainable last-mile delivery systems"); gemelos e IA con gobernanza humano-centrica. Valor para snowballing: medio.</t>
        </is>
      </c>
    </row>
    <row r="89">
      <c r="A89" s="49" t="inlineStr">
        <is>
          <t>R0451</t>
        </is>
      </c>
      <c r="B89" s="49" t="n">
        <v>2025</v>
      </c>
      <c r="C89" s="49" t="inlineStr">
        <is>
          <t>AI-Driven Digital Twins in Industrialized Offsite Construction: A Systematic Review</t>
        </is>
      </c>
      <c r="D89" s="49" t="inlineStr">
        <is>
          <t>Buildings</t>
        </is>
      </c>
      <c r="E89" s="49" t="inlineStr">
        <is>
          <t>10.3390/buildings15172997</t>
        </is>
      </c>
      <c r="F89" s="49" t="inlineStr">
        <is>
          <t>medio</t>
        </is>
      </c>
      <c r="G89" s="49" t="inlineStr">
        <is>
          <t>Revision sistematica de gemelos con IA en construccion industrializada ("This systematic review investigates the transformative role of artificial intelligence (AI)-enhanced digital twins (DTs)"); "logistics optimization" como grupo tematico. Valor para snowballing: medio.</t>
        </is>
      </c>
    </row>
    <row r="90">
      <c r="A90" s="49" t="inlineStr">
        <is>
          <t>R0452</t>
        </is>
      </c>
      <c r="B90" s="49" t="n">
        <v>2025</v>
      </c>
      <c r="C90" s="49" t="inlineStr">
        <is>
          <t>Synergies of Industry 5.0 paradigms: Unraveling the dynamics of operational management for supply chains excellence</t>
        </is>
      </c>
      <c r="D90" s="49" t="inlineStr">
        <is>
          <t>Sustainable Futures</t>
        </is>
      </c>
      <c r="E90" s="49" t="inlineStr">
        <is>
          <t>10.1016/j.sftr.2025.101498</t>
        </is>
      </c>
      <c r="F90" s="49" t="inlineStr">
        <is>
          <t>medio</t>
        </is>
      </c>
      <c r="G90" s="49" t="inlineStr">
        <is>
          <t>Revision sistematica de Industria 5.0 y gestion de operaciones ("a systematic literature review approach was adopted"); gemelos entre las tecnologias para la excelencia de cadena. Valor para snowballing: medio.</t>
        </is>
      </c>
    </row>
    <row r="91">
      <c r="A91" s="49" t="inlineStr">
        <is>
          <t>R0453</t>
        </is>
      </c>
      <c r="B91" s="49" t="n">
        <v>2025</v>
      </c>
      <c r="C91" s="49" t="inlineStr">
        <is>
          <t>Transforming Agrifood Supply Chains with Digital Technologies: a Systematic Review of Safety and Quality Risk Management</t>
        </is>
      </c>
      <c r="D91" s="49" t="inlineStr">
        <is>
          <t>Operations Research Forum</t>
        </is>
      </c>
      <c r="E91" s="49" t="inlineStr">
        <is>
          <t>10.1007/s43069-025-00511-3</t>
        </is>
      </c>
      <c r="F91" s="49" t="inlineStr">
        <is>
          <t>medio</t>
        </is>
      </c>
      <c r="G91" s="49" t="inlineStr">
        <is>
          <t>Revision sistematica de 164 articulos sobre riesgos de seguridad alimentaria ("This systematic literature review synthesizes findings from 164 peer-reviewed articles"); "digital twins simulate disruptions and optimize safety-critical operations". Valor para snowballing: medio.</t>
        </is>
      </c>
    </row>
    <row r="92">
      <c r="A92" s="49" t="inlineStr">
        <is>
          <t>R0455</t>
        </is>
      </c>
      <c r="B92" s="49" t="n">
        <v>2025</v>
      </c>
      <c r="C92" s="49" t="inlineStr">
        <is>
          <t>Digitalisation in the Context of Industry 4.0 and Industry 5.0: A Bibliometric Literature Review and Visualisation</t>
        </is>
      </c>
      <c r="D92" s="49" t="inlineStr">
        <is>
          <t>Applied System Innovation</t>
        </is>
      </c>
      <c r="E92" s="49" t="inlineStr">
        <is>
          <t>10.3390/asi8050137</t>
        </is>
      </c>
      <c r="F92" s="49" t="inlineStr">
        <is>
          <t>medio</t>
        </is>
      </c>
      <c r="G92" s="49" t="inlineStr">
        <is>
          <t>Revision bibliometrica de 1441 articulos sobre Industria 4.0 y 5.0 ("The research is based on a database of 1441 Scopus-indexed articles"); gemelos, IA y resiliencia de cadena como foco de la 4.0. Valor para snowballing: medio.</t>
        </is>
      </c>
    </row>
    <row r="93">
      <c r="A93" s="49" t="inlineStr">
        <is>
          <t>R0461</t>
        </is>
      </c>
      <c r="B93" s="49" t="n">
        <v>2025</v>
      </c>
      <c r="C93" s="49" t="inlineStr">
        <is>
          <t>Smart technology for public health: reshaping the future of food safety</t>
        </is>
      </c>
      <c r="D93" s="49" t="inlineStr">
        <is>
          <t>Food Control</t>
        </is>
      </c>
      <c r="E93" s="49" t="inlineStr">
        <is>
          <t>10.1016/j.foodcont.2025.111378</t>
        </is>
      </c>
      <c r="F93" s="49" t="inlineStr">
        <is>
          <t>medio</t>
        </is>
      </c>
      <c r="G93" s="49" t="inlineStr">
        <is>
          <t>Revision de tecnologias inteligentes para seguridad alimentaria ("A systematic literature search using databases such as Scopus and Web of Science were conducted"); gemelos para simulaciones predictivas. Valor para snowballing: medio (ajustado en la auditoría final 2026-09-06, antes bajo: cadena alimentaria nombrada y gemelos como objeto de simulación predictiva).</t>
        </is>
      </c>
    </row>
    <row r="94">
      <c r="A94" s="49" t="inlineStr">
        <is>
          <t>R0462</t>
        </is>
      </c>
      <c r="B94" s="49" t="n">
        <v>2025</v>
      </c>
      <c r="C94" s="49" t="inlineStr">
        <is>
          <t>A Systematic Literature Review on the Application of Industry 4.0 Technologies in Manufacturing Supply Chain Planning Phase</t>
        </is>
      </c>
      <c r="D94" s="49" t="inlineStr">
        <is>
          <t>International Journal of Supply and Operations Management</t>
        </is>
      </c>
      <c r="E94" s="49" t="inlineStr">
        <is>
          <t>10.22034/ijsom.2025.110610.3259</t>
        </is>
      </c>
      <c r="F94" s="49" t="inlineStr">
        <is>
          <t>medio</t>
        </is>
      </c>
      <c r="G94" s="49" t="inlineStr">
        <is>
          <t>Revision sistematica de Industria 4.0 en la fase de planeacion de cadena manufacturera ("A five-step systematic literature review was adopted"); "Simulation, Machine Learning, Digital Twin, and Internet-of-things" como tecnologias desplegadas. Valor para snowballing: medio.</t>
        </is>
      </c>
    </row>
    <row r="95">
      <c r="A95" s="49" t="inlineStr">
        <is>
          <t>R0463</t>
        </is>
      </c>
      <c r="B95" s="49" t="n">
        <v>2025</v>
      </c>
      <c r="C95" s="49" t="inlineStr">
        <is>
          <t>Intelligent Maritime Shipping: A Bibliometric Analysis of Internet Technologies and Automated Port Infrastructure Applications</t>
        </is>
      </c>
      <c r="D95" s="49" t="inlineStr">
        <is>
          <t>Journal of Marine Science and Engineering</t>
        </is>
      </c>
      <c r="E95" s="49" t="inlineStr">
        <is>
          <t>10.3390/jmse13050979</t>
        </is>
      </c>
      <c r="F95" s="49" t="inlineStr">
        <is>
          <t>medio</t>
        </is>
      </c>
      <c r="G95" s="49" t="inlineStr">
        <is>
          <t>Analisis bibliometrico de 488 publicaciones sobre transporte maritimo inteligente ("this study systematically examines 488 publications"); via de "digital twin ports" con modelos de lenguaje. Valor para snowballing: medio.</t>
        </is>
      </c>
    </row>
    <row r="96">
      <c r="A96" s="49" t="inlineStr">
        <is>
          <t>R0466</t>
        </is>
      </c>
      <c r="B96" s="49" t="n">
        <v>2025</v>
      </c>
      <c r="C96" s="49" t="inlineStr">
        <is>
          <t>Machine Learning in Reverse Logistics: A Systematic Literature Review</t>
        </is>
      </c>
      <c r="D96" s="49" t="inlineStr">
        <is>
          <t>Algorithms</t>
        </is>
      </c>
      <c r="E96" s="49" t="inlineStr">
        <is>
          <t>10.3390/a18100650</t>
        </is>
      </c>
      <c r="F96" s="49" t="inlineStr">
        <is>
          <t>medio</t>
        </is>
      </c>
      <c r="G96" s="49" t="inlineStr">
        <is>
          <t>Revision sistematica PRISMA de ML en logistica inversa ("This article presents a systematic review of ML applications in reverse logistics"); integracion con gemelos como brecha. Valor para snowballing: medio.</t>
        </is>
      </c>
    </row>
    <row r="97">
      <c r="A97" s="49" t="inlineStr">
        <is>
          <t>R0468</t>
        </is>
      </c>
      <c r="B97" s="49" t="n">
        <v>2025</v>
      </c>
      <c r="C97" s="49" t="inlineStr">
        <is>
          <t>Supply Chain Resilience: A Critical Review of Risk Mitigation, Robust Optimisation, and Technological Solutions and Future Research Directions</t>
        </is>
      </c>
      <c r="D97" s="49" t="inlineStr">
        <is>
          <t>Global Journal of Flexible Systems Management</t>
        </is>
      </c>
      <c r="E97" s="49" t="inlineStr">
        <is>
          <t>10.1007/s40171-025-00458-8</t>
        </is>
      </c>
      <c r="F97" s="49" t="inlineStr">
        <is>
          <t>medio</t>
        </is>
      </c>
      <c r="G97" s="49" t="inlineStr">
        <is>
          <t>Revision critica de resiliencia de cadena con redes bibliometricas ("This study systematically evaluates the literature of supply chain resilience by integrating bibliometric and network analysis techniques"); hoja de ruta con "digital twin and machine learning". Valor para snowballing: medio.</t>
        </is>
      </c>
    </row>
    <row r="98">
      <c r="A98" s="49" t="inlineStr">
        <is>
          <t>R0470</t>
        </is>
      </c>
      <c r="B98" s="49" t="n">
        <v>2025</v>
      </c>
      <c r="C98" s="49" t="inlineStr">
        <is>
          <t>APPLICATION OF MATHEMATICAL MODELING IN SUPPLY CHAIN MANAGEMENT: A REVIEW</t>
        </is>
      </c>
      <c r="D98" s="49" t="inlineStr">
        <is>
          <t>Fractals</t>
        </is>
      </c>
      <c r="E98" s="49" t="inlineStr">
        <is>
          <t>10.1142/s0218348x25300077</t>
        </is>
      </c>
      <c r="F98" s="49" t="inlineStr">
        <is>
          <t>medio</t>
        </is>
      </c>
      <c r="G98" s="49" t="inlineStr">
        <is>
          <t>Revision de modelado matematico en gestion de cadena ("This review synthesizes recent advancements in mathematical modeling"); gemelos e IA como roles emergentes. Valor para snowballing: medio (ajustado en la auditoría final 2026-09-06, antes bajo: gestión de cadena como alcance y gemelos e IA como roles emergentes analizados).</t>
        </is>
      </c>
    </row>
    <row r="99">
      <c r="A99" s="49" t="inlineStr">
        <is>
          <t>R0475</t>
        </is>
      </c>
      <c r="B99" s="49" t="n">
        <v>2025</v>
      </c>
      <c r="C99" s="49" t="inlineStr">
        <is>
          <t>Industry 4.0-driven digital transformation for resilient aerospace supply chains: a comprehensive review</t>
        </is>
      </c>
      <c r="D99" s="49" t="inlineStr">
        <is>
          <t>Aircraft Engineering and Aerospace Technology</t>
        </is>
      </c>
      <c r="E99" s="49" t="inlineStr">
        <is>
          <t>10.1108/aeat-08-2025-0291</t>
        </is>
      </c>
      <c r="F99" s="49" t="inlineStr">
        <is>
          <t>medio</t>
        </is>
      </c>
      <c r="G99" s="49" t="inlineStr">
        <is>
          <t>Revision sistematica de transformacion digital para resiliencia de cadenas aeroespaciales ("The authors conduct a systematic review with a structured critical appraisal"); gemelos entre las tecnologias mapeadas. Valor para snowballing: medio.</t>
        </is>
      </c>
    </row>
    <row r="100">
      <c r="A100" s="49" t="inlineStr">
        <is>
          <t>R0480</t>
        </is>
      </c>
      <c r="B100" s="49" t="n">
        <v>2024</v>
      </c>
      <c r="C100" s="49" t="inlineStr">
        <is>
          <t>Emerging Technologies in Pharmaceutical Supply Chains: a Comprehensive Analysis of Findings and Implications</t>
        </is>
      </c>
      <c r="D100" s="49" t="inlineStr">
        <is>
          <t>Chemical Engineering Transactions</t>
        </is>
      </c>
      <c r="E100" s="49" t="inlineStr">
        <is>
          <t>10.3303/cet24114136</t>
        </is>
      </c>
      <c r="F100" s="49" t="inlineStr">
        <is>
          <t>medio</t>
        </is>
      </c>
      <c r="G100" s="49" t="inlineStr">
        <is>
          <t>Revision sistematica de tecnologias emergentes en cadenas farmaceuticas ("This study undertakes a systematic literature review"); "Intelligent Digital Twins (iDTs) for stress testing and real-time response". Valor para snowballing: medio.</t>
        </is>
      </c>
    </row>
    <row r="101">
      <c r="A101" s="49" t="inlineStr">
        <is>
          <t>R0481</t>
        </is>
      </c>
      <c r="B101" s="49" t="n">
        <v>2024</v>
      </c>
      <c r="C101" s="49" t="inlineStr">
        <is>
          <t>Visual early warning and prediction of fresh food quality deterioration: Research progress and application in supply chain</t>
        </is>
      </c>
      <c r="D101" s="49" t="inlineStr">
        <is>
          <t>Food Bioscience</t>
        </is>
      </c>
      <c r="E101" s="49" t="inlineStr">
        <is>
          <t>10.1016/j.fbio.2024.103671</t>
        </is>
      </c>
      <c r="F101" s="49" t="inlineStr">
        <is>
          <t>medio</t>
        </is>
      </c>
      <c r="G101" s="49" t="inlineStr">
        <is>
          <t>Revision de alerta visual temprana en alimentos frescos ("this review comprehensively discusses recent research and progress in application of intelligent packaging"); gemelo con IA para prediccion de calidad en cadena. Valor para snowballing: medio.</t>
        </is>
      </c>
    </row>
    <row r="102">
      <c r="A102" s="49" t="inlineStr">
        <is>
          <t>R0485</t>
        </is>
      </c>
      <c r="B102" s="49" t="n">
        <v>2024</v>
      </c>
      <c r="C102" s="49" t="inlineStr">
        <is>
          <t>Simulation Methods and Digital Strategies for Supply Chains Facing Disruptions: Insights from a Systematic Literature Review</t>
        </is>
      </c>
      <c r="D102" s="49" t="inlineStr">
        <is>
          <t>Sustainability (Switzerland)</t>
        </is>
      </c>
      <c r="E102" s="49" t="inlineStr">
        <is>
          <t>10.3390/su16145957</t>
        </is>
      </c>
      <c r="F102" s="49" t="inlineStr">
        <is>
          <t>medio</t>
        </is>
      </c>
      <c r="G102" s="49" t="inlineStr">
        <is>
          <t>Revision sistematica PRISMA de simulacion ante disrupciones de cadena ("A systematic literature review was conducted using the PRISMA method"); gemelos e IA como necesidad futura. Valor para snowballing: medio.</t>
        </is>
      </c>
    </row>
    <row r="103">
      <c r="A103" s="49" t="inlineStr">
        <is>
          <t>R0492</t>
        </is>
      </c>
      <c r="B103" s="49" t="n">
        <v>2023</v>
      </c>
      <c r="C103" s="49" t="inlineStr">
        <is>
          <t>Digital twin-enabled prefabrication supply chain for smart construction and carbon emissions evaluation in building projects</t>
        </is>
      </c>
      <c r="D103" s="49" t="inlineStr">
        <is>
          <t>Journal of Building Engineering</t>
        </is>
      </c>
      <c r="E103" s="49" t="inlineStr">
        <is>
          <t>10.1016/j.jobe.2023.107598</t>
        </is>
      </c>
      <c r="F103" s="49" t="inlineStr">
        <is>
          <t>medio</t>
        </is>
      </c>
      <c r="G103" s="49" t="inlineStr">
        <is>
          <t>Revision mixta de gemelos en la cadena de prefabricacion ("A mixed-method review was adopted in two-steps involving scientometric and qualitative analysis"); tema de "artificial intelligence-based decision-making" en el gemelo. Valor para snowballing: medio.</t>
        </is>
      </c>
    </row>
    <row r="104">
      <c r="A104" s="49" t="inlineStr">
        <is>
          <t>R0509</t>
        </is>
      </c>
      <c r="B104" s="49" t="n">
        <v>2026</v>
      </c>
      <c r="C104" s="49" t="inlineStr">
        <is>
          <t>A Functional Systematic Review of Digital Supply Chain Technologies in Municipal Solid Waste Management with a Saudi Benchmark</t>
        </is>
      </c>
      <c r="D104" s="49" t="inlineStr">
        <is>
          <t>South African Journal of Industrial Engineering</t>
        </is>
      </c>
      <c r="E104" s="49" t="inlineStr">
        <is>
          <t>10.7166/37-1-3381</t>
        </is>
      </c>
      <c r="F104" s="49" t="inlineStr">
        <is>
          <t>medio</t>
        </is>
      </c>
      <c r="G104" s="49" t="inlineStr">
        <is>
          <t>"This study conducts a systematic literature review to examine the adoption of digital supply chain technologies in municipal solid waste management"; gemelos, robotica y analitica predictiva entre los grupos tecnologicos. Valor para snowballing: medio.</t>
        </is>
      </c>
    </row>
    <row r="105">
      <c r="A105" s="49" t="inlineStr">
        <is>
          <t>R0514</t>
        </is>
      </c>
      <c r="B105" s="49" t="n">
        <v>2026</v>
      </c>
      <c r="C105" s="49" t="inlineStr">
        <is>
          <t>Electric Vehicle Batteries Recycling: A Review</t>
        </is>
      </c>
      <c r="D105" s="49" t="inlineStr">
        <is>
          <t>Waste Management</t>
        </is>
      </c>
      <c r="E105" s="49" t="inlineStr">
        <is>
          <t>10.1016/j.wasman.2025.115302</t>
        </is>
      </c>
      <c r="F105" s="49" t="inlineStr">
        <is>
          <t>medio</t>
        </is>
      </c>
      <c r="G105" s="49" t="inlineStr">
        <is>
          <t>Revision (Doc type Review) de reciclaje de baterias de vehiculos electricos: "This review systematically analyzes the EV battery recycling literature"; logistica inversa, "digital twins facilitate predictive control". Valor para snowballing: medio.</t>
        </is>
      </c>
    </row>
    <row r="106">
      <c r="A106" s="49" t="inlineStr">
        <is>
          <t>R0531</t>
        </is>
      </c>
      <c r="B106" s="49" t="n">
        <v>2026</v>
      </c>
      <c r="C106" s="49" t="inlineStr">
        <is>
          <t>A systematic literature review on the integration of artificial intelligence in digital twins for robotic fault diagnosis</t>
        </is>
      </c>
      <c r="D106" s="49" t="inlineStr">
        <is>
          <t>International Journal of Data Science and Analytics</t>
        </is>
      </c>
      <c r="E106" s="49" t="inlineStr">
        <is>
          <t>10.1007/s41060-026-01200-y</t>
        </is>
      </c>
      <c r="F106" s="49" t="inlineStr">
        <is>
          <t>medio</t>
        </is>
      </c>
      <c r="G106" s="49" t="inlineStr">
        <is>
          <t>Revision sistematica: "A systematic literature review on the integration of artificial intelligence in digital twins for robotic fault diagnosis"; logistica entre los dominios de aplicacion y discusion de explicabilidad y brecha sim-to-real. Valor para snowballing: medio.</t>
        </is>
      </c>
    </row>
    <row r="107">
      <c r="A107" s="49" t="inlineStr">
        <is>
          <t>R0533</t>
        </is>
      </c>
      <c r="B107" s="49" t="n">
        <v>2026</v>
      </c>
      <c r="C107" s="49" t="inlineStr">
        <is>
          <t>Digital twins in offsite construction: Current implementations, challenges, and future pathways</t>
        </is>
      </c>
      <c r="D107" s="49" t="inlineStr">
        <is>
          <t>Automation in Construction</t>
        </is>
      </c>
      <c r="E107" s="49" t="inlineStr">
        <is>
          <t>10.1016/j.autcon.2026.106820</t>
        </is>
      </c>
      <c r="F107" s="49" t="inlineStr">
        <is>
          <t>medio</t>
        </is>
      </c>
      <c r="G107" s="49" t="inlineStr">
        <is>
          <t>Revision cienciometrica y cualitativa de 50 publicaciones ("This paper synthesizes 50 publications using a mixed-methods approach"); discute opacidad de la IA y marcos Operator 5.0, pertinentes a HITL. Valor para snowballing: medio.</t>
        </is>
      </c>
    </row>
    <row r="108">
      <c r="A108" s="49" t="inlineStr">
        <is>
          <t>R0555</t>
        </is>
      </c>
      <c r="B108" s="49" t="n">
        <v>2025</v>
      </c>
      <c r="C108" s="49" t="inlineStr">
        <is>
          <t>Integrity Challenges in Halal Meat Supply Chain: Potential Industry 4.0 Technologies as Catalysts for Resolution</t>
        </is>
      </c>
      <c r="D108" s="49" t="inlineStr">
        <is>
          <t>Foods</t>
        </is>
      </c>
      <c r="E108" s="49" t="inlineStr">
        <is>
          <t>10.3390/foods14071135</t>
        </is>
      </c>
      <c r="F108" s="49" t="inlineStr">
        <is>
          <t>medio</t>
        </is>
      </c>
      <c r="G108" s="49" t="inlineStr">
        <is>
          <t>Revision (Doc type Review) de la cadena de carne halal: "This review explores how Industry 4.0 technologies enhance efficiency, traceability, and transparency in HMSC"; gemelos "for training and product quality monitoring". Valor para snowballing: medio (cadena alimentaria con gemelo e IA como objeto).</t>
        </is>
      </c>
    </row>
    <row r="109">
      <c r="A109" s="49" t="inlineStr">
        <is>
          <t>R0556</t>
        </is>
      </c>
      <c r="B109" s="49" t="n">
        <v>2025</v>
      </c>
      <c r="C109" s="49" t="inlineStr">
        <is>
          <t>Digital twin technology advancing industry 4.0 and industry 5.0 across sectors</t>
        </is>
      </c>
      <c r="D109" s="49" t="inlineStr">
        <is>
          <t>Results in Engineering</t>
        </is>
      </c>
      <c r="E109" s="49" t="inlineStr">
        <is>
          <t>10.1016/j.rineng.2025.105583</t>
        </is>
      </c>
      <c r="F109" s="49" t="inlineStr">
        <is>
          <t>medio</t>
        </is>
      </c>
      <c r="G109" s="49" t="inlineStr">
        <is>
          <t>Revision (Doc type Review) del gemelo entre Industria 4.0 y 5.0: "This review examines the evolving role of DTs"; incluye analisis sectorial con logistica y el giro humano-centrico. Valor para snowballing: medio.</t>
        </is>
      </c>
    </row>
    <row r="110">
      <c r="A110" s="49" t="inlineStr">
        <is>
          <t>R0558</t>
        </is>
      </c>
      <c r="B110" s="49" t="n">
        <v>2025</v>
      </c>
      <c r="C110" s="49" t="inlineStr">
        <is>
          <t>Review Paper on the Role of Resilience in Supply Chain Transformation: Moving from Green to Regenerative</t>
        </is>
      </c>
      <c r="D110" s="49" t="inlineStr">
        <is>
          <t>2025 IEEE 7th International Conference on Computing, Communication and Automation, ICCCA 2025</t>
        </is>
      </c>
      <c r="E110" s="49" t="inlineStr">
        <is>
          <t>10.1109/iccca66364.2025.11325328</t>
        </is>
      </c>
      <c r="F110" s="49" t="inlineStr">
        <is>
          <t>medio</t>
        </is>
      </c>
      <c r="G110" s="49" t="inlineStr">
        <is>
          <t>Revision critica narrativa ("Employing a narrative critical-review method, we synthesised peer-reviewed literature (2018-2025)"); triada digital de "digital twins, edge-AI, blockchain" para resiliencia de cadena. Valor para snowballing: medio.</t>
        </is>
      </c>
    </row>
    <row r="111">
      <c r="A111" s="49" t="inlineStr">
        <is>
          <t>R0562</t>
        </is>
      </c>
      <c r="B111" s="49" t="n">
        <v>2025</v>
      </c>
      <c r="C111" s="49" t="inlineStr">
        <is>
          <t>Advancements in AI-enhanced collaborative robotics: towards safer, smarter, and human-centric industrial automation</t>
        </is>
      </c>
      <c r="D111" s="49" t="inlineStr">
        <is>
          <t>Results in Engineering</t>
        </is>
      </c>
      <c r="E111" s="49" t="inlineStr">
        <is>
          <t>10.1016/j.rineng.2025.105704</t>
        </is>
      </c>
      <c r="F111" s="49" t="inlineStr">
        <is>
          <t>medio</t>
        </is>
      </c>
      <c r="G111" s="49" t="inlineStr">
        <is>
          <t>Revision (Doc type Review) de robotica colaborativa con IA: "This review examines the evolution and integration of collaborative robots (cobots) with Artificial Intelligence (AI)"; gemelos como concepto emergente y sector logistico entre las aplicaciones. Valor para snowballing: medio (automatizacion humano-centrica).</t>
        </is>
      </c>
    </row>
    <row r="112">
      <c r="A112" s="49" t="inlineStr">
        <is>
          <t>R0578</t>
        </is>
      </c>
      <c r="B112" s="49" t="n">
        <v>2025</v>
      </c>
      <c r="C112" s="49" t="inlineStr">
        <is>
          <t>Embracing resilience in pharmaceutical manufacturing: “digital twins” – forging a resilient path in the VUCA maze</t>
        </is>
      </c>
      <c r="D112" s="49" t="inlineStr">
        <is>
          <t>International Journal of Pharmaceutical and Healthcare Marketing</t>
        </is>
      </c>
      <c r="E112" s="49" t="inlineStr">
        <is>
          <t>10.1108/ijphm-03-2024-0024</t>
        </is>
      </c>
      <c r="F112" s="49" t="inlineStr">
        <is>
          <t>medio</t>
        </is>
      </c>
      <c r="G112" s="49" t="inlineStr">
        <is>
          <t>Sintesis cualitativa basada en revision ("drawing insights from an extensive literature review on pharmaceutical manufacturing resilience"); gemelos en produccion de vacunas y diversificacion de cadena. Valor para snowballing: medio.</t>
        </is>
      </c>
    </row>
    <row r="113">
      <c r="A113" s="49" t="inlineStr">
        <is>
          <t>R0582</t>
        </is>
      </c>
      <c r="B113" s="49" t="n">
        <v>2025</v>
      </c>
      <c r="C113" s="49" t="inlineStr">
        <is>
          <t>The Metaverse for Industry 5.0 in NextG Communications: Potential Applications and Future Challenges</t>
        </is>
      </c>
      <c r="D113" s="49" t="inlineStr">
        <is>
          <t>IEEE Open Journal of the Computer Society</t>
        </is>
      </c>
      <c r="E113" s="49" t="inlineStr">
        <is>
          <t>10.1109/ojcs.2024.3497335</t>
        </is>
      </c>
      <c r="F113" s="49" t="inlineStr">
        <is>
          <t>medio</t>
        </is>
      </c>
      <c r="G113" s="49" t="inlineStr">
        <is>
          <t>Revision del metaverso industrial: "In this review, we present an overview of the metaverse and Industry 5.0"; gemelos entre las tecnologias habilitadoras y la cadena como uno de los sectores. Valor para snowballing: medio (ajustado en la auditoría final 2026-09-06, antes bajo: Industria 5.0 con eje humano-máquina y cadena como sector nombrado).</t>
        </is>
      </c>
    </row>
    <row r="114">
      <c r="A114" s="49" t="inlineStr">
        <is>
          <t>R0603</t>
        </is>
      </c>
      <c r="B114" s="49" t="n">
        <v>2024</v>
      </c>
      <c r="C114" s="49" t="inlineStr">
        <is>
          <t>Simulation Learning and Optimization: Methodology and Applications</t>
        </is>
      </c>
      <c r="D114" s="49" t="inlineStr">
        <is>
          <t>Asia-Pacific Journal of Operational Research</t>
        </is>
      </c>
      <c r="E114" s="49" t="inlineStr">
        <is>
          <t>10.1142/s0217595924400086</t>
        </is>
      </c>
      <c r="F114" s="49" t="inlineStr">
        <is>
          <t>medio</t>
        </is>
      </c>
      <c r="G114" s="49" t="inlineStr">
        <is>
          <t>Revision metodologica y de aplicaciones ("we conduct a literature review on a novel SLO methodology"; "we review the applications of SLO in various contexts"); logistica humanitaria entre los contextos y "data-driven digital twin capability" como meta. Valor para snowballing: medio.</t>
        </is>
      </c>
    </row>
    <row r="115">
      <c r="A115" s="49" t="inlineStr">
        <is>
          <t>R0609</t>
        </is>
      </c>
      <c r="B115" s="49" t="n">
        <v>2024</v>
      </c>
      <c r="C115" s="49" t="inlineStr">
        <is>
          <t>Digital Twins in Agriculture: Orchestration and Applications</t>
        </is>
      </c>
      <c r="D115" s="49" t="inlineStr">
        <is>
          <t>JOURNAL OF AGRICULTURAL AND FOOD CHEMISTRY</t>
        </is>
      </c>
      <c r="E115" s="49" t="inlineStr">
        <is>
          <t>10.1021/acs.jafc.4c01934</t>
        </is>
      </c>
      <c r="F115" s="49" t="inlineStr">
        <is>
          <t>medio</t>
        </is>
      </c>
      <c r="G115" s="49" t="inlineStr">
        <is>
          <t>Revision (Doc type Review): "In this review, Digital Twin technology is critically reviewed and framed in the context of recent advances in precision agriculture"; incluye poscosecha y cadena de suministro con casos. Valor para snowballing: medio.</t>
        </is>
      </c>
    </row>
    <row r="116">
      <c r="A116" s="49" t="inlineStr">
        <is>
          <t>R0624</t>
        </is>
      </c>
      <c r="B116" s="49" t="n">
        <v>2022</v>
      </c>
      <c r="C116" s="49" t="inlineStr">
        <is>
          <t>Industry 5.0: A survey on enabling technologies and potential applications</t>
        </is>
      </c>
      <c r="D116" s="49" t="inlineStr">
        <is>
          <t>JOURNAL OF INDUSTRIAL INFORMATION INTEGRATION</t>
        </is>
      </c>
      <c r="E116" s="49" t="inlineStr">
        <is>
          <t>10.1016/j.jii.2021.100257</t>
        </is>
      </c>
      <c r="F116" s="49" t="inlineStr">
        <is>
          <t>medio</t>
        </is>
      </c>
      <c r="G116" s="49" t="inlineStr">
        <is>
          <t>Tutorial tipo encuesta ("we aim to provide a survey-based tutorial on potential applications and supporting technologies of Industry 5.0"); gemelos y gestion de cadena entre los temas; eje humano-maquina de la Industria 5.0. Valor para snowballing: medio.</t>
        </is>
      </c>
    </row>
    <row r="117">
      <c r="A117" s="49" t="inlineStr">
        <is>
          <t>R0625</t>
        </is>
      </c>
      <c r="B117" s="49" t="n">
        <v>2022</v>
      </c>
      <c r="C117" s="49" t="inlineStr">
        <is>
          <t>The application of Industry 4.0 technologies in sustainable logistics: a systematic literature review (2012-2020) to explore future research opportunities</t>
        </is>
      </c>
      <c r="D117" s="49" t="inlineStr">
        <is>
          <t>ENVIRONMENTAL SCIENCE AND POLLUTION RESEARCH</t>
        </is>
      </c>
      <c r="E117" s="49" t="inlineStr">
        <is>
          <t>10.1007/s11356-021-17693-y</t>
        </is>
      </c>
      <c r="F117" s="49" t="inlineStr">
        <is>
          <t>medio</t>
        </is>
      </c>
      <c r="G117" s="49" t="inlineStr">
        <is>
          <t>Revision sistematica (Doc type Review) de 115 articulos sobre logistica sostenible en Industria 4.0; gemelo y transformacion humano-centrica como sugerencias futuras ("human-centric technological transformation, system integration and digital twin"). Valor para snowballing: medio.</t>
        </is>
      </c>
    </row>
    <row r="118">
      <c r="A118" s="49" t="inlineStr">
        <is>
          <t>R0626</t>
        </is>
      </c>
      <c r="B118" s="49" t="n">
        <v>2022</v>
      </c>
      <c r="C118" s="49" t="inlineStr">
        <is>
          <t>Future of industry 5.0 in society: human-centric solutions, challenges and prospective research areas</t>
        </is>
      </c>
      <c r="D118" s="49" t="inlineStr">
        <is>
          <t>JOURNAL OF CLOUD COMPUTING-ADVANCES SYSTEMS AND APPLICATIONS</t>
        </is>
      </c>
      <c r="E118" s="49" t="inlineStr">
        <is>
          <t>10.1186/s13677-022-00314-5</t>
        </is>
      </c>
      <c r="F118" s="49" t="inlineStr">
        <is>
          <t>medio</t>
        </is>
      </c>
      <c r="G118" s="49" t="inlineStr">
        <is>
          <t>Revision (Doc type Review) sobre Industria 5.0 en la sociedad; gemelos y cadena entre las tecnologias y aplicaciones discutidas ("The technologies discussed in this paper are big data analytics, Internet of Things, collaborative robots, Blockchain, digital twins and future 6G systems"); colaboracion humano-maquina como eje. Valor para snowballing: medio.</t>
        </is>
      </c>
    </row>
    <row r="119">
      <c r="A119" s="49" t="inlineStr">
        <is>
          <t>R0637</t>
        </is>
      </c>
      <c r="B119" s="49" t="n">
        <v>2026</v>
      </c>
      <c r="C119" s="49" t="inlineStr">
        <is>
          <t>Data Management in Smart Manufacturing Supply Chains: A Systematic Review of Practices and Applications (2020–2025)</t>
        </is>
      </c>
      <c r="D119" s="49" t="inlineStr">
        <is>
          <t>Information (Switzerland)</t>
        </is>
      </c>
      <c r="E119" s="49" t="inlineStr">
        <is>
          <t>10.3390/info17010019</t>
        </is>
      </c>
      <c r="F119" s="49" t="inlineStr">
        <is>
          <t>medio</t>
        </is>
      </c>
      <c r="G119" s="49" t="inlineStr">
        <is>
          <t>Revision sistematica PRISMA de gestion de datos en cadenas de manufactura inteligente ("a systematic literature review of 55 peer-reviewed studies published between 2020 and 2025"); gemelo e IA como palabras clave de autor en la interseccion exacta de la revision. Valor para snowballing: medio.</t>
        </is>
      </c>
    </row>
    <row r="120">
      <c r="A120" s="49" t="inlineStr">
        <is>
          <t>R0645</t>
        </is>
      </c>
      <c r="B120" s="49" t="n">
        <v>2026</v>
      </c>
      <c r="C120" s="49" t="inlineStr">
        <is>
          <t>From Smart Ports to Sustainable Port Ecosystems: The Transformative Role of Artificial Intelligence</t>
        </is>
      </c>
      <c r="D120" s="49" t="inlineStr">
        <is>
          <t>Systems</t>
        </is>
      </c>
      <c r="E120" s="49" t="inlineStr">
        <is>
          <t>10.3390/systems14020187</t>
        </is>
      </c>
      <c r="F120" s="49" t="inlineStr">
        <is>
          <t>medio</t>
        </is>
      </c>
      <c r="G120" s="49" t="inlineStr">
        <is>
          <t>Revision con bibliometria de la IA en puertos ("we conducted a systematic screening combined with bibliometric performance analysis and science mapping"); gemelos sólo como palabra clave; logistica maritima con IA. Valor para snowballing: medio.</t>
        </is>
      </c>
    </row>
    <row r="121">
      <c r="A121" s="49" t="inlineStr">
        <is>
          <t>R0649</t>
        </is>
      </c>
      <c r="B121" s="49" t="n">
        <v>2026</v>
      </c>
      <c r="C121" s="49" t="inlineStr">
        <is>
          <t>Artificial intelligence in ports: a bibliometric and evolutionary perspective</t>
        </is>
      </c>
      <c r="D121" s="49" t="inlineStr">
        <is>
          <t>INTERNATIONAL JOURNAL OF SHIPPING AND TRANSPORT LOGISTICS</t>
        </is>
      </c>
      <c r="E121" s="49" t="inlineStr">
        <is>
          <t>10.1504/ijstl.2026.153221</t>
        </is>
      </c>
      <c r="F121" s="49" t="inlineStr">
        <is>
          <t>medio</t>
        </is>
      </c>
      <c r="G121" s="49" t="inlineStr">
        <is>
          <t>Bibliometria de IA en puertos ("This study conducts a comprehensive bibliometric analysis of 391 publications"); gemelo sólo en Keywords Plus; logistica portuaria con IA. Valor para snowballing: medio.</t>
        </is>
      </c>
    </row>
    <row r="122">
      <c r="A122" s="49" t="inlineStr">
        <is>
          <t>R0657</t>
        </is>
      </c>
      <c r="B122" s="49" t="n">
        <v>2025</v>
      </c>
      <c r="C122" s="49" t="inlineStr">
        <is>
          <t>A systematic review of the literature on the use of information technologies in supply chain management</t>
        </is>
      </c>
      <c r="D122" s="49" t="inlineStr">
        <is>
          <t>International Journal of Industrial Engineering and Operations Management</t>
        </is>
      </c>
      <c r="E122" s="49" t="inlineStr">
        <is>
          <t>10.1108/ijieom-09-2023-0073</t>
        </is>
      </c>
      <c r="F122" s="49" t="inlineStr">
        <is>
          <t>medio</t>
        </is>
      </c>
      <c r="G122" s="49" t="inlineStr">
        <is>
          <t>Revision sistematica de tecnologias de informacion en gestion de cadena ("This study employs a systematic literature review methodology to analyse a set of 177 publications"); gemelo e IA como palabras clave de autor. Valor para snowballing: medio.</t>
        </is>
      </c>
    </row>
    <row r="123">
      <c r="A123" s="49" t="inlineStr">
        <is>
          <t>R0675</t>
        </is>
      </c>
      <c r="B123" s="49" t="n">
        <v>2024</v>
      </c>
      <c r="C123" s="49" t="inlineStr">
        <is>
          <t>Towards a Framework for AI Applications in Intralogistics</t>
        </is>
      </c>
      <c r="D123" s="49" t="inlineStr">
        <is>
          <t>IFAC-PapersOnLine</t>
        </is>
      </c>
      <c r="E123" s="49" t="inlineStr">
        <is>
          <t>10.1016/j.ifacol.2024.09.084</t>
        </is>
      </c>
      <c r="F123" s="49" t="inlineStr">
        <is>
          <t>medio</t>
        </is>
      </c>
      <c r="G123" s="49" t="inlineStr">
        <is>
          <t>Marco derivado de literatura para IA en intralogistica ("This paper aims to fill that gap by providing context, reviewing recent publications, and identifying key elements for framework development"), con "human interaction, intelligent agents, and devices"; gemelo sólo como palabra clave (C3, como R0190). Valor para snowballing: medio.</t>
        </is>
      </c>
    </row>
    <row r="124">
      <c r="A124" s="49" t="inlineStr">
        <is>
          <t>R0007</t>
        </is>
      </c>
      <c r="B124" s="49" t="n">
        <v>2026</v>
      </c>
      <c r="C124" s="49" t="inlineStr">
        <is>
          <t>Sustainable digitalization of manufacturing supply chains: An integrated framework for resilience, efficiency, and circularity</t>
        </is>
      </c>
      <c r="D124" s="49" t="inlineStr">
        <is>
          <t>Cleaner Logistics and Supply Chain</t>
        </is>
      </c>
      <c r="E124" s="49" t="inlineStr">
        <is>
          <t>10.1016/j.clscn.2026.100325</t>
        </is>
      </c>
      <c r="F124" s="49" t="inlineStr">
        <is>
          <t>bajo</t>
        </is>
      </c>
      <c r="G124" s="49" t="inlineStr">
        <is>
          <t>Recodificado 2026-09-06 en la auditoría final (E1→E4): Modelo formulado por síntesis de literatura (C3): "the model was formulated by literature synthesis, and it was also checked initially through real life cases studies"; gemelo e IA sólo como habilitadores listados ("artificial intelligence (AI), Internet of Things (IoT), blockchain, and digital twins are essential facilitators of smart manufacturing"). Valor para snowballing: bajo. | Nota original (E1): Gemelo sólo en lista de habilitadores ("artificial intelligence (AI), Internet of Things (IoT), blockchain, and digital twins are essential facilitators of smart manufacturing"); el modelo conecta "digital enablers" genéricos con resultados de sostenibilidad, sin gemelo ni método de IA. Límite C1; también E3.</t>
        </is>
      </c>
    </row>
    <row r="125">
      <c r="A125" s="49" t="inlineStr">
        <is>
          <t>R0010</t>
        </is>
      </c>
      <c r="B125" s="49" t="n">
        <v>2026</v>
      </c>
      <c r="C125" s="49" t="inlineStr">
        <is>
          <t>Artificial Intelligence Accelerates Low Carbon Transformation of Thermal Power Plants</t>
        </is>
      </c>
      <c r="D125" s="49" t="inlineStr">
        <is>
          <t>Lecture Notes in Electrical Engineering</t>
        </is>
      </c>
      <c r="E125" s="49" t="inlineStr">
        <is>
          <t>10.1007/978-981-95-7932-7_11</t>
        </is>
      </c>
      <c r="F125" s="49" t="inlineStr">
        <is>
          <t>bajo</t>
        </is>
      </c>
      <c r="G125" s="49" t="inlineStr">
        <is>
          <t>Revisión bibliométrica sobre IA en plantas de carbón ("This review employs bibliometric tools to systematically screen literature"); gemelo y cadena sólo de paso ("fuel supply chain management"). Valor para snowballing: bajo.</t>
        </is>
      </c>
    </row>
    <row r="126">
      <c r="A126" s="49" t="inlineStr">
        <is>
          <t>R0017</t>
        </is>
      </c>
      <c r="B126" s="49" t="n">
        <v>2026</v>
      </c>
      <c r="C126" s="49" t="inlineStr">
        <is>
          <t>Blockchain Implementation in Supply Chains: Analysis Based on Literature Reviews and Case Studies</t>
        </is>
      </c>
      <c r="D126" s="49" t="inlineStr">
        <is>
          <t>Springer Proceedings in Mathematics and Statistics</t>
        </is>
      </c>
      <c r="E126" s="49" t="inlineStr">
        <is>
          <t>10.1007/978-3-032-19167-0_31</t>
        </is>
      </c>
      <c r="F126" s="49" t="inlineStr">
        <is>
          <t>bajo</t>
        </is>
      </c>
      <c r="G126" s="49" t="inlineStr">
        <is>
          <t>Revisión PRISMA más casos sobre blockchain ("The PRISMA research methodology is used to define the portfolio of 161 articles"); gemelo y ML sólo "were also found". Valor para snowballing: bajo.</t>
        </is>
      </c>
    </row>
    <row r="127">
      <c r="A127" s="49" t="inlineStr">
        <is>
          <t>R0032</t>
        </is>
      </c>
      <c r="B127" s="49" t="n">
        <v>2026</v>
      </c>
      <c r="C127" s="49" t="inlineStr">
        <is>
          <t>Metaverse and sustainability: an overview of research trends and future directions</t>
        </is>
      </c>
      <c r="D127" s="49" t="inlineStr">
        <is>
          <t>Journal of Information, Communication and Ethics in Society</t>
        </is>
      </c>
      <c r="E127" s="49" t="inlineStr">
        <is>
          <t>10.1108/jices-10-2025-0299</t>
        </is>
      </c>
      <c r="F127" s="49" t="inlineStr">
        <is>
          <t>bajo</t>
        </is>
      </c>
      <c r="G127" s="49" t="inlineStr">
        <is>
          <t>Revisión bibliométrica de metaverso y sostenibilidad ("A bibliometric and TCCM (Theory-Context-Characteristics-Methodology) mapping using the SPAR-4-SLR protocol of 72 journal articles"); gemelos, IA y cadena sólo en implicaciones. Valor para snowballing: bajo.</t>
        </is>
      </c>
    </row>
    <row r="128">
      <c r="A128" s="49" t="inlineStr">
        <is>
          <t>R0034</t>
        </is>
      </c>
      <c r="B128" s="49" t="n">
        <v>2026</v>
      </c>
      <c r="C128" s="49" t="inlineStr">
        <is>
          <t>Enhancing the Reliability of Monopile-Supported Offshore Wind Turbines Through Digital-Twin Framework: State of the Art Review</t>
        </is>
      </c>
      <c r="D128" s="49" t="inlineStr">
        <is>
          <t>Indian Geotechnical Journal</t>
        </is>
      </c>
      <c r="E128" s="49" t="inlineStr">
        <is>
          <t>10.1007/s40098-026-01517-2</t>
        </is>
      </c>
      <c r="F128" s="49" t="inlineStr">
        <is>
          <t>bajo</t>
        </is>
      </c>
      <c r="G128" s="49" t="inlineStr">
        <is>
          <t>"this paper critically reviews the reliability studies" (State of the Art Review) sobre gemelo para monopilotes eólicos; logística sólo de paso. Valor para snowballing: bajo.</t>
        </is>
      </c>
    </row>
    <row r="129">
      <c r="A129" s="49" t="inlineStr">
        <is>
          <t>R0035</t>
        </is>
      </c>
      <c r="B129" s="49" t="n">
        <v>2026</v>
      </c>
      <c r="C129" s="49" t="inlineStr">
        <is>
          <t>Simulation in Forest Engineering: Planning the Next Generation of Forest Operations and Logistics for the Challenges of the XXI Century</t>
        </is>
      </c>
      <c r="D129" s="49" t="inlineStr">
        <is>
          <t>Current Forestry Reports</t>
        </is>
      </c>
      <c r="E129" s="49" t="inlineStr">
        <is>
          <t>10.1007/s40725-026-00268-w</t>
        </is>
      </c>
      <c r="F129" s="49" t="inlineStr">
        <is>
          <t>bajo</t>
        </is>
      </c>
      <c r="G129" s="49" t="inlineStr">
        <is>
          <t>"This review explores the growing relevance of simulation in advancing next-generation forest operations and logistics"; gemelo e IA sólo como "emerging frontiers". Valor para snowballing: bajo.</t>
        </is>
      </c>
    </row>
    <row r="130">
      <c r="A130" s="49" t="inlineStr">
        <is>
          <t>R0049</t>
        </is>
      </c>
      <c r="B130" s="49" t="n">
        <v>2026</v>
      </c>
      <c r="C130" s="49" t="inlineStr">
        <is>
          <t>Visual Analytics of Digital Twin Research in the Field of Industrial Engineering Based on VOSviewer and CiteSpace</t>
        </is>
      </c>
      <c r="D130" s="49" t="inlineStr">
        <is>
          <t>Proceedings of 2026 2nd International Conference on Big Data, Communication Technology and Computer Applications, BDCTA 2026</t>
        </is>
      </c>
      <c r="E130" s="49" t="inlineStr">
        <is>
          <t>10.1145/3801359.3801363</t>
        </is>
      </c>
      <c r="F130" s="49" t="inlineStr">
        <is>
          <t>bajo</t>
        </is>
      </c>
      <c r="G130" s="49" t="inlineStr">
        <is>
          <t>Análisis bibliométrico ("data-driven visualization analysis using VOSviewer and CiteSpace") de gemelos en ingeniería industrial; cadena como brecha. Valor para snowballing: bajo (ajustado en la auditoría final 2026-09-06, antes medio: la cadena aparece sólo como brecha, no en el alcance declarado).</t>
        </is>
      </c>
    </row>
    <row r="131">
      <c r="A131" s="49" t="inlineStr">
        <is>
          <t>R0060</t>
        </is>
      </c>
      <c r="B131" s="49" t="n">
        <v>2026</v>
      </c>
      <c r="C131" s="49" t="inlineStr">
        <is>
          <t>An integrative conceptual framework for the evolution of lean supply chains from industry 4.0 to industry 5.0</t>
        </is>
      </c>
      <c r="D131" s="49" t="inlineStr">
        <is>
          <t>International Journal of Production Management and Engineering</t>
        </is>
      </c>
      <c r="E131" s="49" t="inlineStr">
        <is>
          <t>10.4995/ijpme.2026.24523</t>
        </is>
      </c>
      <c r="F131" s="49" t="inlineStr">
        <is>
          <t>bajo</t>
        </is>
      </c>
      <c r="G131" s="49" t="inlineStr">
        <is>
          <t>"This research provides an integrative systematic literature review (SLR) for the evolution of lean supply chains (LSC) from industry 4.0 to industry 5.0"; gemelos en lista de habilitadores. Valor para snowballing: bajo.</t>
        </is>
      </c>
    </row>
    <row r="132">
      <c r="A132" s="49" t="inlineStr">
        <is>
          <t>R0061</t>
        </is>
      </c>
      <c r="B132" s="49" t="n">
        <v>2026</v>
      </c>
      <c r="C132" s="49" t="inlineStr">
        <is>
          <t>AI Models for Life-Cycle Assessment of Bio-Energy Technologies and Pollution Quantification</t>
        </is>
      </c>
      <c r="D132" s="49" t="inlineStr">
        <is>
          <t>Applied Chemical Engineering</t>
        </is>
      </c>
      <c r="E132" s="49" t="inlineStr">
        <is>
          <t>10.59429/ace.v9i1.5855</t>
        </is>
      </c>
      <c r="F132" s="49" t="inlineStr">
        <is>
          <t>bajo</t>
        </is>
      </c>
      <c r="G132" s="49" t="inlineStr">
        <is>
          <t>"This review consolidates a summary of up-to-date studies on AI-enabled LCA approaches for bio-energy systems"; gemelo sólo al cierre. Valor para snowballing: bajo.</t>
        </is>
      </c>
    </row>
    <row r="133">
      <c r="A133" s="49" t="inlineStr">
        <is>
          <t>R0065</t>
        </is>
      </c>
      <c r="B133" s="49" t="n">
        <v>2026</v>
      </c>
      <c r="C133" s="49" t="inlineStr">
        <is>
          <t>Data-Driven Technologies for Enhancing Sustainability Performance in Digital Circular Supply Chain</t>
        </is>
      </c>
      <c r="D133" s="49" t="inlineStr">
        <is>
          <t>Procedia Computer Science</t>
        </is>
      </c>
      <c r="E133" s="49" t="inlineStr">
        <is>
          <t>10.1016/j.procs.2026.02.183</t>
        </is>
      </c>
      <c r="F133" s="49" t="inlineStr">
        <is>
          <t>bajo</t>
        </is>
      </c>
      <c r="G133" s="49" t="inlineStr">
        <is>
          <t>Recodificado 2026-09-06 en la auditoría final (E1→E4): Marco conceptual basado en revisión (C3): "Based on a structured literature review and an analysis of emerging digital practices, this study proposes a conceptual framework"; gemelo e IA sólo como tecnologías listadas ("IoT, artificial intelligence, blockchain, and digital twins"). Valor para snowballing: bajo. | Nota original (E1): Marco conceptual basado en revisión estructurada; gemelo sólo en lista de tecnologías ("advanced technologies such as IoT, artificial intelligence, blockchain, and digital twins support the implementation of circularity principles"); también E3.</t>
        </is>
      </c>
    </row>
    <row r="134">
      <c r="A134" s="49" t="inlineStr">
        <is>
          <t>R0067</t>
        </is>
      </c>
      <c r="B134" s="49" t="n">
        <v>2026</v>
      </c>
      <c r="C134" s="49" t="inlineStr">
        <is>
          <t>Machine Learning Approaches for Biomass Resource Mapping and Sustainable Energy Planning</t>
        </is>
      </c>
      <c r="D134" s="49" t="inlineStr">
        <is>
          <t>Applied Chemical Engineering</t>
        </is>
      </c>
      <c r="E134" s="49" t="inlineStr">
        <is>
          <t>10.59429/ace.v9i1.5843</t>
        </is>
      </c>
      <c r="F134" s="49" t="inlineStr">
        <is>
          <t>bajo</t>
        </is>
      </c>
      <c r="G134" s="49" t="inlineStr">
        <is>
          <t>"This paper surveys recent machine learning methods for AGB estimation" (biomasa); gemelo sólo como potencial futuro. Valor para snowballing: bajo.</t>
        </is>
      </c>
    </row>
    <row r="135">
      <c r="A135" s="49" t="inlineStr">
        <is>
          <t>R0069</t>
        </is>
      </c>
      <c r="B135" s="49" t="n">
        <v>2026</v>
      </c>
      <c r="C135" s="49" t="inlineStr">
        <is>
          <t>Trends and Frontiers of Emerging Technologies in Oil and Gas: A Scientometric Perspective</t>
        </is>
      </c>
      <c r="D135" s="49" t="inlineStr">
        <is>
          <t>IEEE Internet of Things Journal</t>
        </is>
      </c>
      <c r="E135" s="49" t="inlineStr">
        <is>
          <t>10.1109/jiot.2025.3631090</t>
        </is>
      </c>
      <c r="F135" s="49" t="inlineStr">
        <is>
          <t>bajo</t>
        </is>
      </c>
      <c r="G135" s="49" t="inlineStr">
        <is>
          <t>"The study conducts a scientometric analysis of IoT-centric technological advancements in the oil and gas domain" con foco en gemelos; cadena como una categoría. Valor para snowballing: bajo.</t>
        </is>
      </c>
    </row>
    <row r="136">
      <c r="A136" s="49" t="inlineStr">
        <is>
          <t>R0070</t>
        </is>
      </c>
      <c r="B136" s="49" t="n">
        <v>2026</v>
      </c>
      <c r="C136" s="49" t="inlineStr">
        <is>
          <t>Review of the Application of Artificial Intelligence Technology in the Intelligent Management of the Entire Production Line: Systematic Evolution from Perception to Decision-making</t>
        </is>
      </c>
      <c r="D136" s="49" t="inlineStr">
        <is>
          <t>Proceedings of 2025 6th International Conference on Computer Science and Management Technology, ICCSMT 2025</t>
        </is>
      </c>
      <c r="E136" s="49" t="inlineStr">
        <is>
          <t>10.1145/3795154.3795310</t>
        </is>
      </c>
      <c r="F136" s="49" t="inlineStr">
        <is>
          <t>bajo</t>
        </is>
      </c>
      <c r="G136" s="49" t="inlineStr">
        <is>
          <t>"This paper systematically reviews artificial intelligence applications in intelligent whole-line management"; gemelos y cadenas inteligentes entre ocho elementos. Valor para snowballing: bajo.</t>
        </is>
      </c>
    </row>
    <row r="137">
      <c r="A137" s="49" t="inlineStr">
        <is>
          <t>R0073</t>
        </is>
      </c>
      <c r="B137" s="49" t="n">
        <v>2026</v>
      </c>
      <c r="C137" s="49" t="inlineStr">
        <is>
          <t>5G networks and their impact on the evolution of real-time monitoring and control systems for Industry 4.0: a systematic review</t>
        </is>
      </c>
      <c r="D137" s="49" t="inlineStr">
        <is>
          <t>Quality and Quantity</t>
        </is>
      </c>
      <c r="E137" s="49" t="inlineStr">
        <is>
          <t>10.1007/s11135-025-02476-1</t>
        </is>
      </c>
      <c r="F137" s="49" t="inlineStr">
        <is>
          <t>bajo</t>
        </is>
      </c>
      <c r="G137" s="49" t="inlineStr">
        <is>
          <t>"This systematic review analyses the impact of 5G networks on the evolution of real-time control and monitoring systems for Industry 4.0"; gemelos e IA como tecnologías de apoyo. Valor para snowballing: bajo.</t>
        </is>
      </c>
    </row>
    <row r="138">
      <c r="A138" s="49" t="inlineStr">
        <is>
          <t>R0074</t>
        </is>
      </c>
      <c r="B138" s="49" t="n">
        <v>2026</v>
      </c>
      <c r="C138" s="49" t="inlineStr">
        <is>
          <t>The integration of artificial intelligence through quality by digital design for sustainable pharmaceutical manufacturing</t>
        </is>
      </c>
      <c r="D138" s="49" t="inlineStr">
        <is>
          <t>International Journal of Pharmaceutics</t>
        </is>
      </c>
      <c r="E138" s="49" t="inlineStr">
        <is>
          <t>10.1016/j.ijpharm.2026.126682</t>
        </is>
      </c>
      <c r="F138" s="49" t="inlineStr">
        <is>
          <t>bajo</t>
        </is>
      </c>
      <c r="G138" s="49" t="inlineStr">
        <is>
          <t>"This review explores the integration of artificial intelligence (AI) within the quality by digital design (QbDD) framework" (manufactura farmacéutica); gemelo en lista, cadena de paso. Valor para snowballing: bajo.</t>
        </is>
      </c>
    </row>
    <row r="139">
      <c r="A139" s="49" t="inlineStr">
        <is>
          <t>R0087</t>
        </is>
      </c>
      <c r="B139" s="49" t="n">
        <v>2026</v>
      </c>
      <c r="C139" s="49" t="inlineStr">
        <is>
          <t>Artificial Intelligence and Machine Learning Applications in the Textile Industry: A Review</t>
        </is>
      </c>
      <c r="D139" s="49" t="inlineStr">
        <is>
          <t>Journal of the Textile Association</t>
        </is>
      </c>
      <c r="E139" s="49" t="inlineStr">
        <is>
          <t>10.5281/zenodo.20554381</t>
        </is>
      </c>
      <c r="F139" s="49" t="inlineStr">
        <is>
          <t>bajo</t>
        </is>
      </c>
      <c r="G139" s="49" t="inlineStr">
        <is>
          <t>"In this review, a systematic evaluation is carried out for AI and ML applications across the textile lifecycle"; gemelo sólo como dirección futura. Valor para snowballing: bajo.</t>
        </is>
      </c>
    </row>
    <row r="140">
      <c r="A140" s="49" t="inlineStr">
        <is>
          <t>R0090</t>
        </is>
      </c>
      <c r="B140" s="49" t="n">
        <v>2026</v>
      </c>
      <c r="C140" s="49" t="inlineStr">
        <is>
          <t>Unveiling the future: A bibliometric review of emerging trends and hotspots in sustainable modern industrial chains</t>
        </is>
      </c>
      <c r="D140" s="49" t="inlineStr">
        <is>
          <t>Sustainable Futures</t>
        </is>
      </c>
      <c r="E140" s="49" t="inlineStr">
        <is>
          <t>10.1016/j.sftr.2026.102046</t>
        </is>
      </c>
      <c r="F140" s="49" t="inlineStr">
        <is>
          <t>bajo</t>
        </is>
      </c>
      <c r="G140" s="49" t="inlineStr">
        <is>
          <t>Revisión bibliométrica ("Based on scientometric methods, a systematic analysis was conducted on 1049 literatures") de cadenas industriales sostenibles; gemelo e IA como palabras clave emergentes. Valor para snowballing: bajo.</t>
        </is>
      </c>
    </row>
    <row r="141">
      <c r="A141" s="49" t="inlineStr">
        <is>
          <t>R0091</t>
        </is>
      </c>
      <c r="B141" s="49" t="n">
        <v>2026</v>
      </c>
      <c r="C141" s="49" t="inlineStr">
        <is>
          <t>The Sustainable Development of Industrial Production by Internet of Things Technology: Based on Bibliometric Analysis Methods</t>
        </is>
      </c>
      <c r="D141" s="49" t="inlineStr">
        <is>
          <t>Industrial Engineering and Management Systems</t>
        </is>
      </c>
      <c r="E141" s="49" t="inlineStr">
        <is>
          <t>10.7232/iems.2026.25.1.120</t>
        </is>
      </c>
      <c r="F141" s="49" t="inlineStr">
        <is>
          <t>bajo</t>
        </is>
      </c>
      <c r="G141" s="49" t="inlineStr">
        <is>
          <t>"This study employs bibliometric methods, utilizing tools such as CiteSpace, VOSviewer, and Bibliometrix" sobre IoT en producción industrial; gemelo y cadena como temas. Valor para snowballing: bajo.</t>
        </is>
      </c>
    </row>
    <row r="142">
      <c r="A142" s="49" t="inlineStr">
        <is>
          <t>R0095</t>
        </is>
      </c>
      <c r="B142" s="49" t="n">
        <v>2026</v>
      </c>
      <c r="C142" s="49" t="inlineStr">
        <is>
          <t>A systematic mapping of artificial intelligence, digital twins, and blockchain applications in nuclear plants</t>
        </is>
      </c>
      <c r="D142" s="49" t="inlineStr">
        <is>
          <t>ENGINEERING APPLICATIONS OF ARTIFICIAL INTELLIGENCE</t>
        </is>
      </c>
      <c r="E142" s="49" t="inlineStr">
        <is>
          <t>10.1016/j.engappai.2026.115051</t>
        </is>
      </c>
      <c r="F142" s="49" t="inlineStr">
        <is>
          <t>bajo</t>
        </is>
      </c>
      <c r="G142" s="49" t="inlineStr">
        <is>
          <t>"This systematic review, employing Preferred Reporting Items for Systematic Reviews and Meta-Analyses (PRISMA) 2020 methodology, synthesizes 161 studies" sobre IA, gemelos y blockchain en plantas nucleares. Valor para snowballing: bajo.</t>
        </is>
      </c>
    </row>
    <row r="143">
      <c r="A143" s="49" t="inlineStr">
        <is>
          <t>R0099</t>
        </is>
      </c>
      <c r="B143" s="49" t="n">
        <v>2025</v>
      </c>
      <c r="C143" s="49" t="inlineStr">
        <is>
          <t>Optimising the construction process through digitalisation: Case studies of projects under unstable resource supply</t>
        </is>
      </c>
      <c r="D143" s="49" t="inlineStr">
        <is>
          <t>Architectural Studies</t>
        </is>
      </c>
      <c r="E143" s="49" t="inlineStr">
        <is>
          <t>10.56318/as/1.2025.92</t>
        </is>
      </c>
      <c r="F143" s="49" t="inlineStr">
        <is>
          <t>bajo</t>
        </is>
      </c>
      <c r="G143" s="49" t="inlineStr">
        <is>
          <t>Recodificado 2026-09-06 en la auditoría final (E2→E4): Análisis de tendencias con síntesis de casos (C3): "The research methodology included an analysis of current trends in the field of digital solutions" y "An analysis of real-world case studies was conducted"; dominio de construcción, gemelo sólo como una tecnología más ("digital twins in Singapore, which are used for the management of urban resources"). Valor para snowballing: bajo. | Nota original (E2): Panorama de digitalización en construcción con casos ("digital twins in Singapore, which are used for the management of urban resources"); el objeto es el proceso constructivo y la cadena aparece sólo como condición ("under conditions of unstable resource supply"), sin encuadre de cadena ni logística. Gemelo tratado sólo a nivel panorámico.</t>
        </is>
      </c>
    </row>
    <row r="144">
      <c r="A144" s="49" t="inlineStr">
        <is>
          <t>R0103</t>
        </is>
      </c>
      <c r="B144" s="49" t="n">
        <v>2025</v>
      </c>
      <c r="C144" s="49" t="inlineStr">
        <is>
          <t>Advancing net-zero supply chain management: a machine learning driven review aligned with the sustainable development goals</t>
        </is>
      </c>
      <c r="D144" s="49" t="inlineStr">
        <is>
          <t>International Journal of Logistics Research and Applications</t>
        </is>
      </c>
      <c r="E144" s="49" t="inlineStr">
        <is>
          <t>10.1080/13675567.2025.2552754</t>
        </is>
      </c>
      <c r="F144" s="49" t="inlineStr">
        <is>
          <t>bajo</t>
        </is>
      </c>
      <c r="G144" s="49" t="inlineStr">
        <is>
          <t>Revisión con modelado de tópicos ("This study uses the TCCM framework and BERTopic modelling to map its theoretical, contextual, and methodological evolution") sobre cadenas net-zero; gemelo sólo como investigación futura. Valor para snowballing: bajo.</t>
        </is>
      </c>
    </row>
    <row r="145">
      <c r="A145" s="49" t="inlineStr">
        <is>
          <t>R0110</t>
        </is>
      </c>
      <c r="B145" s="49" t="n">
        <v>2025</v>
      </c>
      <c r="C145" s="49" t="inlineStr">
        <is>
          <t>A systematic review of industry 4.0 technologies in the production and manufacturing sector</t>
        </is>
      </c>
      <c r="D145" s="49" t="inlineStr">
        <is>
          <t>Materials Research Proceedings</t>
        </is>
      </c>
      <c r="E145" s="49" t="inlineStr">
        <is>
          <t>10.21741/9781644903438-20</t>
        </is>
      </c>
      <c r="F145" s="49" t="inlineStr">
        <is>
          <t>bajo</t>
        </is>
      </c>
      <c r="G145" s="49" t="inlineStr">
        <is>
          <t>"The objectives of this study are to review the corpus of literature on Industry 4.0"; gemelos y cadenas sólo en listas. Valor para snowballing: bajo.</t>
        </is>
      </c>
    </row>
    <row r="146">
      <c r="A146" s="49" t="inlineStr">
        <is>
          <t>R0114</t>
        </is>
      </c>
      <c r="B146" s="49" t="n">
        <v>2025</v>
      </c>
      <c r="C146" s="49" t="inlineStr">
        <is>
          <t>How Digital Twin Technology Can Support Value Stream Mapping, a Renewed Method in Lean Construction</t>
        </is>
      </c>
      <c r="D146" s="49" t="inlineStr">
        <is>
          <t>Lecture Notes in Civil Engineering</t>
        </is>
      </c>
      <c r="E146" s="49" t="inlineStr">
        <is>
          <t>10.1007/978-981-96-4051-5_92</t>
        </is>
      </c>
      <c r="F146" s="49" t="inlineStr">
        <is>
          <t>bajo</t>
        </is>
      </c>
      <c r="G146" s="49" t="inlineStr">
        <is>
          <t>Recodificado 2026-09-06 en la auditoría final (E2→E4): Marco basado en revisión (C3): "This paper, by employing a literature review, introduces a framework that capitalizes on the synergies between VSM and cutting-edge digital twin technology"; dominio de construcción lean, cadena sólo como motivación ("evaluate the efficiency of their value-creation processes and supply chains"). Valor para snowballing: bajo. | Nota original (E2): Gemelo con VSM para eficiencia en proyectos de construcción; la cadena sólo como motivación genérica ("evaluate the efficiency of their value-creation processes and supply chains"), sin encuadre de cadena ni logística; también E3 (IA sólo "leveraging automated data acquisition and artificial intelligence").</t>
        </is>
      </c>
    </row>
    <row r="147">
      <c r="A147" s="49" t="inlineStr">
        <is>
          <t>R0151</t>
        </is>
      </c>
      <c r="B147" s="49" t="n">
        <v>2025</v>
      </c>
      <c r="C147" s="49" t="inlineStr">
        <is>
          <t>Generative modeling in smart manufacturing: Applications, challenges, and future directions</t>
        </is>
      </c>
      <c r="D147" s="49" t="inlineStr">
        <is>
          <t>Manufacturing Letters</t>
        </is>
      </c>
      <c r="E147" s="49" t="inlineStr">
        <is>
          <t>10.1016/j.mfglet.2025.06.148</t>
        </is>
      </c>
      <c r="F147" s="49" t="inlineStr">
        <is>
          <t>bajo</t>
        </is>
      </c>
      <c r="G147" s="49" t="inlineStr">
        <is>
          <t>"This review systematically explores the applications of generative modeling in smart manufacturing"; gemelos sólo como integración futura y cadena como área. Valor para snowballing: bajo.</t>
        </is>
      </c>
    </row>
    <row r="148">
      <c r="A148" s="49" t="inlineStr">
        <is>
          <t>R0163</t>
        </is>
      </c>
      <c r="B148" s="49" t="n">
        <v>2025</v>
      </c>
      <c r="C148" s="49" t="inlineStr">
        <is>
          <t>The Role of Technology in Climate Resilience: A Systematic Literature Review and Mapping Study Approach</t>
        </is>
      </c>
      <c r="D148" s="49" t="inlineStr">
        <is>
          <t>Journal of Physics: Conference Series</t>
        </is>
      </c>
      <c r="E148" s="49" t="inlineStr">
        <is>
          <t>10.1088/1742-6596/2989/1/012037</t>
        </is>
      </c>
      <c r="F148" s="49" t="inlineStr">
        <is>
          <t>bajo</t>
        </is>
      </c>
      <c r="G148" s="49" t="inlineStr">
        <is>
          <t>"A total of 22 articles were reviewed, employing systematic literature review and mapping study methods" sobre tecnología y resiliencia climática; gemelo y logística sólo como menciones. Valor para snowballing: bajo.</t>
        </is>
      </c>
    </row>
    <row r="149">
      <c r="A149" s="49" t="inlineStr">
        <is>
          <t>R0168</t>
        </is>
      </c>
      <c r="B149" s="49" t="n">
        <v>2025</v>
      </c>
      <c r="C149" s="49" t="inlineStr">
        <is>
          <t>Integrating Circular Economy and Industry 4.0 within Circular Supply Chains: A Literature Review and Network Analysis Insights</t>
        </is>
      </c>
      <c r="D149" s="49" t="inlineStr">
        <is>
          <t>Procedia CIRP</t>
        </is>
      </c>
      <c r="E149" s="49" t="inlineStr">
        <is>
          <t>10.1016/j.procir.2024.12.073</t>
        </is>
      </c>
      <c r="F149" s="49" t="inlineStr">
        <is>
          <t>bajo</t>
        </is>
      </c>
      <c r="G149" s="49" t="inlineStr">
        <is>
          <t>"The research described in this paper analyses 157 publications using a multi-layered networks approach" (economía circular e Industria 4.0 en cadenas circulares); gemelos como tendencia. Valor para snowballing: bajo.</t>
        </is>
      </c>
    </row>
    <row r="150">
      <c r="A150" s="49" t="inlineStr">
        <is>
          <t>R0177</t>
        </is>
      </c>
      <c r="B150" s="49" t="n">
        <v>2025</v>
      </c>
      <c r="C150" s="49" t="inlineStr">
        <is>
          <t>Artificial Intelligence Powered IoT for Real-Time Inventory Control and Hyper-Personalized Retail Experiences</t>
        </is>
      </c>
      <c r="D150" s="49" t="inlineStr">
        <is>
          <t>2025 International Conference on Future Technologies, ICFT 2025</t>
        </is>
      </c>
      <c r="E150" s="49" t="inlineStr">
        <is>
          <t>10.1109/icft66708.2025.11336711</t>
        </is>
      </c>
      <c r="F150" s="49" t="inlineStr">
        <is>
          <t>bajo</t>
        </is>
      </c>
      <c r="G150" s="49" t="inlineStr">
        <is>
          <t>"This research work presents a critical and technical survey of this paradigm shift" (IA e IoT en inventario minorista); gemelo sólo como dirección futura. Valor para snowballing: bajo.</t>
        </is>
      </c>
    </row>
    <row r="151">
      <c r="A151" s="49" t="inlineStr">
        <is>
          <t>R0179</t>
        </is>
      </c>
      <c r="B151" s="49" t="n">
        <v>2025</v>
      </c>
      <c r="C151" s="49" t="inlineStr">
        <is>
          <t>Enhancing Warehouse Efficiency Through SAP EWM in S/4HANA</t>
        </is>
      </c>
      <c r="D151" s="49" t="inlineStr">
        <is>
          <t>2025 International Conference on Sustainability, Innovation and Technology, ICSIT 2025</t>
        </is>
      </c>
      <c r="E151" s="49" t="inlineStr">
        <is>
          <t>10.1109/icsit65336.2025.11294312</t>
        </is>
      </c>
      <c r="F151" s="49" t="inlineStr">
        <is>
          <t>bajo</t>
        </is>
      </c>
      <c r="G151" s="49" t="inlineStr">
        <is>
          <t>"The field of SAP EWM integration in architecture S/4HANA is discussed in this review"; IA y gemelos sólo como investigación futura. Valor para snowballing: bajo.</t>
        </is>
      </c>
    </row>
    <row r="152">
      <c r="A152" s="49" t="inlineStr">
        <is>
          <t>R0181</t>
        </is>
      </c>
      <c r="B152" s="49" t="n">
        <v>2025</v>
      </c>
      <c r="C152" s="49" t="inlineStr">
        <is>
          <t>Digital Transformation of Industry Through Using AI: A Bibliometric Analysis Approach</t>
        </is>
      </c>
      <c r="D152" s="49" t="inlineStr">
        <is>
          <t>Lecture Notes in Information Systems and Organisation</t>
        </is>
      </c>
      <c r="E152" s="49" t="inlineStr">
        <is>
          <t>10.1007/978-3-032-00118-4_2</t>
        </is>
      </c>
      <c r="F152" s="49" t="inlineStr">
        <is>
          <t>bajo</t>
        </is>
      </c>
      <c r="G152" s="49" t="inlineStr">
        <is>
          <t>"This paper focuses on the theoretical literature overview and bibliometric network analysis" de transformación digital e IA; gemelos y cadena como temas. Valor para snowballing: bajo.</t>
        </is>
      </c>
    </row>
    <row r="153">
      <c r="A153" s="49" t="inlineStr">
        <is>
          <t>R0186</t>
        </is>
      </c>
      <c r="B153" s="49" t="n">
        <v>2025</v>
      </c>
      <c r="C153" s="49" t="inlineStr">
        <is>
          <t>Digital Technology for Construction Circularity: Applications, State of Practice, and Trends</t>
        </is>
      </c>
      <c r="D153" s="49" t="inlineStr">
        <is>
          <t>Lecture Notes in Civil Engineering</t>
        </is>
      </c>
      <c r="E153" s="49" t="inlineStr">
        <is>
          <t>10.1007/978-981-96-4051-5_64</t>
        </is>
      </c>
      <c r="F153" s="49" t="inlineStr">
        <is>
          <t>bajo</t>
        </is>
      </c>
      <c r="G153" s="49" t="inlineStr">
        <is>
          <t>"This paper addresses this gap through a systematic review of 67 articles" sobre tecnología digital para circularidad en construcción; gemelo e IA entre seis tecnologías. Valor para snowballing: bajo.</t>
        </is>
      </c>
    </row>
    <row r="154">
      <c r="A154" s="49" t="inlineStr">
        <is>
          <t>R0199</t>
        </is>
      </c>
      <c r="B154" s="49" t="n">
        <v>2025</v>
      </c>
      <c r="C154" s="49" t="inlineStr">
        <is>
          <t>A REVIEW OF PROCUREMENT AND MANAGEMENT OF BUILDING SERVICES SYSTEMS: COMPLEXITIES AND TECHNOLOGY ADOPTION</t>
        </is>
      </c>
      <c r="D154" s="49" t="inlineStr">
        <is>
          <t>World Construction Symposium</t>
        </is>
      </c>
      <c r="E154" s="49" t="inlineStr">
        <is>
          <t>10.31705/wcs.2025.4</t>
        </is>
      </c>
      <c r="F154" s="49" t="inlineStr">
        <is>
          <t>bajo</t>
        </is>
      </c>
      <c r="G154" s="49" t="inlineStr">
        <is>
          <t>"A scoping literature review of 32 peer-reviewed articles was conducted" sobre adquisición y gestión de sistemas de servicios de edificios; gemelo e IA entre tecnologías. Valor para snowballing: bajo.</t>
        </is>
      </c>
    </row>
    <row r="155">
      <c r="A155" s="49" t="inlineStr">
        <is>
          <t>R0200</t>
        </is>
      </c>
      <c r="B155" s="49" t="n">
        <v>2025</v>
      </c>
      <c r="C155" s="49" t="inlineStr">
        <is>
          <t>Impact of digital disruption: Transforming supply chain for the future</t>
        </is>
      </c>
      <c r="D155" s="49" t="inlineStr">
        <is>
          <t>AIP Conference Proceedings</t>
        </is>
      </c>
      <c r="E155" s="49" t="inlineStr">
        <is>
          <t>10.1063/5.0293018</t>
        </is>
      </c>
      <c r="F155" s="49" t="inlineStr">
        <is>
          <t>bajo</t>
        </is>
      </c>
      <c r="G155" s="49" t="inlineStr">
        <is>
          <t>Estudio de datos secundarios de WoS y Scopus con criterios de inclusión ("utilizing secondary data from key databases, including Web of Science (WOS) and Scopus after applying some inclusion and exclusion criteria") sobre transformación digital en SCM; gemelo en lista. Valor para snowballing: bajo.</t>
        </is>
      </c>
    </row>
    <row r="156">
      <c r="A156" s="49" t="inlineStr">
        <is>
          <t>R0210</t>
        </is>
      </c>
      <c r="B156" s="49" t="n">
        <v>2025</v>
      </c>
      <c r="C156" s="49" t="inlineStr">
        <is>
          <t>Mapping Artificial Intelligence Research in Automotive Manufacturing: A Bibliometric Study</t>
        </is>
      </c>
      <c r="D156" s="49" t="inlineStr">
        <is>
          <t>International Journal of Advanced Computer Science and Applications</t>
        </is>
      </c>
      <c r="E156" s="49" t="inlineStr">
        <is>
          <t>10.14569/ijacsa.2025.0161189</t>
        </is>
      </c>
      <c r="F156" s="49" t="inlineStr">
        <is>
          <t>bajo</t>
        </is>
      </c>
      <c r="G156" s="49" t="inlineStr">
        <is>
          <t>"This bibliometric study provides a systematic overview of the intellectual landscape of AI adoption in the automotive sector"; gemelos como área emergente. Valor para snowballing: bajo.</t>
        </is>
      </c>
    </row>
    <row r="157">
      <c r="A157" s="49" t="inlineStr">
        <is>
          <t>R0212</t>
        </is>
      </c>
      <c r="B157" s="49" t="n">
        <v>2025</v>
      </c>
      <c r="C157" s="49" t="inlineStr">
        <is>
          <t>Innovative Approaches to Transport Challenges in Port Cities Based on Literature Review</t>
        </is>
      </c>
      <c r="D157" s="49" t="inlineStr">
        <is>
          <t>TransNav</t>
        </is>
      </c>
      <c r="E157" s="49" t="inlineStr">
        <is>
          <t>10.12716/1001.19.02.16</t>
        </is>
      </c>
      <c r="F157" s="49" t="inlineStr">
        <is>
          <t>bajo</t>
        </is>
      </c>
      <c r="G157" s="49" t="inlineStr">
        <is>
          <t>"This paper reviews innovative approaches to addressing transport challenges in port cities"; gemelo e IA sólo como innovaciones mencionadas. Valor para snowballing: bajo.</t>
        </is>
      </c>
    </row>
    <row r="158">
      <c r="A158" s="49" t="inlineStr">
        <is>
          <t>R0215</t>
        </is>
      </c>
      <c r="B158" s="49" t="n">
        <v>2025</v>
      </c>
      <c r="C158" s="49" t="inlineStr">
        <is>
          <t>Role of IOT in Additive Manufacturing</t>
        </is>
      </c>
      <c r="D158" s="49" t="inlineStr">
        <is>
          <t>Lecture Notes in Mechanical Engineering</t>
        </is>
      </c>
      <c r="E158" s="49" t="inlineStr">
        <is>
          <t>10.1007/978-981-97-6016-9_25</t>
        </is>
      </c>
      <c r="F158" s="49" t="inlineStr">
        <is>
          <t>bajo</t>
        </is>
      </c>
      <c r="G158" s="49" t="inlineStr">
        <is>
          <t>"This literature review explores automated AM processes, their characteristics, and sustainability" (IoT en manufactura aditiva); gemelos y cadena sólo mencionados. Valor para snowballing: bajo.</t>
        </is>
      </c>
    </row>
    <row r="159">
      <c r="A159" s="49" t="inlineStr">
        <is>
          <t>R0229</t>
        </is>
      </c>
      <c r="B159" s="49" t="n">
        <v>2025</v>
      </c>
      <c r="C159" s="49" t="inlineStr">
        <is>
          <t>Into the Revolution of Industry 5.0 in Ensuring Ethical Fashion: A Review on Conceptual Framework</t>
        </is>
      </c>
      <c r="D159" s="49" t="inlineStr">
        <is>
          <t>TEKSTILEC</t>
        </is>
      </c>
      <c r="E159" s="49" t="inlineStr">
        <is>
          <t>10.14502/tekstilec.68.2025057</t>
        </is>
      </c>
      <c r="F159" s="49" t="inlineStr">
        <is>
          <t>bajo</t>
        </is>
      </c>
      <c r="G159" s="49" t="inlineStr">
        <is>
          <t>Revisión conceptual sobre Industria 5.0 y moda ética ("Through an in-depth review of literature regarding Industry 4.0, Industry 5.0 and ethical fashion, this study develops a framework"); gemelo sólo en lista. Valor para snowballing: bajo.</t>
        </is>
      </c>
    </row>
    <row r="160">
      <c r="A160" s="49" t="inlineStr">
        <is>
          <t>R0230</t>
        </is>
      </c>
      <c r="B160" s="49" t="n">
        <v>2025</v>
      </c>
      <c r="C160" s="49" t="inlineStr">
        <is>
          <t>Industry 6.0: Vision, technical landscape, and opportunities</t>
        </is>
      </c>
      <c r="D160" s="49" t="inlineStr">
        <is>
          <t>ALEXANDRIA ENGINEERING JOURNAL</t>
        </is>
      </c>
      <c r="E160" s="49" t="inlineStr">
        <is>
          <t>10.1016/j.aej.2025.08.040</t>
        </is>
      </c>
      <c r="F160" s="49" t="inlineStr">
        <is>
          <t>bajo</t>
        </is>
      </c>
      <c r="G160" s="49" t="inlineStr">
        <is>
          <t>"we present a tutorial-based survey on the vision, technical landscape, and advancements which would drive the Industry 6.0"; gemelos automatizados y cadenas dinámicas como habilitadores. Valor para snowballing: bajo.</t>
        </is>
      </c>
    </row>
    <row r="161">
      <c r="A161" s="49" t="inlineStr">
        <is>
          <t>R0231</t>
        </is>
      </c>
      <c r="B161" s="49" t="n">
        <v>2025</v>
      </c>
      <c r="C161" s="49" t="inlineStr">
        <is>
          <t>Exploring the metaverse: integrating emerging technologies for Industry 5.0 advancement</t>
        </is>
      </c>
      <c r="D161" s="49" t="inlineStr">
        <is>
          <t>SMART AND SUSTAINABLE BUILT ENVIRONMENT</t>
        </is>
      </c>
      <c r="E161" s="49" t="inlineStr">
        <is>
          <t>10.1108/sasbe-04-2025-0169</t>
        </is>
      </c>
      <c r="F161" s="49" t="inlineStr">
        <is>
          <t>bajo</t>
        </is>
      </c>
      <c r="G161" s="49" t="inlineStr">
        <is>
          <t>"This study utilizes a systematic literature review methodology, examining 194 peer-reviewed articles" sobre metaverso en construcción; gemelo e IA como tecnologías, coordinación de cadena como área. Valor para snowballing: bajo.</t>
        </is>
      </c>
    </row>
    <row r="162">
      <c r="A162" s="49" t="inlineStr">
        <is>
          <t>R0239</t>
        </is>
      </c>
      <c r="B162" s="49" t="n">
        <v>2024</v>
      </c>
      <c r="C162" s="49" t="inlineStr">
        <is>
          <t>A Systematic Literature Review on the Uses, Benefits, Challenges, and Prospects of Digital Twins in Livestock Farm Management</t>
        </is>
      </c>
      <c r="D162" s="49" t="inlineStr">
        <is>
          <t>Advances in Animal and Veterinary Sciences</t>
        </is>
      </c>
      <c r="E162" s="49" t="inlineStr">
        <is>
          <t>10.17582/journal.aavs/2024/12.12.2301.2314</t>
        </is>
      </c>
      <c r="F162" s="49" t="inlineStr">
        <is>
          <t>bajo</t>
        </is>
      </c>
      <c r="G162" s="49" t="inlineStr">
        <is>
          <t>"The objective of this study is to conduct a comprehensive review of the literature to determine the status of DT application in livestock farm management" (PRISMA); cadena sólo como prospecto. Valor para snowballing: bajo.</t>
        </is>
      </c>
    </row>
    <row r="163">
      <c r="A163" s="49" t="inlineStr">
        <is>
          <t>R0240</t>
        </is>
      </c>
      <c r="B163" s="49" t="n">
        <v>2024</v>
      </c>
      <c r="C163" s="49" t="inlineStr">
        <is>
          <t>Predictive manufacturing: State of the art, design standards, limitations, challenges, and future perspectives</t>
        </is>
      </c>
      <c r="D163" s="49" t="inlineStr">
        <is>
          <t>AIP Conference Proceedings</t>
        </is>
      </c>
      <c r="E163" s="49" t="inlineStr">
        <is>
          <t>10.1063/5.0235999</t>
        </is>
      </c>
      <c r="F163" s="49" t="inlineStr">
        <is>
          <t>bajo</t>
        </is>
      </c>
      <c r="G163" s="49" t="inlineStr">
        <is>
          <t>Panorama del estado del arte en manufactura predictiva ("providing a thorough overview of them"); gemelos y aplicaciones en cadena como perspectivas. Valor para snowballing: bajo.</t>
        </is>
      </c>
    </row>
    <row r="164">
      <c r="A164" s="49" t="inlineStr">
        <is>
          <t>R0248</t>
        </is>
      </c>
      <c r="B164" s="49" t="n">
        <v>2024</v>
      </c>
      <c r="C164" s="49" t="inlineStr">
        <is>
          <t>Cognitive digital twin-based Internet of Robotic Things, multi-sensory extended reality and simulation modeling technologies, and generative artificial intelligence and cyber–physical manufacturing systems in the immersive industrial metaverse</t>
        </is>
      </c>
      <c r="D164" s="49" t="inlineStr">
        <is>
          <t>Equilibrium. Quarterly Journal of Economics and Economic Policy</t>
        </is>
      </c>
      <c r="E164" s="49" t="inlineStr">
        <is>
          <t>10.24136/eq.3131</t>
        </is>
      </c>
      <c r="F164" s="49" t="inlineStr">
        <is>
          <t>bajo</t>
        </is>
      </c>
      <c r="G164" s="49" t="inlineStr">
        <is>
          <t>"This collective writing cumulates and debates upon the most recent and relevant literature on cognitive digital twin-based Internet of Robotic Things" (metaverso industrial); logística de producción sólo como tema. Valor para snowballing: bajo.</t>
        </is>
      </c>
    </row>
    <row r="165">
      <c r="A165" s="49" t="inlineStr">
        <is>
          <t>R0259</t>
        </is>
      </c>
      <c r="B165" s="49" t="n">
        <v>2024</v>
      </c>
      <c r="C165" s="49" t="inlineStr">
        <is>
          <t>Digital Moon: Usage of Artificial Intelligence and Digital Twins for a Sustainable Lunar Economy</t>
        </is>
      </c>
      <c r="D165" s="49" t="inlineStr">
        <is>
          <t>Proceedings of the International Astronautical Congress, IAC</t>
        </is>
      </c>
      <c r="E165" s="49" t="inlineStr">
        <is>
          <t>10.52202/078374-0047</t>
        </is>
      </c>
      <c r="F165" s="49" t="inlineStr">
        <is>
          <t>bajo</t>
        </is>
      </c>
      <c r="G165" s="49" t="inlineStr">
        <is>
          <t>Recodificado 2026-09-06 en la auditoría final (E2→E4): Análisis cualitativo que parte de una revisión del estado del arte y presenta un marco (C3): "The study begins by reviewing the current state-of-the-art technologies on the lunar economy" y "Then a framework for implementation of these technologies is presented"; dominio de economía lunar, cadena sólo como dificultad ("as well as supply chain difficulties"). Valor para snowballing: bajo. | Nota original (E2): Análisis cualitativo del papel de IA y gemelos en una economía lunar sostenible; la cadena sólo como dificultad mencionada ("as well as supply chain difficulties"), sin encuadre de cadena ni logística.</t>
        </is>
      </c>
    </row>
    <row r="166">
      <c r="A166" s="49" t="inlineStr">
        <is>
          <t>R0260</t>
        </is>
      </c>
      <c r="B166" s="49" t="n">
        <v>2024</v>
      </c>
      <c r="C166" s="49" t="inlineStr">
        <is>
          <t>Effects of Adopting Industry 4.0 on a Manufacturing Plant</t>
        </is>
      </c>
      <c r="D166" s="49" t="inlineStr">
        <is>
          <t>2024 11th International Conference on Reliability, Infocom Technologies and Optimization (Trends and Future Directions), ICRITO 2024</t>
        </is>
      </c>
      <c r="E166" s="49" t="inlineStr">
        <is>
          <t>10.1109/icrito61523.2024.10522189</t>
        </is>
      </c>
      <c r="F166" s="49" t="inlineStr">
        <is>
          <t>bajo</t>
        </is>
      </c>
      <c r="G166" s="49" t="inlineStr">
        <is>
          <t>"This survey is a practical guide for anyone interested in understanding the current state and where Smart Manufacturing is headed"; gemelos y cadena inteligente como aplicaciones. Valor para snowballing: bajo.</t>
        </is>
      </c>
    </row>
    <row r="167">
      <c r="A167" s="49" t="inlineStr">
        <is>
          <t>R0268</t>
        </is>
      </c>
      <c r="B167" s="49" t="n">
        <v>2024</v>
      </c>
      <c r="C167" s="49" t="inlineStr">
        <is>
          <t>Leveraging Artificial Intelligence, Internet of Things, and Digital Twins in Sustainable Agriculture</t>
        </is>
      </c>
      <c r="D167" s="49" t="inlineStr">
        <is>
          <t>IEEE International Conference on Signal Processing and Advance Research in Computing, SPARC 2024</t>
        </is>
      </c>
      <c r="E167" s="49" t="inlineStr">
        <is>
          <t>10.1109/sparc61891.2024.10829179</t>
        </is>
      </c>
      <c r="F167" s="49" t="inlineStr">
        <is>
          <t>bajo</t>
        </is>
      </c>
      <c r="G167" s="49" t="inlineStr">
        <is>
          <t>Panorama con síntesis de casos ("This study provides an in-depth analysis of how AI, IoT, and digital twins are being incorporated into sustainable agriculture"; "Through the examination of case studies, the paper showcases how these technologies effectively enhance crop yield"); la cadena sólo como aplicación listada. Valor para snowballing: bajo.</t>
        </is>
      </c>
    </row>
    <row r="168">
      <c r="A168" s="49" t="inlineStr">
        <is>
          <t>R0279</t>
        </is>
      </c>
      <c r="B168" s="49" t="n">
        <v>2024</v>
      </c>
      <c r="C168" s="49" t="inlineStr">
        <is>
          <t>Technologies of Industry 4.0 for the next fashion revolution: A systematic literature review</t>
        </is>
      </c>
      <c r="D168" s="49" t="inlineStr">
        <is>
          <t>Proceedings of the LACCEI international Multi-conference for Engineering, Education and Technology</t>
        </is>
      </c>
      <c r="E168" s="49" t="inlineStr">
        <is>
          <t>10.18687/laccei2024.1.1.582</t>
        </is>
      </c>
      <c r="F168" s="49" t="inlineStr">
        <is>
          <t>bajo</t>
        </is>
      </c>
      <c r="G168" s="49" t="inlineStr">
        <is>
          <t>Revisión sistemática (PICOC y PRISMA) de Industria 4.0 en la industria de la moda ("thirty open-access articles from the Scopus database were chosen"); gemelos e IA como tecnologías. Valor para snowballing: bajo.</t>
        </is>
      </c>
    </row>
    <row r="169">
      <c r="A169" s="49" t="inlineStr">
        <is>
          <t>R0280</t>
        </is>
      </c>
      <c r="B169" s="49" t="n">
        <v>2024</v>
      </c>
      <c r="C169" s="49" t="inlineStr">
        <is>
          <t>Internet of Things and Sustainability: A Literature Review</t>
        </is>
      </c>
      <c r="D169" s="49" t="inlineStr">
        <is>
          <t>IFIP Advances in Information and Communication Technology</t>
        </is>
      </c>
      <c r="E169" s="49" t="inlineStr">
        <is>
          <t>10.1007/978-3-031-50204-0_4</t>
        </is>
      </c>
      <c r="F169" s="49" t="inlineStr">
        <is>
          <t>bajo</t>
        </is>
      </c>
      <c r="G169" s="49" t="inlineStr">
        <is>
          <t>"The purpose of this study is to review the literature of Internet of things research in the sustainability domain"; gemelos y cadena como áreas emergentes. Valor para snowballing: bajo.</t>
        </is>
      </c>
    </row>
    <row r="170">
      <c r="A170" s="49" t="inlineStr">
        <is>
          <t>R0283</t>
        </is>
      </c>
      <c r="B170" s="49" t="n">
        <v>2024</v>
      </c>
      <c r="C170" s="49" t="inlineStr">
        <is>
          <t>Trends in scientific production in the area of digital technologies and circular economy</t>
        </is>
      </c>
      <c r="D170" s="49" t="inlineStr">
        <is>
          <t>REVISTA GESTION DE LAS PERSONAS Y TECNOLOGIA</t>
        </is>
      </c>
      <c r="E170" s="49" t="inlineStr">
        <is>
          <t>10.35588/6436n243</t>
        </is>
      </c>
      <c r="F170" s="49" t="inlineStr">
        <is>
          <t>bajo</t>
        </is>
      </c>
      <c r="G170" s="49" t="inlineStr">
        <is>
          <t>Análisis de tendencias de literatura ("bibliographic review, bibliometric analysis, and content analysis") sobre tecnologías digitales y economía circular; gemelos e IA en la lista de tecnologías consideradas. Valor para snowballing: bajo.</t>
        </is>
      </c>
    </row>
    <row r="171">
      <c r="A171" s="49" t="inlineStr">
        <is>
          <t>R0284</t>
        </is>
      </c>
      <c r="B171" s="49" t="n">
        <v>2023</v>
      </c>
      <c r="C171" s="49" t="inlineStr">
        <is>
          <t>Automation of AM Via IoT Towards Implementation of e-logistics in Supply Chain for Industry 4.0</t>
        </is>
      </c>
      <c r="D171" s="49" t="inlineStr">
        <is>
          <t>Lecture Notes in Mechanical Engineering</t>
        </is>
      </c>
      <c r="E171" s="49" t="inlineStr">
        <is>
          <t>10.1007/978-981-16-9057-0_20</t>
        </is>
      </c>
      <c r="F171" s="49" t="inlineStr">
        <is>
          <t>bajo</t>
        </is>
      </c>
      <c r="G171" s="49" t="inlineStr">
        <is>
          <t>"An intensive desk-based literature survey study identifies potential advantages of incorporating IoT automated additive manufacturing" y e-logística; gemelo sólo en lista. Valor para snowballing: bajo.</t>
        </is>
      </c>
    </row>
    <row r="172">
      <c r="A172" s="49" t="inlineStr">
        <is>
          <t>R0301</t>
        </is>
      </c>
      <c r="B172" s="49" t="n">
        <v>2023</v>
      </c>
      <c r="C172" s="49" t="inlineStr">
        <is>
          <t>Digital Twin in the Aviation Industry and the Role of Machine Learning: A Review</t>
        </is>
      </c>
      <c r="D172" s="49" t="inlineStr">
        <is>
          <t>Lecture Notes in Networks and Systems</t>
        </is>
      </c>
      <c r="E172" s="49" t="inlineStr">
        <is>
          <t>10.1007/978-981-99-6568-7_41</t>
        </is>
      </c>
      <c r="F172" s="49" t="inlineStr">
        <is>
          <t>bajo</t>
        </is>
      </c>
      <c r="G172" s="49" t="inlineStr">
        <is>
          <t>Revisión ("Digital Twin in the Aviation Industry and the Role of Machine Learning: A Review"; "The objective of this paper is to familiarise readers with the notion of digital twin technology"); cadena sólo mencionada. Valor para snowballing: bajo.</t>
        </is>
      </c>
    </row>
    <row r="173">
      <c r="A173" s="49" t="inlineStr">
        <is>
          <t>R0330</t>
        </is>
      </c>
      <c r="B173" s="49" t="n">
        <v>2022</v>
      </c>
      <c r="C173" s="49" t="inlineStr">
        <is>
          <t>Key Issues for Digital Factory Designing and Planning: A Survey</t>
        </is>
      </c>
      <c r="D173" s="49" t="inlineStr">
        <is>
          <t>Studies in Computational Intelligence</t>
        </is>
      </c>
      <c r="E173" s="49" t="inlineStr">
        <is>
          <t>10.1007/978-3-030-92317-4_2</t>
        </is>
      </c>
      <c r="F173" s="49" t="inlineStr">
        <is>
          <t>bajo</t>
        </is>
      </c>
      <c r="G173" s="49" t="inlineStr">
        <is>
          <t>"This article delivers a review of key issues of DF top-level design and planning"; gemelo y cadena entre tecnologías y aspectos. Valor para snowballing: bajo.</t>
        </is>
      </c>
    </row>
    <row r="174">
      <c r="A174" s="49" t="inlineStr">
        <is>
          <t>R0336</t>
        </is>
      </c>
      <c r="B174" s="49" t="n">
        <v>2021</v>
      </c>
      <c r="C174" s="49" t="inlineStr">
        <is>
          <t>Understanding Data-Related Concepts in Smart Manufacturing and Supply Chain Through Text Mining</t>
        </is>
      </c>
      <c r="D174" s="49" t="inlineStr">
        <is>
          <t>Studies in Computational Intelligence</t>
        </is>
      </c>
      <c r="E174" s="49" t="inlineStr">
        <is>
          <t>10.1007/978-3-030-69373-2_37</t>
        </is>
      </c>
      <c r="F174" s="49" t="inlineStr">
        <is>
          <t>bajo</t>
        </is>
      </c>
      <c r="G174" s="49" t="inlineStr">
        <is>
          <t>Minería de texto de la literatura sobre conceptos de ciencia de datos en manufactura y cadena ("a text mining approach is employed to both contribute to disambiguation of these terms and identify future research trends"); gemelos como tendencia. Valor para snowballing: bajo.</t>
        </is>
      </c>
    </row>
    <row r="175">
      <c r="A175" s="49" t="inlineStr">
        <is>
          <t>R0337</t>
        </is>
      </c>
      <c r="B175" s="49" t="n">
        <v>2020</v>
      </c>
      <c r="C175" s="49" t="inlineStr">
        <is>
          <t>Technologies, opportunities and challenges of the industrial revolution 4.0: Theoretical considerations</t>
        </is>
      </c>
      <c r="D175" s="49" t="inlineStr">
        <is>
          <t>Entrepreneurial Business and Economics Review</t>
        </is>
      </c>
      <c r="E175" s="49" t="inlineStr">
        <is>
          <t>10.15678/eber.2020.080110</t>
        </is>
      </c>
      <c r="F175" s="49" t="inlineStr">
        <is>
          <t>bajo</t>
        </is>
      </c>
      <c r="G175" s="49" t="inlineStr">
        <is>
          <t>Consideraciones teóricas sobre la Industria 4.0 ("The article was based on available literature and online sources"); gemelo, IA y cadena inteligente sólo listados. Valor para snowballing: bajo.</t>
        </is>
      </c>
    </row>
    <row r="176">
      <c r="A176" s="49" t="inlineStr">
        <is>
          <t>R0348</t>
        </is>
      </c>
      <c r="B176" s="49" t="n">
        <v>2026</v>
      </c>
      <c r="C176" s="49" t="inlineStr">
        <is>
          <t>Machine Learning for Predictive Maintenance: A Literature Review</t>
        </is>
      </c>
      <c r="D176" s="49" t="inlineStr">
        <is>
          <t>Lecture Notes in Electrical Engineering</t>
        </is>
      </c>
      <c r="E176" s="49" t="inlineStr">
        <is>
          <t>10.1007/978-3-032-10898-2_4</t>
        </is>
      </c>
      <c r="F176" s="49" t="inlineStr">
        <is>
          <t>bajo</t>
        </is>
      </c>
      <c r="G176" s="49" t="inlineStr">
        <is>
          <t>Revision de literatura de ML para mantenimiento predictivo ("This paper conducts literature studies from several journals to examine the PdM concept"); gemelo como prospecto futuro. Valor para snowballing: bajo.</t>
        </is>
      </c>
    </row>
    <row r="177">
      <c r="A177" s="49" t="inlineStr">
        <is>
          <t>R0352</t>
        </is>
      </c>
      <c r="B177" s="49" t="n">
        <v>2026</v>
      </c>
      <c r="C177" s="49" t="inlineStr">
        <is>
          <t>Green AI for climate-smart dairy and poultry: a tiered policy framework for computational sustainability</t>
        </is>
      </c>
      <c r="D177" s="49" t="inlineStr">
        <is>
          <t>Frontiers in Sustainable Food Systems</t>
        </is>
      </c>
      <c r="E177" s="49" t="inlineStr">
        <is>
          <t>10.3389/fsufs.2026.1766844</t>
        </is>
      </c>
      <c r="F177" s="49" t="inlineStr">
        <is>
          <t>bajo</t>
        </is>
      </c>
      <c r="G177" s="49" t="inlineStr">
        <is>
          <t>Perspectiva de politica sobre IA verde en ganaderia ("This Perspective argues that climate-smart livestock policy must move from AI-for-agriculture to Green-AI-for-agriculture"); gemelos de rebano sólo mencionados. Valor para snowballing: bajo.</t>
        </is>
      </c>
    </row>
    <row r="178">
      <c r="A178" s="49" t="inlineStr">
        <is>
          <t>R0354</t>
        </is>
      </c>
      <c r="B178" s="49" t="n">
        <v>2026</v>
      </c>
      <c r="C178" s="49" t="inlineStr">
        <is>
          <t>Securing Industrial Control Systems and SCADA Networks: Protocol Weaknesses, Standards, Emerging Defenses, and Future Research Directions</t>
        </is>
      </c>
      <c r="D178" s="49" t="inlineStr">
        <is>
          <t>Lecture Notes in Networks and Systems</t>
        </is>
      </c>
      <c r="E178" s="49" t="inlineStr">
        <is>
          <t>10.1007/978-3-032-19300-1_22</t>
        </is>
      </c>
      <c r="F178" s="49" t="inlineStr">
        <is>
          <t>bajo</t>
        </is>
      </c>
      <c r="G178" s="49" t="inlineStr">
        <is>
          <t>Revision de seguridad en sistemas de control industrial ("This review surveys protocol weaknesses, analyzes security standards, and highlights emerging solutions"); gemelo para deteccion de intrusiones. Valor para snowballing: bajo.</t>
        </is>
      </c>
    </row>
    <row r="179">
      <c r="A179" s="49" t="inlineStr">
        <is>
          <t>R0359</t>
        </is>
      </c>
      <c r="B179" s="49" t="n">
        <v>2025</v>
      </c>
      <c r="C179" s="49" t="inlineStr">
        <is>
          <t>Exploring the role of Artificial Intelligence in life-cycle-related studies</t>
        </is>
      </c>
      <c r="D179" s="49" t="inlineStr">
        <is>
          <t>IFAC-PapersOnLine</t>
        </is>
      </c>
      <c r="E179" s="49" t="inlineStr">
        <is>
          <t>10.1016/j.ifacol.2025.09.417</t>
        </is>
      </c>
      <c r="F179" s="49" t="inlineStr">
        <is>
          <t>bajo</t>
        </is>
      </c>
      <c r="G179" s="49" t="inlineStr">
        <is>
          <t>Analisis de conglomerados de la literatura sobre IA y analisis de ciclo de vida ("This study identifies the major research themes based on Cluster Analysis, considering the literature at the intersection of AI and LCA"); gemelos como tema. Valor para snowballing: bajo.</t>
        </is>
      </c>
    </row>
    <row r="180">
      <c r="A180" s="49" t="inlineStr">
        <is>
          <t>R0362</t>
        </is>
      </c>
      <c r="B180" s="49" t="n">
        <v>2025</v>
      </c>
      <c r="C180" s="49" t="inlineStr">
        <is>
          <t>Circular buildings in focus: A comprehensive analysis of knowledge trends, priorities, and insights through performance and visualization analysis</t>
        </is>
      </c>
      <c r="D180" s="49" t="inlineStr">
        <is>
          <t>Innovation and Green Development</t>
        </is>
      </c>
      <c r="E180" s="49" t="inlineStr">
        <is>
          <t>10.1016/j.igd.2025.100300</t>
        </is>
      </c>
      <c r="F180" s="49" t="inlineStr">
        <is>
          <t>bajo</t>
        </is>
      </c>
      <c r="G180" s="49" t="inlineStr">
        <is>
          <t>Analisis bibliometrico de 217 publicaciones sobre edificios circulares ("This study presents an inclusive analysis of the performance of international research trajectories"); gemelos e IA como tecnologias distinguidas. Valor para snowballing: bajo.</t>
        </is>
      </c>
    </row>
    <row r="181">
      <c r="A181" s="49" t="inlineStr">
        <is>
          <t>R0366</t>
        </is>
      </c>
      <c r="B181" s="49" t="n">
        <v>2025</v>
      </c>
      <c r="C181" s="49" t="inlineStr">
        <is>
          <t>Industry 4.0 technologies in support of circular Economy: A 10R-based integration framework</t>
        </is>
      </c>
      <c r="D181" s="49" t="inlineStr">
        <is>
          <t>COMPUTERS &amp; INDUSTRIAL ENGINEERING</t>
        </is>
      </c>
      <c r="E181" s="49" t="inlineStr">
        <is>
          <t>10.1016/j.cie.2025.110867</t>
        </is>
      </c>
      <c r="F181" s="49" t="inlineStr">
        <is>
          <t>bajo</t>
        </is>
      </c>
      <c r="G181" s="49" t="inlineStr">
        <is>
          <t>Marco de integracion 10R derivado de revision ("this study explores how I4.0 can support both implementation and decision-making in the CE 10Rs"); gemelos entre las tecnologias de Industria 4.0. Valor para snowballing: bajo.</t>
        </is>
      </c>
    </row>
    <row r="182">
      <c r="A182" s="49" t="inlineStr">
        <is>
          <t>R0369</t>
        </is>
      </c>
      <c r="B182" s="49" t="n">
        <v>2024</v>
      </c>
      <c r="C182" s="49" t="inlineStr">
        <is>
          <t>Navigating the Digital Twin Network landscape: A survey on architecture, applications, privacy and security</t>
        </is>
      </c>
      <c r="D182" s="49" t="inlineStr">
        <is>
          <t>High-Confidence Computing</t>
        </is>
      </c>
      <c r="E182" s="49" t="inlineStr">
        <is>
          <t>10.1016/j.hcc.2024.100269</t>
        </is>
      </c>
      <c r="F182" s="49" t="inlineStr">
        <is>
          <t>bajo</t>
        </is>
      </c>
      <c r="G182" s="49" t="inlineStr">
        <is>
          <t>Encuesta de literatura sobre redes de gemelos digitales ("In this survey, we first provide a clear idea of the components of DTNs"); cadena sólo como palabra clave. Valor para snowballing: bajo.</t>
        </is>
      </c>
    </row>
    <row r="183">
      <c r="A183" s="49" t="inlineStr">
        <is>
          <t>R0378</t>
        </is>
      </c>
      <c r="B183" s="49" t="n">
        <v>2023</v>
      </c>
      <c r="C183" s="49" t="inlineStr">
        <is>
          <t>Challenges and Opportunities in Product Life Cycle Management in the Context of Industry 4.0</t>
        </is>
      </c>
      <c r="D183" s="49" t="inlineStr">
        <is>
          <t>Procedia CIRP</t>
        </is>
      </c>
      <c r="E183" s="49" t="inlineStr">
        <is>
          <t>10.1016/j.procir.2023.04.002</t>
        </is>
      </c>
      <c r="F183" s="49" t="inlineStr">
        <is>
          <t>bajo</t>
        </is>
      </c>
      <c r="G183" s="49" t="inlineStr">
        <is>
          <t>Revision de oportunidades de Industria 4.0 para la gestion del ciclo de vida del producto ("by reviewing existing scholarly papers in this context"); gemelos entre las tecnologias y logistica sólo como contexto. Valor para snowballing: bajo.</t>
        </is>
      </c>
    </row>
    <row r="184">
      <c r="A184" s="49" t="inlineStr">
        <is>
          <t>R0387</t>
        </is>
      </c>
      <c r="B184" s="49" t="n">
        <v>2020</v>
      </c>
      <c r="C184" s="49" t="inlineStr">
        <is>
          <t>How can smart technologies contribute to sustainable product lifecycle management?</t>
        </is>
      </c>
      <c r="D184" s="49" t="inlineStr">
        <is>
          <t>JOURNAL OF CLEANER PRODUCTION</t>
        </is>
      </c>
      <c r="E184" s="49" t="inlineStr">
        <is>
          <t>10.1016/j.jclepro.2019.119423</t>
        </is>
      </c>
      <c r="F184" s="49" t="inlineStr">
        <is>
          <t>bajo</t>
        </is>
      </c>
      <c r="G184" s="49" t="inlineStr">
        <is>
          <t>Editorial de numero especial virtual ("This Virtual Special Issue (VSI) was proposed on par with the fascinating and exponentially growing development of smart enabling technologies"); no es un estudio. Valor para snowballing: bajo.</t>
        </is>
      </c>
    </row>
    <row r="185">
      <c r="A185" s="49" t="inlineStr">
        <is>
          <t>R0391</t>
        </is>
      </c>
      <c r="B185" s="49" t="n">
        <v>2026</v>
      </c>
      <c r="C185" s="49" t="inlineStr">
        <is>
          <t>Rechargeable Batteries for Grid-Scale Energy Storage: Technologies, Performance, and Emerging Directions</t>
        </is>
      </c>
      <c r="D185" s="49" t="inlineStr">
        <is>
          <t>Batteries</t>
        </is>
      </c>
      <c r="E185" s="49" t="inlineStr">
        <is>
          <t>10.3390/batteries12070264</t>
        </is>
      </c>
      <c r="F185" s="49" t="inlineStr">
        <is>
          <t>bajo</t>
        </is>
      </c>
      <c r="G185" s="49" t="inlineStr">
        <is>
          <t>Revision de baterias para almacenamiento en red ("This review provides a comprehensive account of rechargeable battery technologies"); gemelos e IA sólo para mantenimiento predictivo. Valor para snowballing: bajo.</t>
        </is>
      </c>
    </row>
    <row r="186">
      <c r="A186" s="49" t="inlineStr">
        <is>
          <t>R0393</t>
        </is>
      </c>
      <c r="B186" s="49" t="n">
        <v>2026</v>
      </c>
      <c r="C186" s="49" t="inlineStr">
        <is>
          <t>Digital assisted hydrogen supply chain optimization: a bibliometric and thematic review of methods, trends, and future directions</t>
        </is>
      </c>
      <c r="D186" s="49" t="inlineStr">
        <is>
          <t>Energy Conversion and Management: X</t>
        </is>
      </c>
      <c r="E186" s="49" t="inlineStr">
        <is>
          <t>10.1016/j.ecmx.2026.102111</t>
        </is>
      </c>
      <c r="F186" s="49" t="inlineStr">
        <is>
          <t>bajo</t>
        </is>
      </c>
      <c r="G186" s="49" t="inlineStr">
        <is>
          <t>Bibliometria de optimizacion de la cadena de hidrogeno ("This study presents a bibliometric and thematic analysis of 283"); gemelos sólo como necesidad futura. Valor para snowballing: bajo.</t>
        </is>
      </c>
    </row>
    <row r="187">
      <c r="A187" s="49" t="inlineStr">
        <is>
          <t>R0394</t>
        </is>
      </c>
      <c r="B187" s="49" t="n">
        <v>2026</v>
      </c>
      <c r="C187" s="49" t="inlineStr">
        <is>
          <t>Optimization Techniques for Improving Economic Profitability Through Supply Chain Processes: A Systematic Literature Review</t>
        </is>
      </c>
      <c r="D187" s="49" t="inlineStr">
        <is>
          <t>Mathematics</t>
        </is>
      </c>
      <c r="E187" s="49" t="inlineStr">
        <is>
          <t>10.3390/math14010185</t>
        </is>
      </c>
      <c r="F187" s="49" t="inlineStr">
        <is>
          <t>bajo</t>
        </is>
      </c>
      <c r="G187" s="49" t="inlineStr">
        <is>
          <t>Revision sistematica PRISMA de tecnicas de optimizacion en cadena ("the PRISMA methodology was employed"); gemelos e IA como brecha de investigacion. Valor para snowballing: bajo.</t>
        </is>
      </c>
    </row>
    <row r="188">
      <c r="A188" s="49" t="inlineStr">
        <is>
          <t>R0396</t>
        </is>
      </c>
      <c r="B188" s="49" t="n">
        <v>2026</v>
      </c>
      <c r="C188" s="49" t="inlineStr">
        <is>
          <t>The role of artificial intelligence in enhancing non-invasive quality monitoring in fresh food products supply chains: A comprehensive review</t>
        </is>
      </c>
      <c r="D188" s="49" t="inlineStr">
        <is>
          <t>Food Research International</t>
        </is>
      </c>
      <c r="E188" s="49" t="inlineStr">
        <is>
          <t>10.1016/j.foodres.2026.118927</t>
        </is>
      </c>
      <c r="F188" s="49" t="inlineStr">
        <is>
          <t>bajo</t>
        </is>
      </c>
      <c r="G188" s="49" t="inlineStr">
        <is>
          <t>Revision de monitoreo no invasivo con IA en cadenas de alimentos frescos ("This review systematically summarizes research progress in AI-assisted NIMT"); gemelos sólo como integracion futura. Valor para snowballing: bajo.</t>
        </is>
      </c>
    </row>
    <row r="189">
      <c r="A189" s="49" t="inlineStr">
        <is>
          <t>R0400</t>
        </is>
      </c>
      <c r="B189" s="49" t="n">
        <v>2026</v>
      </c>
      <c r="C189" s="49" t="inlineStr">
        <is>
          <t>A Scientometric Review of IoT-Driven Digital Transformation in the Oil and Gas Industry</t>
        </is>
      </c>
      <c r="D189" s="49" t="inlineStr">
        <is>
          <t>IEEE Internet of Things Journal</t>
        </is>
      </c>
      <c r="E189" s="49" t="inlineStr">
        <is>
          <t>10.1109/jiot.2026.3695577</t>
        </is>
      </c>
      <c r="F189" s="49" t="inlineStr">
        <is>
          <t>bajo</t>
        </is>
      </c>
      <c r="G189" s="49" t="inlineStr">
        <is>
          <t>Revision cienciometrica de 978 registros sobre IoT en petroleo y gas ("systematic scientometric review of the IoT-driven digital transformation domain"); cadena y logistica como una de cuatro areas. Valor para snowballing: bajo.</t>
        </is>
      </c>
    </row>
    <row r="190">
      <c r="A190" s="49" t="inlineStr">
        <is>
          <t>R0402</t>
        </is>
      </c>
      <c r="B190" s="49" t="n">
        <v>2026</v>
      </c>
      <c r="C190" s="49" t="inlineStr">
        <is>
          <t>The AI revolution in sustainable food processing: From process optimization to a circular bioeconomy</t>
        </is>
      </c>
      <c r="D190" s="49" t="inlineStr">
        <is>
          <t>Food and Bioproducts Processing</t>
        </is>
      </c>
      <c r="E190" s="49" t="inlineStr">
        <is>
          <t>10.1016/j.fbp.2026.05.013</t>
        </is>
      </c>
      <c r="F190" s="49" t="inlineStr">
        <is>
          <t>bajo</t>
        </is>
      </c>
      <c r="G190" s="49" t="inlineStr">
        <is>
          <t>Revision de IA en procesamiento de alimentos ("This review provides a comprehensive, critical assessment of artificial intelligence (AI)"); gemelos como tecnologia complementaria. Valor para snowballing: bajo.</t>
        </is>
      </c>
    </row>
    <row r="191">
      <c r="A191" s="49" t="inlineStr">
        <is>
          <t>R0404</t>
        </is>
      </c>
      <c r="B191" s="49" t="n">
        <v>2026</v>
      </c>
      <c r="C191" s="49" t="inlineStr">
        <is>
          <t>Transforming Food Systems with Artificial Intelligence: Challenges, Governance, and Pathways for Sustainable Integration</t>
        </is>
      </c>
      <c r="D191" s="49" t="inlineStr">
        <is>
          <t>Food Reviews International</t>
        </is>
      </c>
      <c r="E191" s="49" t="inlineStr">
        <is>
          <t>10.1080/87559129.2025.2585134</t>
        </is>
      </c>
      <c r="F191" s="49" t="inlineStr">
        <is>
          <t>bajo</t>
        </is>
      </c>
      <c r="G191" s="49" t="inlineStr">
        <is>
          <t>Revision de IA en sistemas alimentarios con enfoque de gobernanza ("this paper uniquely integrates governance frameworks, ethical considerations, and regional disparities"); gemelos como herramienta listada. Valor para snowballing: bajo.</t>
        </is>
      </c>
    </row>
    <row r="192">
      <c r="A192" s="49" t="inlineStr">
        <is>
          <t>R0407</t>
        </is>
      </c>
      <c r="B192" s="49" t="n">
        <v>2026</v>
      </c>
      <c r="C192" s="49" t="inlineStr">
        <is>
          <t>The science-governed interface: a critical review of advanced metallization, intelligent control and characterization strategies for wire bonding technology</t>
        </is>
      </c>
      <c r="D192" s="49" t="inlineStr">
        <is>
          <t>Microelectronics International</t>
        </is>
      </c>
      <c r="E192" s="49" t="inlineStr">
        <is>
          <t>10.1108/mi-02-2026-0046</t>
        </is>
      </c>
      <c r="F192" s="49" t="inlineStr">
        <is>
          <t>bajo</t>
        </is>
      </c>
      <c r="G192" s="49" t="inlineStr">
        <is>
          <t>Revision critica de wire bonding ("This critical synthesis review combines a systematic literature search (2020-2025)"); cadena sólo como resiliencia de suministro. Valor para snowballing: bajo.</t>
        </is>
      </c>
    </row>
    <row r="193">
      <c r="A193" s="49" t="inlineStr">
        <is>
          <t>R0409</t>
        </is>
      </c>
      <c r="B193" s="49" t="n">
        <v>2026</v>
      </c>
      <c r="C193" s="49" t="inlineStr">
        <is>
          <t>Next-Generation Composite Materials and Manufacturing: A Review of Smart, Sustainable, and Digital Advancements</t>
        </is>
      </c>
      <c r="D193" s="49" t="inlineStr">
        <is>
          <t>Advanced Materials Technologies</t>
        </is>
      </c>
      <c r="E193" s="49" t="inlineStr">
        <is>
          <t>10.1002/admt.202501409</t>
        </is>
      </c>
      <c r="F193" s="49" t="inlineStr">
        <is>
          <t>bajo</t>
        </is>
      </c>
      <c r="G193" s="49" t="inlineStr">
        <is>
          <t>Revision de composites sostenibles y digitales ("This critical review examines recent advances in sustainable digital composite manufacturing"); gemelos e IA como eficiencia productiva. Valor para snowballing: bajo.</t>
        </is>
      </c>
    </row>
    <row r="194">
      <c r="A194" s="49" t="inlineStr">
        <is>
          <t>R0410</t>
        </is>
      </c>
      <c r="B194" s="49" t="n">
        <v>2026</v>
      </c>
      <c r="C194" s="49" t="inlineStr">
        <is>
          <t>Quantum Computing as a Disruptive Technology: Implications for Advanced Manufacturing and Industry 5.0</t>
        </is>
      </c>
      <c r="D194" s="49" t="inlineStr">
        <is>
          <t>Applied Sciences (Switzerland)</t>
        </is>
      </c>
      <c r="E194" s="49" t="inlineStr">
        <is>
          <t>10.3390/app16104856</t>
        </is>
      </c>
      <c r="F194" s="49" t="inlineStr">
        <is>
          <t>bajo</t>
        </is>
      </c>
      <c r="G194" s="49" t="inlineStr">
        <is>
          <t>Revision de computacion cuantica para Industria 5.0 ("This paper offers a comprehensive and critical review of the potential impacts of quantum computing"); gemelos y cadena como temas. Valor para snowballing: bajo.</t>
        </is>
      </c>
    </row>
    <row r="195">
      <c r="A195" s="49" t="inlineStr">
        <is>
          <t>R0411</t>
        </is>
      </c>
      <c r="B195" s="49" t="n">
        <v>2026</v>
      </c>
      <c r="C195" s="49" t="inlineStr">
        <is>
          <t>Intelligent label systems in fresh food supply chain: from single-function to multi-parameter integration</t>
        </is>
      </c>
      <c r="D195" s="49" t="inlineStr">
        <is>
          <t>Trends in Food Science and Technology</t>
        </is>
      </c>
      <c r="E195" s="49" t="inlineStr">
        <is>
          <t>10.1016/j.tifs.2026.105670</t>
        </is>
      </c>
      <c r="F195" s="49" t="inlineStr">
        <is>
          <t>bajo</t>
        </is>
      </c>
      <c r="G195" s="49" t="inlineStr">
        <is>
          <t>Revision de etiquetas inteligentes en cadenas de alimentos frescos ("This paper systematically reviews research progress and future trends in intelligent multi-parameter integrated labels"); gemelos entre las tecnologias. Valor para snowballing: bajo.</t>
        </is>
      </c>
    </row>
    <row r="196">
      <c r="A196" s="49" t="inlineStr">
        <is>
          <t>R0412</t>
        </is>
      </c>
      <c r="B196" s="49" t="n">
        <v>2026</v>
      </c>
      <c r="C196" s="49" t="inlineStr">
        <is>
          <t>Enhancing Circularity in the Building Industry: A Review of Material Passports and Digital Twin Technologies</t>
        </is>
      </c>
      <c r="D196" s="49" t="inlineStr">
        <is>
          <t>Journal of Construction Engineering and Management</t>
        </is>
      </c>
      <c r="E196" s="49" t="inlineStr">
        <is>
          <t>10.1061/jcemd4.coeng-16899</t>
        </is>
      </c>
      <c r="F196" s="49" t="inlineStr">
        <is>
          <t>bajo</t>
        </is>
      </c>
      <c r="G196" s="49" t="inlineStr">
        <is>
          <t>Revision sistematica PRISMA de pasaportes de materiales y gemelos en construccion ("This systematic review assesses the current state of research"); gemelo como gestor de datos (C6). Valor para snowballing: bajo.</t>
        </is>
      </c>
    </row>
    <row r="197">
      <c r="A197" s="49" t="inlineStr">
        <is>
          <t>R0416</t>
        </is>
      </c>
      <c r="B197" s="49" t="n">
        <v>2026</v>
      </c>
      <c r="C197" s="49" t="inlineStr">
        <is>
          <t>Automation and Sustainability—The Impact of AI on Energy Consumption and Other Key Features of Industry 4.0/5.0 Technologies</t>
        </is>
      </c>
      <c r="D197" s="49" t="inlineStr">
        <is>
          <t>Applied Sciences (Switzerland)</t>
        </is>
      </c>
      <c r="E197" s="49" t="inlineStr">
        <is>
          <t>10.3390/app16052550</t>
        </is>
      </c>
      <c r="F197" s="49" t="inlineStr">
        <is>
          <t>bajo</t>
        </is>
      </c>
      <c r="G197" s="49" t="inlineStr">
        <is>
          <t>Revision de automatizacion, IA y consumo energetico ("Generative AI and digital twins (DTs) enable real-time energy modeling"); logistica sólo como ambito optimizado. Valor para snowballing: bajo.</t>
        </is>
      </c>
    </row>
    <row r="198">
      <c r="A198" s="49" t="inlineStr">
        <is>
          <t>R0417</t>
        </is>
      </c>
      <c r="B198" s="49" t="n">
        <v>2026</v>
      </c>
      <c r="C198" s="49" t="inlineStr">
        <is>
          <t>Ultra-long shelf-life strategies for fresh edible mushrooms in next-generation supply chains: Precision sensing, shelf-life prediction, and coordinated control</t>
        </is>
      </c>
      <c r="D198" s="49" t="inlineStr">
        <is>
          <t>Food Bioscience</t>
        </is>
      </c>
      <c r="E198" s="49" t="inlineStr">
        <is>
          <t>10.1016/j.fbio.2026.109305</t>
        </is>
      </c>
      <c r="F198" s="49" t="inlineStr">
        <is>
          <t>bajo</t>
        </is>
      </c>
      <c r="G198" s="49" t="inlineStr">
        <is>
          <t>Revision de vida util de hongos frescos en cadenas de nueva generacion ("This review focuses on ultra-long shelf-life strategies for fresh edible mushrooms"); gemelos como rol potencial. Valor para snowballing: bajo.</t>
        </is>
      </c>
    </row>
    <row r="199">
      <c r="A199" s="49" t="inlineStr">
        <is>
          <t>R0418</t>
        </is>
      </c>
      <c r="B199" s="49" t="n">
        <v>2026</v>
      </c>
      <c r="C199" s="49" t="inlineStr">
        <is>
          <t>Advanced Ceramics in Aerospace and Defense: The Interrelationship between Traditional and Additive Manufacturing Approaches</t>
        </is>
      </c>
      <c r="D199" s="49" t="inlineStr">
        <is>
          <t>Advanced Materials Technologies</t>
        </is>
      </c>
      <c r="E199" s="49" t="inlineStr">
        <is>
          <t>10.1002/admt.202501012</t>
        </is>
      </c>
      <c r="F199" s="49" t="inlineStr">
        <is>
          <t>bajo</t>
        </is>
      </c>
      <c r="G199" s="49" t="inlineStr">
        <is>
          <t>Revision de ceramicas avanzadas y fabricacion aditiva ("In this review, the up-to-date traditional manufacturing interrelationship with AM is discussed"); gemelos e IA como pilares listados. Valor para snowballing: bajo.</t>
        </is>
      </c>
    </row>
    <row r="200">
      <c r="A200" s="49" t="inlineStr">
        <is>
          <t>R0419</t>
        </is>
      </c>
      <c r="B200" s="49" t="n">
        <v>2026</v>
      </c>
      <c r="C200" s="49" t="inlineStr">
        <is>
          <t>Digital intelligence agri-food supply chain—tripartite breakthrough in harvest optimization, postharvest preservation, and stakeholder synergy</t>
        </is>
      </c>
      <c r="D200" s="49" t="inlineStr">
        <is>
          <t>Journal of Food Measurement and Characterization</t>
        </is>
      </c>
      <c r="E200" s="49" t="inlineStr">
        <is>
          <t>10.1007/s11694-026-04680-5</t>
        </is>
      </c>
      <c r="F200" s="49" t="inlineStr">
        <is>
          <t>bajo</t>
        </is>
      </c>
      <c r="G200" s="49" t="inlineStr">
        <is>
          <t>Revision de cadena agroalimentaria inteligente ("This review systematically examines advances in intelligent technologies across three key areas"); gemelos para trazabilidad. Valor para snowballing: bajo.</t>
        </is>
      </c>
    </row>
    <row r="201">
      <c r="A201" s="49" t="inlineStr">
        <is>
          <t>R0420</t>
        </is>
      </c>
      <c r="B201" s="49" t="n">
        <v>2026</v>
      </c>
      <c r="C201" s="49" t="inlineStr">
        <is>
          <t>Toward Standards-Compliant Dynamic Life Cycle Assessment: Harnessing Digital Innovations for Climate and Regulatory Alignment</t>
        </is>
      </c>
      <c r="D201" s="49" t="inlineStr">
        <is>
          <t>ACS Sustainable Chemistry and Engineering</t>
        </is>
      </c>
      <c r="E201" s="49" t="inlineStr">
        <is>
          <t>10.1021/acssuschemeng.5c10525</t>
        </is>
      </c>
      <c r="F201" s="49" t="inlineStr">
        <is>
          <t>bajo</t>
        </is>
      </c>
      <c r="G201" s="49" t="inlineStr">
        <is>
          <t>Perspectiva sobre analisis dinamico de ciclo de vida ("This Perspective critically examines recent advances in DLCA"); gemelos e IA como innovaciones digitales. Valor para snowballing: bajo.</t>
        </is>
      </c>
    </row>
    <row r="202">
      <c r="A202" s="49" t="inlineStr">
        <is>
          <t>R0423</t>
        </is>
      </c>
      <c r="B202" s="49" t="n">
        <v>2026</v>
      </c>
      <c r="C202" s="49" t="inlineStr">
        <is>
          <t>Digital innovation integration into biotechnology for development of sustainable protein frontiers for poultry nutrition in a circular bioeconomy</t>
        </is>
      </c>
      <c r="D202" s="49" t="inlineStr">
        <is>
          <t>Poultry Science</t>
        </is>
      </c>
      <c r="E202" s="49" t="inlineStr">
        <is>
          <t>10.1016/j.psj.2025.106276</t>
        </is>
      </c>
      <c r="F202" s="49" t="inlineStr">
        <is>
          <t>bajo</t>
        </is>
      </c>
      <c r="G202" s="49" t="inlineStr">
        <is>
          <t>Revision de proteinas alternativas para nutricion avicola ("This review synthesizes recent advances in single-cell protein"); gemelos como herramienta digital emergente. Valor para snowballing: bajo.</t>
        </is>
      </c>
    </row>
    <row r="203">
      <c r="A203" s="49" t="inlineStr">
        <is>
          <t>R0424</t>
        </is>
      </c>
      <c r="B203" s="49" t="n">
        <v>2026</v>
      </c>
      <c r="C203" s="49" t="inlineStr">
        <is>
          <t>Next-generation super-drying technologies for aquatic foods in the context of industry 5.0: A review</t>
        </is>
      </c>
      <c r="D203" s="49" t="inlineStr">
        <is>
          <t>Food Research International</t>
        </is>
      </c>
      <c r="E203" s="49" t="inlineStr">
        <is>
          <t>10.1016/j.foodres.2026.119857</t>
        </is>
      </c>
      <c r="F203" s="49" t="inlineStr">
        <is>
          <t>bajo</t>
        </is>
      </c>
      <c r="G203" s="49" t="inlineStr">
        <is>
          <t>Revision de secado de alimentos acuaticos bajo Industria 5.0 ("reviews key enabling technologies, including energy-efficient drying"); gemelos de secado. Valor para snowballing: bajo.</t>
        </is>
      </c>
    </row>
    <row r="204">
      <c r="A204" s="49" t="inlineStr">
        <is>
          <t>R0425</t>
        </is>
      </c>
      <c r="B204" s="49" t="n">
        <v>2026</v>
      </c>
      <c r="C204" s="49" t="inlineStr">
        <is>
          <t>Sustainable supply chain management in Industry 4.0: A review, research gaps, and conceptual framework</t>
        </is>
      </c>
      <c r="D204" s="49" t="inlineStr">
        <is>
          <t>Clean Technologies and Recycling</t>
        </is>
      </c>
      <c r="E204" s="49" t="inlineStr">
        <is>
          <t>10.3934/ctr.2026007</t>
        </is>
      </c>
      <c r="F204" s="49" t="inlineStr">
        <is>
          <t>bajo</t>
        </is>
      </c>
      <c r="G204" s="49" t="inlineStr">
        <is>
          <t>Revision de gestion sostenible de cadena en Industria 4.0 con marco integrador ("this study conducts a literature review of SSCM in the Industry 4.0 context"); gemelos entre las tecnologias. Valor para snowballing: bajo.</t>
        </is>
      </c>
    </row>
    <row r="205">
      <c r="A205" s="49" t="inlineStr">
        <is>
          <t>R0427</t>
        </is>
      </c>
      <c r="B205" s="49" t="n">
        <v>2026</v>
      </c>
      <c r="C205" s="49" t="inlineStr">
        <is>
          <t>Clean and Smart Energy Technologies for Agricultural Energy Internet Systems: A Comprehensive Review and Future Perspectives</t>
        </is>
      </c>
      <c r="D205" s="49" t="inlineStr">
        <is>
          <t>Applied Sciences (Switzerland)</t>
        </is>
      </c>
      <c r="E205" s="49" t="inlineStr">
        <is>
          <t>10.3390/app16104859</t>
        </is>
      </c>
      <c r="F205" s="49" t="inlineStr">
        <is>
          <t>bajo</t>
        </is>
      </c>
      <c r="G205" s="49" t="inlineStr">
        <is>
          <t>Revision del Internet de la energia agricola ("This review systematically examines the evolutionary trajectory of AEI"); gemelos y logistica de cadena de frio como procesos energeticos. Valor para snowballing: bajo.</t>
        </is>
      </c>
    </row>
    <row r="206">
      <c r="A206" s="49" t="inlineStr">
        <is>
          <t>R0429</t>
        </is>
      </c>
      <c r="B206" s="49" t="n">
        <v>2026</v>
      </c>
      <c r="C206" s="49" t="inlineStr">
        <is>
          <t>Additive Manufacturing at the Crossroads: Costs, Sustainability, and Global Adoption</t>
        </is>
      </c>
      <c r="D206" s="49" t="inlineStr">
        <is>
          <t>Journal of Manufacturing and Materials Processing</t>
        </is>
      </c>
      <c r="E206" s="49" t="inlineStr">
        <is>
          <t>10.3390/jmmp10010005</t>
        </is>
      </c>
      <c r="F206" s="49" t="inlineStr">
        <is>
          <t>bajo</t>
        </is>
      </c>
      <c r="G206" s="49" t="inlineStr">
        <is>
          <t>Revision de fabricacion aditiva ("This review synthesizes evidence from AM processes for different materials"); gemelos como herramienta digital. Valor para snowballing: bajo.</t>
        </is>
      </c>
    </row>
    <row r="207">
      <c r="A207" s="49" t="inlineStr">
        <is>
          <t>R0430</t>
        </is>
      </c>
      <c r="B207" s="49" t="n">
        <v>2026</v>
      </c>
      <c r="C207" s="49" t="inlineStr">
        <is>
          <t>Advancing digital depth: AI-enhanced 3D reconstruction for post-harvest food supply chain quality management</t>
        </is>
      </c>
      <c r="D207" s="49" t="inlineStr">
        <is>
          <t>Postharvest Biology and Technology</t>
        </is>
      </c>
      <c r="E207" s="49" t="inlineStr">
        <is>
          <t>10.1016/j.postharvbio.2026.114329</t>
        </is>
      </c>
      <c r="F207" s="49" t="inlineStr">
        <is>
          <t>bajo</t>
        </is>
      </c>
      <c r="G207" s="49" t="inlineStr">
        <is>
          <t>Revision de 90 estudios sobre reconstruccion 3D con IA en cadena poscosecha ("This review analyzed 90 major related studies during 2015-2025"); gemelos como integracion futura. Valor para snowballing: bajo.</t>
        </is>
      </c>
    </row>
    <row r="208">
      <c r="A208" s="49" t="inlineStr">
        <is>
          <t>R0431</t>
        </is>
      </c>
      <c r="B208" s="49" t="n">
        <v>2026</v>
      </c>
      <c r="C208" s="49" t="inlineStr">
        <is>
          <t>Blockchain-Empowered Federated Learning Applications in Smart Manufacturing: A Literature Review</t>
        </is>
      </c>
      <c r="D208" s="49" t="inlineStr">
        <is>
          <t>Journal of Computing and Information Science in Engineering</t>
        </is>
      </c>
      <c r="E208" s="49" t="inlineStr">
        <is>
          <t>10.1115/1.4071613</t>
        </is>
      </c>
      <c r="F208" s="49" t="inlineStr">
        <is>
          <t>bajo</t>
        </is>
      </c>
      <c r="G208" s="49" t="inlineStr">
        <is>
          <t>Revision de blockchain y aprendizaje federado en manufactura ("This review investigates the integration of blockchain (BC) and federated learning (FL)"); gemelos y cadena como aplicaciones. Valor para snowballing: bajo.</t>
        </is>
      </c>
    </row>
    <row r="209">
      <c r="A209" s="49" t="inlineStr">
        <is>
          <t>R0432</t>
        </is>
      </c>
      <c r="B209" s="49" t="n">
        <v>2026</v>
      </c>
      <c r="C209" s="49" t="inlineStr">
        <is>
          <t>Digital technology Adaption in the hydrogen economy: A literature review</t>
        </is>
      </c>
      <c r="D209" s="49" t="inlineStr">
        <is>
          <t>International Journal of Hydrogen Energy</t>
        </is>
      </c>
      <c r="E209" s="49" t="inlineStr">
        <is>
          <t>10.1016/j.ijhydene.2025.152687</t>
        </is>
      </c>
      <c r="F209" s="49" t="inlineStr">
        <is>
          <t>bajo</t>
        </is>
      </c>
      <c r="G209" s="49" t="inlineStr">
        <is>
          <t>Revision de tecnologias digitales en la economia del hidrogeno ("This comprehensive review provides guidance for building an intelligent, transparent, and efficient digital hydrogen economy"). Valor para snowballing: bajo.</t>
        </is>
      </c>
    </row>
    <row r="210">
      <c r="A210" s="49" t="inlineStr">
        <is>
          <t>R0433</t>
        </is>
      </c>
      <c r="B210" s="49" t="n">
        <v>2026</v>
      </c>
      <c r="C210" s="49" t="inlineStr">
        <is>
          <t>Advances in AI-enabled digital integration for geographical origin authenticity of staple crops: Omics-based molecular and elemental strategies</t>
        </is>
      </c>
      <c r="D210" s="49" t="inlineStr">
        <is>
          <t>Trends in Food Science and Technology</t>
        </is>
      </c>
      <c r="E210" s="49" t="inlineStr">
        <is>
          <t>10.1016/j.tifs.2026.105794</t>
        </is>
      </c>
      <c r="F210" s="49" t="inlineStr">
        <is>
          <t>bajo</t>
        </is>
      </c>
      <c r="G210" s="49" t="inlineStr">
        <is>
          <t>Revision de autenticidad de origen con omicas e IA ("This review summarizes recent applications of isotope ratio analysis"); gemelos como tecnologia digital. Valor para snowballing: bajo.</t>
        </is>
      </c>
    </row>
    <row r="211">
      <c r="A211" s="49" t="inlineStr">
        <is>
          <t>R0435</t>
        </is>
      </c>
      <c r="B211" s="49" t="n">
        <v>2026</v>
      </c>
      <c r="C211" s="49" t="inlineStr">
        <is>
          <t>Industry 4.0 in olive farming and oil production: A comprehensive review of technologies and trends</t>
        </is>
      </c>
      <c r="D211" s="49" t="inlineStr">
        <is>
          <t>Journal of Agriculture and Food Research</t>
        </is>
      </c>
      <c r="E211" s="49" t="inlineStr">
        <is>
          <t>10.1016/j.jafr.2026.103209</t>
        </is>
      </c>
      <c r="F211" s="49" t="inlineStr">
        <is>
          <t>bajo</t>
        </is>
      </c>
      <c r="G211" s="49" t="inlineStr">
        <is>
          <t>Revision de Industria 4.0 en la cadena del olivo ("A comprehensive review of current research and technological developments is conducted"); gemelos entre las tecnologias. Valor para snowballing: bajo.</t>
        </is>
      </c>
    </row>
    <row r="212">
      <c r="A212" s="49" t="inlineStr">
        <is>
          <t>R0436</t>
        </is>
      </c>
      <c r="B212" s="49" t="n">
        <v>2026</v>
      </c>
      <c r="C212" s="49" t="inlineStr">
        <is>
          <t>Artificial Intelligence and Machine Learning Applications in Hydrogen-blend Natural Gas Pipeline Transportation</t>
        </is>
      </c>
      <c r="D212" s="49" t="inlineStr">
        <is>
          <t>Recent Innovations in Chemical Engineering</t>
        </is>
      </c>
      <c r="E212" s="49" t="inlineStr">
        <is>
          <t>10.2174/0124055204491442260603053018</t>
        </is>
      </c>
      <c r="F212" s="49" t="inlineStr">
        <is>
          <t>bajo</t>
        </is>
      </c>
      <c r="G212" s="49" t="inlineStr">
        <is>
          <t>Revision de IA y ML en gasoductos con hidrogeno ("This review examines how Artificial Intelligence (AI) and Machine Learning (ML) can address these challenges"); cadena sólo como eficiencia. Valor para snowballing: bajo.</t>
        </is>
      </c>
    </row>
    <row r="213">
      <c r="A213" s="49" t="inlineStr">
        <is>
          <t>R0439</t>
        </is>
      </c>
      <c r="B213" s="49" t="n">
        <v>2026</v>
      </c>
      <c r="C213" s="49" t="inlineStr">
        <is>
          <t>Artificial Intelligence and BIM-Enabled Smart Construction Site Management: A Systematic Review of Site-Level Spatial Decision-Making and Site Layout Optimization-Related Applications for Sustainable Building Delivery</t>
        </is>
      </c>
      <c r="D213" s="49" t="inlineStr">
        <is>
          <t>Smart Cities</t>
        </is>
      </c>
      <c r="E213" s="49" t="inlineStr">
        <is>
          <t>10.3390/smartcities9070112</t>
        </is>
      </c>
      <c r="F213" s="49" t="inlineStr">
        <is>
          <t>bajo</t>
        </is>
      </c>
      <c r="G213" s="49" t="inlineStr">
        <is>
          <t>Revision sistematica PRISMA de IA y BIM en obra ("This study presents a systematic literature review of how AI, BIM, and enabling digital technologies are being applied"); coordinacion logistica de obra como brecha. Valor para snowballing: bajo.</t>
        </is>
      </c>
    </row>
    <row r="214">
      <c r="A214" s="49" t="inlineStr">
        <is>
          <t>R0441</t>
        </is>
      </c>
      <c r="B214" s="49" t="n">
        <v>2026</v>
      </c>
      <c r="C214" s="49" t="inlineStr">
        <is>
          <t>Transforming Conventional Pharmaceutical Manufacturing to Green and Sustainable Manufacturing by the Impact of Flow Chemistry and Industry 4.0 Technologies</t>
        </is>
      </c>
      <c r="D214" s="49" t="inlineStr">
        <is>
          <t>CURRENT GREEN CHEMISTRY</t>
        </is>
      </c>
      <c r="E214" s="49" t="inlineStr">
        <is>
          <t>10.2174/0122133461427918251208191454</t>
        </is>
      </c>
      <c r="F214" s="49" t="inlineStr">
        <is>
          <t>bajo</t>
        </is>
      </c>
      <c r="G214" s="49" t="inlineStr">
        <is>
          <t>Revision de quimica de flujo e Industria 4.0 en farmacia ("A comprehensive literature survey was conducted"); gemelos e IA como herramientas. Valor para snowballing: bajo.</t>
        </is>
      </c>
    </row>
    <row r="215">
      <c r="A215" s="49" t="inlineStr">
        <is>
          <t>R0442</t>
        </is>
      </c>
      <c r="B215" s="49" t="n">
        <v>2026</v>
      </c>
      <c r="C215" s="49" t="inlineStr">
        <is>
          <t>AI-integrated multisensory platforms for real-time monitoring of postharvest physiological changes in horticultural crops</t>
        </is>
      </c>
      <c r="D215" s="49" t="inlineStr">
        <is>
          <t>SUSTAINABLE FOOD TECHNOLOGY</t>
        </is>
      </c>
      <c r="E215" s="49" t="inlineStr">
        <is>
          <t>10.1039/d6fb00177g</t>
        </is>
      </c>
      <c r="F215" s="49" t="inlineStr">
        <is>
          <t>bajo</t>
        </is>
      </c>
      <c r="G215" s="49" t="inlineStr">
        <is>
          <t>Revision de plataformas multisensoriales con IA en poscosecha ("This review provides three novel contributions that distinguish it from previous reviews"); gemelos como perspectiva futura. Valor para snowballing: bajo.</t>
        </is>
      </c>
    </row>
    <row r="216">
      <c r="A216" s="49" t="inlineStr">
        <is>
          <t>R0443</t>
        </is>
      </c>
      <c r="B216" s="49" t="n">
        <v>2026</v>
      </c>
      <c r="C216" s="49" t="inlineStr">
        <is>
          <t>Navigating the digital frontier: challenges and opportunities in sustainable manufacturing through digitalization</t>
        </is>
      </c>
      <c r="D216" s="49" t="inlineStr">
        <is>
          <t>FORESIGHT</t>
        </is>
      </c>
      <c r="E216" s="49" t="inlineStr">
        <is>
          <t>10.1108/fs-09-2024-0164</t>
        </is>
      </c>
      <c r="F216" s="49" t="inlineStr">
        <is>
          <t>bajo</t>
        </is>
      </c>
      <c r="G216" s="49" t="inlineStr">
        <is>
          <t>Revision sistematica con bibliometria de digitalizacion en manufactura sostenible ("The research uses a systematic literature review combined with bibliometric analysis"); gemelos entre las tecnologias. Valor para snowballing: bajo.</t>
        </is>
      </c>
    </row>
    <row r="217">
      <c r="A217" s="49" t="inlineStr">
        <is>
          <t>R0444</t>
        </is>
      </c>
      <c r="B217" s="49" t="n">
        <v>2026</v>
      </c>
      <c r="C217" s="49" t="inlineStr">
        <is>
          <t>A Review of AI-Driven Engineering Modelling and Optimization: Methodologies, Applications and Future Directions</t>
        </is>
      </c>
      <c r="D217" s="49" t="inlineStr">
        <is>
          <t>ALGORITHMS</t>
        </is>
      </c>
      <c r="E217" s="49" t="inlineStr">
        <is>
          <t>10.3390/a19020093</t>
        </is>
      </c>
      <c r="F217" s="49" t="inlineStr">
        <is>
          <t>bajo</t>
        </is>
      </c>
      <c r="G217" s="49" t="inlineStr">
        <is>
          <t>Revision de optimizacion de ingenieria con IA ("This review synthesizes the current landscape of AI-driven optimization methodologies"); gemelos como direccion futura. Valor para snowballing: bajo.</t>
        </is>
      </c>
    </row>
    <row r="218">
      <c r="A218" s="49" t="inlineStr">
        <is>
          <t>R0445</t>
        </is>
      </c>
      <c r="B218" s="49" t="n">
        <v>2025</v>
      </c>
      <c r="C218" s="49" t="inlineStr">
        <is>
          <t>AI-driven grain storage solutions: Exploring current technologies, applications, and future trends</t>
        </is>
      </c>
      <c r="D218" s="49" t="inlineStr">
        <is>
          <t>Journal of Stored Products Research</t>
        </is>
      </c>
      <c r="E218" s="49" t="inlineStr">
        <is>
          <t>10.1016/j.jspr.2025.102588</t>
        </is>
      </c>
      <c r="F218" s="49" t="inlineStr">
        <is>
          <t>bajo</t>
        </is>
      </c>
      <c r="G218" s="49" t="inlineStr">
        <is>
          <t>Revision de IA en almacenamiento de granos ("This work provides a comprehensive review on the integration of AI and ML in the food grain industry"); gemelos y cadena como aplicaciones. Valor para snowballing: bajo.</t>
        </is>
      </c>
    </row>
    <row r="219">
      <c r="A219" s="49" t="inlineStr">
        <is>
          <t>R0446</t>
        </is>
      </c>
      <c r="B219" s="49" t="n">
        <v>2025</v>
      </c>
      <c r="C219" s="49" t="inlineStr">
        <is>
          <t>Integrating industry 4.0 for enhanced sustainability: Pathways and prospects</t>
        </is>
      </c>
      <c r="D219" s="49" t="inlineStr">
        <is>
          <t>Sustainable Production and Consumption</t>
        </is>
      </c>
      <c r="E219" s="49" t="inlineStr">
        <is>
          <t>10.1016/j.spc.2024.12.012</t>
        </is>
      </c>
      <c r="F219" s="49" t="inlineStr">
        <is>
          <t>bajo</t>
        </is>
      </c>
      <c r="G219" s="49" t="inlineStr">
        <is>
          <t>Revision de Industria 4.0 y sostenibilidad ("This paper provides a comprehensive analysis of how Industry 4.0 technologies"); gemelos y cadena entre los temas. Valor para snowballing: bajo.</t>
        </is>
      </c>
    </row>
    <row r="220">
      <c r="A220" s="49" t="inlineStr">
        <is>
          <t>R0447</t>
        </is>
      </c>
      <c r="B220" s="49" t="n">
        <v>2025</v>
      </c>
      <c r="C220" s="49" t="inlineStr">
        <is>
          <t>Industry 5.0 and Human-Centered Energy System: A Comprehensive Review with Socio-Economic Viewpoints</t>
        </is>
      </c>
      <c r="D220" s="49" t="inlineStr">
        <is>
          <t>Energies</t>
        </is>
      </c>
      <c r="E220" s="49" t="inlineStr">
        <is>
          <t>10.3390/en18092345</t>
        </is>
      </c>
      <c r="F220" s="49" t="inlineStr">
        <is>
          <t>bajo</t>
        </is>
      </c>
      <c r="G220" s="49" t="inlineStr">
        <is>
          <t>Revision sistematica de Industria 5.0 y sistemas energeticos ("This systematic literature review examines Industry 5.0"); gemelos como simulaciones habilitadoras. Valor para snowballing: bajo.</t>
        </is>
      </c>
    </row>
    <row r="221">
      <c r="A221" s="49" t="inlineStr">
        <is>
          <t>R0448</t>
        </is>
      </c>
      <c r="B221" s="49" t="n">
        <v>2025</v>
      </c>
      <c r="C221" s="49" t="inlineStr">
        <is>
          <t>Modern smart sensing technologies in the fruit supply chain: contributions, challenges, and future prospects</t>
        </is>
      </c>
      <c r="D221" s="49" t="inlineStr">
        <is>
          <t>Trends in Food Science and Technology</t>
        </is>
      </c>
      <c r="E221" s="49" t="inlineStr">
        <is>
          <t>10.1016/j.tifs.2025.105108</t>
        </is>
      </c>
      <c r="F221" s="49" t="inlineStr">
        <is>
          <t>bajo</t>
        </is>
      </c>
      <c r="G221" s="49" t="inlineStr">
        <is>
          <t>Revision de sensores inteligentes en la cadena de la fruta ("This review summarizes the latest research developments in the application of modern smart sensing technologies"); gemelos como integracion futura. Valor para snowballing: bajo.</t>
        </is>
      </c>
    </row>
    <row r="222">
      <c r="A222" s="49" t="inlineStr">
        <is>
          <t>R0449</t>
        </is>
      </c>
      <c r="B222" s="49" t="n">
        <v>2025</v>
      </c>
      <c r="C222" s="49" t="inlineStr">
        <is>
          <t>A comprehensive bibliometric review of digitalization impacts on supply chain risk management</t>
        </is>
      </c>
      <c r="D222" s="49" t="inlineStr">
        <is>
          <t>Supply Chain Analytics</t>
        </is>
      </c>
      <c r="E222" s="49" t="inlineStr">
        <is>
          <t>10.1016/j.sca.2025.100165</t>
        </is>
      </c>
      <c r="F222" s="49" t="inlineStr">
        <is>
          <t>bajo</t>
        </is>
      </c>
      <c r="G222" s="49" t="inlineStr">
        <is>
          <t>Revision bibliometrica de digitalizacion y gestion de riesgo de cadena ("We conducted a bibliometric review to analyze the structure and global trends"); gemelo entre las tecnologias. Valor para snowballing: bajo.</t>
        </is>
      </c>
    </row>
    <row r="223">
      <c r="A223" s="49" t="inlineStr">
        <is>
          <t>R0454</t>
        </is>
      </c>
      <c r="B223" s="49" t="n">
        <v>2025</v>
      </c>
      <c r="C223" s="49" t="inlineStr">
        <is>
          <t>Exploring fruit mechanical injury mechanisms: a review of numerical simulation techniques in the whole supply chain</t>
        </is>
      </c>
      <c r="D223" s="49" t="inlineStr">
        <is>
          <t>Computers and Electronics in Agriculture</t>
        </is>
      </c>
      <c r="E223" s="49" t="inlineStr">
        <is>
          <t>10.1016/j.compag.2025.110998</t>
        </is>
      </c>
      <c r="F223" s="49" t="inlineStr">
        <is>
          <t>bajo</t>
        </is>
      </c>
      <c r="G223" s="49" t="inlineStr">
        <is>
          <t>Revision de simulacion numerica del daño mecanico en frutas ("This review systematically examines the formation mechanisms and physiological consequences of mechanical injuries"); IA sólo como futuro. Valor para snowballing: bajo.</t>
        </is>
      </c>
    </row>
    <row r="224">
      <c r="A224" s="49" t="inlineStr">
        <is>
          <t>R0456</t>
        </is>
      </c>
      <c r="B224" s="49" t="n">
        <v>2025</v>
      </c>
      <c r="C224" s="49" t="inlineStr">
        <is>
          <t>Transforming business management practices through metaverse technologies: A Machine Learning approach</t>
        </is>
      </c>
      <c r="D224" s="49" t="inlineStr">
        <is>
          <t>International Journal of Information Management Data Insights</t>
        </is>
      </c>
      <c r="E224" s="49" t="inlineStr">
        <is>
          <t>10.1016/j.jjimei.2025.100335</t>
        </is>
      </c>
      <c r="F224" s="49" t="inlineStr">
        <is>
          <t>bajo</t>
        </is>
      </c>
      <c r="G224" s="49" t="inlineStr">
        <is>
          <t>Revision PRISMA con BERTopic sobre metaverso ("This study critically reviews the literature on metaverse technologies"); tema de gemelos en manufactura y optimizacion de cadena. Valor para snowballing: bajo.</t>
        </is>
      </c>
    </row>
    <row r="225">
      <c r="A225" s="49" t="inlineStr">
        <is>
          <t>R0457</t>
        </is>
      </c>
      <c r="B225" s="49" t="n">
        <v>2025</v>
      </c>
      <c r="C225" s="49" t="inlineStr">
        <is>
          <t>2025 photonics for agrifood roadmap: towards a sustainable and healthier planet</t>
        </is>
      </c>
      <c r="D225" s="49" t="inlineStr">
        <is>
          <t>JPhys Photonics</t>
        </is>
      </c>
      <c r="E225" s="49" t="inlineStr">
        <is>
          <t>10.1088/2515-7647/adbea9</t>
        </is>
      </c>
      <c r="F225" s="49" t="inlineStr">
        <is>
          <t>bajo</t>
        </is>
      </c>
      <c r="G225" s="49" t="inlineStr">
        <is>
          <t>Hoja de ruta de fotonica para agroalimentacion ("This roadmap aims to provide an overview of the state-of-the-art photonics technologies"); gemelos como tendencia. Valor para snowballing: bajo.</t>
        </is>
      </c>
    </row>
    <row r="226">
      <c r="A226" s="49" t="inlineStr">
        <is>
          <t>R0458</t>
        </is>
      </c>
      <c r="B226" s="49" t="n">
        <v>2025</v>
      </c>
      <c r="C226" s="49" t="inlineStr">
        <is>
          <t>A comprehensive review of biomass and biofuels and their progress using digital technologies</t>
        </is>
      </c>
      <c r="D226" s="49" t="inlineStr">
        <is>
          <t>Energy Conversion and Management: X</t>
        </is>
      </c>
      <c r="E226" s="49" t="inlineStr">
        <is>
          <t>10.1016/j.ecmx.2025.101254</t>
        </is>
      </c>
      <c r="F226" s="49" t="inlineStr">
        <is>
          <t>bajo</t>
        </is>
      </c>
      <c r="G226" s="49" t="inlineStr">
        <is>
          <t>Revision de biomasa y biocombustibles con tecnologias digitales ("This review provides a critical, end-to-end synthesis"); gemelos a escala de planta y optimizacion de cadena. Valor para snowballing: bajo.</t>
        </is>
      </c>
    </row>
    <row r="227">
      <c r="A227" s="49" t="inlineStr">
        <is>
          <t>R0459</t>
        </is>
      </c>
      <c r="B227" s="49" t="n">
        <v>2025</v>
      </c>
      <c r="C227" s="49" t="inlineStr">
        <is>
          <t>Unlocking the Commercialization of SAF Through Integration of Industry 4.0: A Technological Perspective</t>
        </is>
      </c>
      <c r="D227" s="49" t="inlineStr">
        <is>
          <t>Sustainability (Switzerland)</t>
        </is>
      </c>
      <c r="E227" s="49" t="inlineStr">
        <is>
          <t>10.3390/su17167325</t>
        </is>
      </c>
      <c r="F227" s="49" t="inlineStr">
        <is>
          <t>bajo</t>
        </is>
      </c>
      <c r="G227" s="49" t="inlineStr">
        <is>
          <t>Revision integradora de Industria 4.0 en combustible sostenible de aviacion ("This study conducts an integrative literature review"); gemelos entre las tecnologias de cadena. Valor para snowballing: bajo.</t>
        </is>
      </c>
    </row>
    <row r="228">
      <c r="A228" s="49" t="inlineStr">
        <is>
          <t>R0460</t>
        </is>
      </c>
      <c r="B228" s="49" t="n">
        <v>2025</v>
      </c>
      <c r="C228" s="49" t="inlineStr">
        <is>
          <t>Luminescence-based techniques to monitor pre-, post-harvest and processing changes in fresh produce and derivatives: Principles, applications and trends</t>
        </is>
      </c>
      <c r="D228" s="49" t="inlineStr">
        <is>
          <t>Trends in Food Science and Technology</t>
        </is>
      </c>
      <c r="E228" s="49" t="inlineStr">
        <is>
          <t>10.1016/j.tifs.2025.105077</t>
        </is>
      </c>
      <c r="F228" s="49" t="inlineStr">
        <is>
          <t>bajo</t>
        </is>
      </c>
      <c r="G228" s="49" t="inlineStr">
        <is>
          <t>Revision de tecnicas de luminiscencia en productos frescos ("This review covers luminescence-based methods"); gemelos como receptores de datos. Valor para snowballing: bajo.</t>
        </is>
      </c>
    </row>
    <row r="229">
      <c r="A229" s="49" t="inlineStr">
        <is>
          <t>R0464</t>
        </is>
      </c>
      <c r="B229" s="49" t="n">
        <v>2025</v>
      </c>
      <c r="C229" s="49" t="inlineStr">
        <is>
          <t>Challenges and future perspectives in postharvest cold storage: technological review on sustainable and efficient cold storage of fresh produce</t>
        </is>
      </c>
      <c r="D229" s="49" t="inlineStr">
        <is>
          <t>Food Research International</t>
        </is>
      </c>
      <c r="E229" s="49" t="inlineStr">
        <is>
          <t>10.1016/j.foodres.2025.117406</t>
        </is>
      </c>
      <c r="F229" s="49" t="inlineStr">
        <is>
          <t>bajo</t>
        </is>
      </c>
      <c r="G229" s="49" t="inlineStr">
        <is>
          <t>Revision de almacenamiento en frio poscosecha ("This review explores key postharvest cold storage technologies"); gemelo como solucion potencial. Valor para snowballing: bajo.</t>
        </is>
      </c>
    </row>
    <row r="230">
      <c r="A230" s="49" t="inlineStr">
        <is>
          <t>R0465</t>
        </is>
      </c>
      <c r="B230" s="49" t="n">
        <v>2025</v>
      </c>
      <c r="C230" s="49" t="inlineStr">
        <is>
          <t>Preface — Special Issue: Simulation in the AI Era — Advancing Complex Problem Solving</t>
        </is>
      </c>
      <c r="D230" s="49" t="inlineStr">
        <is>
          <t>Asia-Pacific Journal of Operational Research</t>
        </is>
      </c>
      <c r="E230" s="49" t="inlineStr">
        <is>
          <t>10.1142/s0217595925020026</t>
        </is>
      </c>
      <c r="F230" s="49" t="inlineStr">
        <is>
          <t>bajo</t>
        </is>
      </c>
      <c r="G230" s="49" t="inlineStr">
        <is>
          <t>Prefacio de numero especial (Doc type Review): "This special issue presents 10 studies"; gemelos en tiempo real como direccion emergente; no es un estudio. Valor para snowballing: bajo.</t>
        </is>
      </c>
    </row>
    <row r="231">
      <c r="A231" s="49" t="inlineStr">
        <is>
          <t>R0467</t>
        </is>
      </c>
      <c r="B231" s="49" t="n">
        <v>2025</v>
      </c>
      <c r="C231" s="49" t="inlineStr">
        <is>
          <t>Mapping the role of industry 4.0 technologies in green supply chain management: a bibliometric and structured text analysis</t>
        </is>
      </c>
      <c r="D231" s="49" t="inlineStr">
        <is>
          <t>Discover Sustainability</t>
        </is>
      </c>
      <c r="E231" s="49" t="inlineStr">
        <is>
          <t>10.1007/s43621-025-01827-0</t>
        </is>
      </c>
      <c r="F231" s="49" t="inlineStr">
        <is>
          <t>bajo</t>
        </is>
      </c>
      <c r="G231" s="49" t="inlineStr">
        <is>
          <t>Bibliometria y analisis de texto de Industria 4.0 en cadena verde ("integrating bibliometric analysis and structured text analysis"); gemelos entre los habilitadores. Valor para snowballing: bajo.</t>
        </is>
      </c>
    </row>
    <row r="232">
      <c r="A232" s="49" t="inlineStr">
        <is>
          <t>R0469</t>
        </is>
      </c>
      <c r="B232" s="49" t="n">
        <v>2025</v>
      </c>
      <c r="C232" s="49" t="inlineStr">
        <is>
          <t>Unlocking the Potential of Mass Customization Through Industry 4.0: Mapping Research Streams and Future Directions</t>
        </is>
      </c>
      <c r="D232" s="49" t="inlineStr">
        <is>
          <t>Applied Sciences (Switzerland)</t>
        </is>
      </c>
      <c r="E232" s="49" t="inlineStr">
        <is>
          <t>10.3390/app15137160</t>
        </is>
      </c>
      <c r="F232" s="49" t="inlineStr">
        <is>
          <t>bajo</t>
        </is>
      </c>
      <c r="G232" s="49" t="inlineStr">
        <is>
          <t>Revision sistematica de personalizacion masiva ("This paper presents a systematic literature review covering the period from 2011 to 2024"); gemelos como oportunidad futura. Valor para snowballing: bajo.</t>
        </is>
      </c>
    </row>
    <row r="233">
      <c r="A233" s="49" t="inlineStr">
        <is>
          <t>R0471</t>
        </is>
      </c>
      <c r="B233" s="49" t="n">
        <v>2025</v>
      </c>
      <c r="C233" s="49" t="inlineStr">
        <is>
          <t>The Implications of Digitalization in Logistics after COVID-19</t>
        </is>
      </c>
      <c r="D233" s="49" t="inlineStr">
        <is>
          <t>International Research Journal of Multidisciplinary Scope</t>
        </is>
      </c>
      <c r="E233" s="49" t="inlineStr">
        <is>
          <t>10.47857/irjms.2025.v06i01.02336</t>
        </is>
      </c>
      <c r="F233" s="49" t="inlineStr">
        <is>
          <t>bajo</t>
        </is>
      </c>
      <c r="G233" s="49" t="inlineStr">
        <is>
          <t>Revision sistematica PRISMA de digitalizacion logistica tras la COVID-19 ("This study conducted a systematic literature review following PRISMA guidelines"); gemelo entre las tecnologias. Valor para snowballing: bajo.</t>
        </is>
      </c>
    </row>
    <row r="234">
      <c r="A234" s="49" t="inlineStr">
        <is>
          <t>R0472</t>
        </is>
      </c>
      <c r="B234" s="49" t="n">
        <v>2025</v>
      </c>
      <c r="C234" s="49" t="inlineStr">
        <is>
          <t>Non-Destructive Testing for Conveyor Belt Monitoring and Diagnostics: A Review</t>
        </is>
      </c>
      <c r="D234" s="49" t="inlineStr">
        <is>
          <t>Applied Sciences (Switzerland)</t>
        </is>
      </c>
      <c r="E234" s="49" t="inlineStr">
        <is>
          <t>10.3390/app152413272</t>
        </is>
      </c>
      <c r="F234" s="49" t="inlineStr">
        <is>
          <t>bajo</t>
        </is>
      </c>
      <c r="G234" s="49" t="inlineStr">
        <is>
          <t>Revision de ensayos no destructivos en bandas transportadoras ("This paper provides a comprehensive review of current diagnostic solutions"); gemelos como perspectiva. Valor para snowballing: bajo.</t>
        </is>
      </c>
    </row>
    <row r="235">
      <c r="A235" s="49" t="inlineStr">
        <is>
          <t>R0473</t>
        </is>
      </c>
      <c r="B235" s="49" t="n">
        <v>2025</v>
      </c>
      <c r="C235" s="49" t="inlineStr">
        <is>
          <t>Barriers to Visibility in Supply Chains: Challenges and Opportunities of Artificial Intelligence Driven by Industry 4.0 Technologies</t>
        </is>
      </c>
      <c r="D235" s="49" t="inlineStr">
        <is>
          <t>Sustainability (Switzerland)</t>
        </is>
      </c>
      <c r="E235" s="49" t="inlineStr">
        <is>
          <t>10.3390/su17072998</t>
        </is>
      </c>
      <c r="F235" s="49" t="inlineStr">
        <is>
          <t>bajo</t>
        </is>
      </c>
      <c r="G235" s="49" t="inlineStr">
        <is>
          <t>Revision PRISMA de barreras a la visibilidad de cadena ("Using the PRISMA methodology, the study analyzed 20 articles"); gemelos entre las tecnologias de IA. Valor para snowballing: bajo.</t>
        </is>
      </c>
    </row>
    <row r="236">
      <c r="A236" s="49" t="inlineStr">
        <is>
          <t>R0474</t>
        </is>
      </c>
      <c r="B236" s="49" t="n">
        <v>2025</v>
      </c>
      <c r="C236" s="49" t="inlineStr">
        <is>
          <t>Application of Digital Twin Technology in Smart Agriculture: A Bibliometric Review</t>
        </is>
      </c>
      <c r="D236" s="49" t="inlineStr">
        <is>
          <t>Agriculture (Switzerland)</t>
        </is>
      </c>
      <c r="E236" s="49" t="inlineStr">
        <is>
          <t>10.3390/agriculture15171799</t>
        </is>
      </c>
      <c r="F236" s="49" t="inlineStr">
        <is>
          <t>bajo</t>
        </is>
      </c>
      <c r="G236" s="49" t="inlineStr">
        <is>
          <t>Revision bibliometrica de gemelos en agricultura ("we conducted a bibliometric review"); optimizacion de cadena como interes emergente. Valor para snowballing: bajo.</t>
        </is>
      </c>
    </row>
    <row r="237">
      <c r="A237" s="49" t="inlineStr">
        <is>
          <t>R0476</t>
        </is>
      </c>
      <c r="B237" s="49" t="n">
        <v>2025</v>
      </c>
      <c r="C237" s="49" t="inlineStr">
        <is>
          <t>Product lifecycle management: what sectors and what technologies used? A systematic literature review</t>
        </is>
      </c>
      <c r="D237" s="49" t="inlineStr">
        <is>
          <t>DISCOVER SUSTAINABILITY</t>
        </is>
      </c>
      <c r="E237" s="49" t="inlineStr">
        <is>
          <t>10.1007/s43621-025-01267-w</t>
        </is>
      </c>
      <c r="F237" s="49" t="inlineStr">
        <is>
          <t>bajo</t>
        </is>
      </c>
      <c r="G237" s="49" t="inlineStr">
        <is>
          <t>Revision sistematica de gestion del ciclo de vida del producto ("findings from a systematic literature review (SLR)"); gemelos e IA como via futura. Valor para snowballing: bajo.</t>
        </is>
      </c>
    </row>
    <row r="238">
      <c r="A238" s="49" t="inlineStr">
        <is>
          <t>R0478</t>
        </is>
      </c>
      <c r="B238" s="49" t="n">
        <v>2025</v>
      </c>
      <c r="C238" s="49" t="inlineStr">
        <is>
          <t>Value creation in parcel delivery: A systematic literature review and research agenda</t>
        </is>
      </c>
      <c r="D238" s="49" t="inlineStr">
        <is>
          <t>SUSTAINABLE FUTURES</t>
        </is>
      </c>
      <c r="E238" s="49" t="inlineStr">
        <is>
          <t>10.1016/j.sftr.2025.101557</t>
        </is>
      </c>
      <c r="F238" s="49" t="inlineStr">
        <is>
          <t>bajo</t>
        </is>
      </c>
      <c r="G238" s="49" t="inlineStr">
        <is>
          <t>Revision sistematica PRISMA de creacion de valor en paqueteria ("systematically reviewing 138 peer reviewed articles"); gemelo entre las tecnologias emergentes. Valor para snowballing: bajo.</t>
        </is>
      </c>
    </row>
    <row r="239">
      <c r="A239" s="49" t="inlineStr">
        <is>
          <t>R0479</t>
        </is>
      </c>
      <c r="B239" s="49" t="n">
        <v>2025</v>
      </c>
      <c r="C239" s="49" t="inlineStr">
        <is>
          <t>Outlook on human-centred design in industry 5.0: towards mass customisation, personalisation, co-creation, and co-production</t>
        </is>
      </c>
      <c r="D239" s="49" t="inlineStr">
        <is>
          <t>INTERNATIONAL JOURNAL OF SUSTAINABLE ENGINEERING</t>
        </is>
      </c>
      <c r="E239" s="49" t="inlineStr">
        <is>
          <t>10.1080/19397038.2025.2486343</t>
        </is>
      </c>
      <c r="F239" s="49" t="inlineStr">
        <is>
          <t>bajo</t>
        </is>
      </c>
      <c r="G239" s="49" t="inlineStr">
        <is>
          <t>Revision de diseño centrado en el humano en Industria 5.0 ("This study reviews and expands upon the traditional human-centred design"); gemelos como habilitador. Valor para snowballing: bajo.</t>
        </is>
      </c>
    </row>
    <row r="240">
      <c r="A240" s="49" t="inlineStr">
        <is>
          <t>R0482</t>
        </is>
      </c>
      <c r="B240" s="49" t="n">
        <v>2024</v>
      </c>
      <c r="C240" s="49" t="inlineStr">
        <is>
          <t>From farm to market: Research progress and application prospects of artificial intelligence in the frozen fruits and vegetables supply chain</t>
        </is>
      </c>
      <c r="D240" s="49" t="inlineStr">
        <is>
          <t>Trends in Food Science and Technology</t>
        </is>
      </c>
      <c r="E240" s="49" t="inlineStr">
        <is>
          <t>10.1016/j.tifs.2024.104730</t>
        </is>
      </c>
      <c r="F240" s="49" t="inlineStr">
        <is>
          <t>bajo</t>
        </is>
      </c>
      <c r="G240" s="49" t="inlineStr">
        <is>
          <t>Revision de IA en la cadena de frutas y verduras congeladas ("This review explores the application of AI in enhancing the frozen F&amp;V supply chain"); gemelos como integracion potencial. Valor para snowballing: bajo.</t>
        </is>
      </c>
    </row>
    <row r="241">
      <c r="A241" s="49" t="inlineStr">
        <is>
          <t>R0483</t>
        </is>
      </c>
      <c r="B241" s="49" t="n">
        <v>2024</v>
      </c>
      <c r="C241" s="49" t="inlineStr">
        <is>
          <t>Transforming plant-based waste and by-products into valuable products using various “Food Industry 4.0” enabling technologies: A literature review</t>
        </is>
      </c>
      <c r="D241" s="49" t="inlineStr">
        <is>
          <t>Science of the Total Environment</t>
        </is>
      </c>
      <c r="E241" s="49" t="inlineStr">
        <is>
          <t>10.1016/j.scitotenv.2024.176872</t>
        </is>
      </c>
      <c r="F241" s="49" t="inlineStr">
        <is>
          <t>bajo</t>
        </is>
      </c>
      <c r="G241" s="49" t="inlineStr">
        <is>
          <t>Revision de valorizacion de residuos vegetales con Industria 4.0 ("This review provides up-to-date information on the potential of Industry 4.0"); gemelos entre las tecnologias. Valor para snowballing: bajo.</t>
        </is>
      </c>
    </row>
    <row r="242">
      <c r="A242" s="49" t="inlineStr">
        <is>
          <t>R0484</t>
        </is>
      </c>
      <c r="B242" s="49" t="n">
        <v>2024</v>
      </c>
      <c r="C242" s="49" t="inlineStr">
        <is>
          <t>Circular bioeconomy in carbon footprint components of nonthermal processing technologies towards sustainable food system: A review</t>
        </is>
      </c>
      <c r="D242" s="49" t="inlineStr">
        <is>
          <t>Trends in Food Science and Technology</t>
        </is>
      </c>
      <c r="E242" s="49" t="inlineStr">
        <is>
          <t>10.1016/j.tifs.2024.104520</t>
        </is>
      </c>
      <c r="F242" s="49" t="inlineStr">
        <is>
          <t>bajo</t>
        </is>
      </c>
      <c r="G242" s="49" t="inlineStr">
        <is>
          <t>Revision de huella de carbono en procesamiento no termico ("The present review highlights the evaluation of carbon footprint"); gemelo como herramienta de IA. Valor para snowballing: bajo.</t>
        </is>
      </c>
    </row>
    <row r="243">
      <c r="A243" s="49" t="inlineStr">
        <is>
          <t>R0486</t>
        </is>
      </c>
      <c r="B243" s="49" t="n">
        <v>2024</v>
      </c>
      <c r="C243" s="49" t="inlineStr">
        <is>
          <t>From Reality to Virtuality: Revolutionizing Livestock Farming Through Digital Twins</t>
        </is>
      </c>
      <c r="D243" s="49" t="inlineStr">
        <is>
          <t>Agriculture (Switzerland)</t>
        </is>
      </c>
      <c r="E243" s="49" t="inlineStr">
        <is>
          <t>10.3390/agriculture14122231</t>
        </is>
      </c>
      <c r="F243" s="49" t="inlineStr">
        <is>
          <t>bajo</t>
        </is>
      </c>
      <c r="G243" s="49" t="inlineStr">
        <is>
          <t>Panorama de gemelos en ganaderia ("This research provides an overview of the current landscape of digital transformation in the livestock sector"); cadena como aplicacion. Valor para snowballing: bajo.</t>
        </is>
      </c>
    </row>
    <row r="244">
      <c r="A244" s="49" t="inlineStr">
        <is>
          <t>R0487</t>
        </is>
      </c>
      <c r="B244" s="49" t="n">
        <v>2024</v>
      </c>
      <c r="C244" s="49" t="inlineStr">
        <is>
          <t>Applications of Artificial Intelligence for Smart Conveyor Belt Monitoring Systems: A Comprehensive Review</t>
        </is>
      </c>
      <c r="D244" s="49" t="inlineStr">
        <is>
          <t>Journal Europeen des Systemes Automatises</t>
        </is>
      </c>
      <c r="E244" s="49" t="inlineStr">
        <is>
          <t>10.18280/jesa.570426</t>
        </is>
      </c>
      <c r="F244" s="49" t="inlineStr">
        <is>
          <t>bajo</t>
        </is>
      </c>
      <c r="G244" s="49" t="inlineStr">
        <is>
          <t>Encuesta de literatura sobre IA en bandas transportadoras ("The review is based on over 79 articles of peer-reviewed journals"); gemelo como tecnologia emergente. Valor para snowballing: bajo.</t>
        </is>
      </c>
    </row>
    <row r="245">
      <c r="A245" s="49" t="inlineStr">
        <is>
          <t>R0488</t>
        </is>
      </c>
      <c r="B245" s="49" t="n">
        <v>2024</v>
      </c>
      <c r="C245" s="49" t="inlineStr">
        <is>
          <t>Generative artificial intelligence in the agri-food value chain - overview, potential, and research challenges</t>
        </is>
      </c>
      <c r="D245" s="49" t="inlineStr">
        <is>
          <t>FRONTIERS IN FOOD SCIENCE AND TECHNOLOGY</t>
        </is>
      </c>
      <c r="E245" s="49" t="inlineStr">
        <is>
          <t>10.3389/frfst.2024.1473357</t>
        </is>
      </c>
      <c r="F245" s="49" t="inlineStr">
        <is>
          <t>bajo</t>
        </is>
      </c>
      <c r="G245" s="49" t="inlineStr">
        <is>
          <t>Minirrevision de IA generativa en la cadena agroalimentaria ("This mini review provides an overview about applications of Generative AI in the agri-food supply chain and discusses open research challenges, also in combination with digital twins"). Valor para snowballing: bajo.</t>
        </is>
      </c>
    </row>
    <row r="246">
      <c r="A246" s="49" t="inlineStr">
        <is>
          <t>R0491</t>
        </is>
      </c>
      <c r="B246" s="49" t="n">
        <v>2023</v>
      </c>
      <c r="C246" s="49" t="inlineStr">
        <is>
          <t>Digital transformation in the agri-food industry: recent applications and the role of the COVID-19 pandemic</t>
        </is>
      </c>
      <c r="D246" s="49" t="inlineStr">
        <is>
          <t>Frontiers in Sustainable Food Systems</t>
        </is>
      </c>
      <c r="E246" s="49" t="inlineStr">
        <is>
          <t>10.3389/fsufs.2023.1217813</t>
        </is>
      </c>
      <c r="F246" s="49" t="inlineStr">
        <is>
          <t>bajo</t>
        </is>
      </c>
      <c r="G246" s="49" t="inlineStr">
        <is>
          <t>Revision de transformacion digital agroalimentaria y COVID-19 ("This literature review discusses the potential of implementing digital technologies in the agri-food industry"); gemelos entre los habilitadores. Valor para snowballing: bajo.</t>
        </is>
      </c>
    </row>
    <row r="247">
      <c r="A247" s="49" t="inlineStr">
        <is>
          <t>R0493</t>
        </is>
      </c>
      <c r="B247" s="49" t="n">
        <v>2023</v>
      </c>
      <c r="C247" s="49" t="inlineStr">
        <is>
          <t>The Impact of Industry 4.0 Technologies on Key Performance Indicators for a Resilient Supply Chain 4.0</t>
        </is>
      </c>
      <c r="D247" s="49" t="inlineStr">
        <is>
          <t>Sustainability (Switzerland)</t>
        </is>
      </c>
      <c r="E247" s="49" t="inlineStr">
        <is>
          <t>10.3390/su15065185</t>
        </is>
      </c>
      <c r="F247" s="49" t="inlineStr">
        <is>
          <t>bajo</t>
        </is>
      </c>
      <c r="G247" s="49" t="inlineStr">
        <is>
          <t>Revision de Industria 4.0 e indicadores de resiliencia de cadena ("A systematic literature review has been conducted to identify which of the Industry 4.0 technologies have an impact on the KPIs"); gemelos entre las tecnologias. Valor para snowballing: bajo.</t>
        </is>
      </c>
    </row>
    <row r="248">
      <c r="A248" s="49" t="inlineStr">
        <is>
          <t>R0494</t>
        </is>
      </c>
      <c r="B248" s="49" t="n">
        <v>2023</v>
      </c>
      <c r="C248" s="49" t="inlineStr">
        <is>
          <t>The Application of Artificial Intelligence and Big Data in the Food Industry</t>
        </is>
      </c>
      <c r="D248" s="49" t="inlineStr">
        <is>
          <t>FOODS</t>
        </is>
      </c>
      <c r="E248" s="49" t="inlineStr">
        <is>
          <t>10.3390/foods12244511</t>
        </is>
      </c>
      <c r="F248" s="49" t="inlineStr">
        <is>
          <t>bajo</t>
        </is>
      </c>
      <c r="G248" s="49" t="inlineStr">
        <is>
          <t>Revision de IA y big data en la industria alimentaria ("This review delves into the applications of AI and big data in the food sector"); gemelos como tecnologia de Industria 4.0. Valor para snowballing: bajo.</t>
        </is>
      </c>
    </row>
    <row r="249">
      <c r="A249" s="49" t="inlineStr">
        <is>
          <t>R0495</t>
        </is>
      </c>
      <c r="B249" s="49" t="n">
        <v>2022</v>
      </c>
      <c r="C249" s="49" t="inlineStr">
        <is>
          <t>Industry 4.0 technologies as enablers of collaboration in circular supply chains: a systematic literature review</t>
        </is>
      </c>
      <c r="D249" s="49" t="inlineStr">
        <is>
          <t>International Journal of Production Research</t>
        </is>
      </c>
      <c r="E249" s="49" t="inlineStr">
        <is>
          <t>10.1080/00207543.2021.1999521</t>
        </is>
      </c>
      <c r="F249" s="49" t="inlineStr">
        <is>
          <t>bajo</t>
        </is>
      </c>
      <c r="G249" s="49" t="inlineStr">
        <is>
          <t>Revision sistematica de Industria 4.0 y colaboracion en cadenas circulares ("we conduct a systematic literature review that explores how Industry 4.0 technologies can enable collaboration mechanisms"); gemelos e IA como dimension futura. Valor para snowballing: bajo.</t>
        </is>
      </c>
    </row>
    <row r="250">
      <c r="A250" s="49" t="inlineStr">
        <is>
          <t>R0496</t>
        </is>
      </c>
      <c r="B250" s="49" t="n">
        <v>2022</v>
      </c>
      <c r="C250" s="49" t="inlineStr">
        <is>
          <t>Toward Better Food Security Using Concepts from Industry 5.0</t>
        </is>
      </c>
      <c r="D250" s="49" t="inlineStr">
        <is>
          <t>Sensors</t>
        </is>
      </c>
      <c r="E250" s="49" t="inlineStr">
        <is>
          <t>10.3390/s22218377</t>
        </is>
      </c>
      <c r="F250" s="49" t="inlineStr">
        <is>
          <t>bajo</t>
        </is>
      </c>
      <c r="G250" s="49" t="inlineStr">
        <is>
          <t>Revision de TIC e Industria 5.0 para seguridad alimentaria ("this paper provided a thorough review of the food system"); gemelo entre las tecnologias. Valor para snowballing: bajo.</t>
        </is>
      </c>
    </row>
    <row r="251">
      <c r="A251" s="49" t="inlineStr">
        <is>
          <t>R0498</t>
        </is>
      </c>
      <c r="B251" s="49" t="n">
        <v>2021</v>
      </c>
      <c r="C251" s="49" t="inlineStr">
        <is>
          <t>Industry 4.0 Technologies for Manufacturing Sustainability: A Systematic Review and Future Research Directions</t>
        </is>
      </c>
      <c r="D251" s="49" t="inlineStr">
        <is>
          <t>APPLIED SCIENCES-BASEL</t>
        </is>
      </c>
      <c r="E251" s="49" t="inlineStr">
        <is>
          <t>10.3390/app11125725</t>
        </is>
      </c>
      <c r="F251" s="49" t="inlineStr">
        <is>
          <t>bajo</t>
        </is>
      </c>
      <c r="G251" s="49" t="inlineStr">
        <is>
          <t>Revision sistematica de Industria 4.0 y sostenibilidad manufacturera ("This study uses a systematic literature review approach"); gemelos entre las tecnologias. Valor para snowballing: bajo.</t>
        </is>
      </c>
    </row>
    <row r="252">
      <c r="A252" s="49" t="inlineStr">
        <is>
          <t>R0499</t>
        </is>
      </c>
      <c r="B252" s="49" t="n">
        <v>2019</v>
      </c>
      <c r="C252" s="49" t="inlineStr">
        <is>
          <t>Getting value from artificial intelligence in agriculture</t>
        </is>
      </c>
      <c r="D252" s="49" t="inlineStr">
        <is>
          <t>Animal Production Science</t>
        </is>
      </c>
      <c r="E252" s="49" t="inlineStr">
        <is>
          <t>10.1071/an18522</t>
        </is>
      </c>
      <c r="F252" s="49" t="inlineStr">
        <is>
          <t>bajo</t>
        </is>
      </c>
      <c r="G252" s="49" t="inlineStr">
        <is>
          <t>Ensayo de perspectiva sobre el valor de la IA en agricultura ("In the present paper, I discuss the value to agriculture from AI over the next decade"); gemelos y cadena como paradigmas emergentes. Valor para snowballing: bajo.</t>
        </is>
      </c>
    </row>
    <row r="253">
      <c r="A253" s="49" t="inlineStr">
        <is>
          <t>R0506</t>
        </is>
      </c>
      <c r="B253" s="49" t="n">
        <v>2026</v>
      </c>
      <c r="C253" s="49" t="inlineStr">
        <is>
          <t>Bridging the digital divide in the pharmaceutical industry: A future research agenda</t>
        </is>
      </c>
      <c r="D253" s="49" t="inlineStr">
        <is>
          <t>Social Science and Medicine</t>
        </is>
      </c>
      <c r="E253" s="49" t="inlineStr">
        <is>
          <t>10.1016/j.socscimed.2025.118832</t>
        </is>
      </c>
      <c r="F253" s="49" t="inlineStr">
        <is>
          <t>bajo</t>
        </is>
      </c>
      <c r="G253" s="49" t="inlineStr">
        <is>
          <t>Revision sistematica con modelado de temas ("We combined a systematic literature review of 70 peer-reviewed studies with topic modeling"); gemelo sólo entre las tecnologias. Valor para snowballing: bajo.</t>
        </is>
      </c>
    </row>
    <row r="254">
      <c r="A254" s="49" t="inlineStr">
        <is>
          <t>R0515</t>
        </is>
      </c>
      <c r="B254" s="49" t="n">
        <v>2026</v>
      </c>
      <c r="C254" s="49" t="inlineStr">
        <is>
          <t>An integrated AI-driven vaccine design process: a systematic review of workflows from generative design to translational prediction</t>
        </is>
      </c>
      <c r="D254" s="49" t="inlineStr">
        <is>
          <t>Immunologic Research</t>
        </is>
      </c>
      <c r="E254" s="49" t="inlineStr">
        <is>
          <t>10.1007/s12026-026-09763-5</t>
        </is>
      </c>
      <c r="F254" s="49" t="inlineStr">
        <is>
          <t>bajo</t>
        </is>
      </c>
      <c r="G254" s="49" t="inlineStr">
        <is>
          <t>Revision sistematica PRISMA de flujos de diseño de vacunas ("A systematic analysis based on the PRISMA framework"); gemelo sólo como simulacion mencionada. Valor para snowballing: bajo.</t>
        </is>
      </c>
    </row>
    <row r="255">
      <c r="A255" s="49" t="inlineStr">
        <is>
          <t>R0518</t>
        </is>
      </c>
      <c r="B255" s="49" t="n">
        <v>2026</v>
      </c>
      <c r="C255" s="49" t="inlineStr">
        <is>
          <t>Advancing sustainability through digitalization: from drug development to patient care</t>
        </is>
      </c>
      <c r="D255" s="49" t="inlineStr">
        <is>
          <t>RSC Pharmaceutics</t>
        </is>
      </c>
      <c r="E255" s="49" t="inlineStr">
        <is>
          <t>10.1039/d5pm00342c</t>
        </is>
      </c>
      <c r="F255" s="49" t="inlineStr">
        <is>
          <t>bajo</t>
        </is>
      </c>
      <c r="G255" s="49" t="inlineStr">
        <is>
          <t>Revision (Doc type Review) sobre digitalizacion y sostenibilidad farmaceutica; gemelos entre las herramientas digitales ("such as artificial intelligence (AI), machine learning (ML), blockchain, and digital twins"). Valor para snowballing: bajo.</t>
        </is>
      </c>
    </row>
    <row r="256">
      <c r="A256" s="49" t="inlineStr">
        <is>
          <t>R0524</t>
        </is>
      </c>
      <c r="B256" s="49" t="n">
        <v>2026</v>
      </c>
      <c r="C256" s="49" t="inlineStr">
        <is>
          <t>The Role of Emerging Information Technologies in Manufacturing Traceability – Trends, Challenges, and Future Directions</t>
        </is>
      </c>
      <c r="D256" s="49" t="inlineStr">
        <is>
          <t>International Journal of Computer Information Systems and Industrial Management Applications</t>
        </is>
      </c>
      <c r="E256" s="49" t="inlineStr">
        <is>
          <t>10.70917/ijcisim-2026-2865</t>
        </is>
      </c>
      <c r="F256" s="49" t="inlineStr">
        <is>
          <t>bajo</t>
        </is>
      </c>
      <c r="G256" s="49" t="inlineStr">
        <is>
          <t>Estudio de tendencias con revision declarada ("We identify five key trends through expert surveys and a literature survey"), por lo que C3 manda sobre C1; el gemelo aparece como tecnologia aun no adoptada ("blockchain and digital twins are not yet widely adopted"). Valor para snowballing: bajo.</t>
        </is>
      </c>
    </row>
    <row r="257">
      <c r="A257" s="49" t="inlineStr">
        <is>
          <t>R0526</t>
        </is>
      </c>
      <c r="B257" s="49" t="n">
        <v>2026</v>
      </c>
      <c r="C257" s="49" t="inlineStr">
        <is>
          <t>A Review of the Application of Blockchain Technology in the Logistics Field: CiteSpace-Based Visual Analysis with Computer Technology Integration</t>
        </is>
      </c>
      <c r="D257" s="49" t="inlineStr">
        <is>
          <t>Proceedings of The 2nd International Conference on Digital Society, Information Science and Risk Management, ICDIR 2026</t>
        </is>
      </c>
      <c r="E257" s="49" t="inlineStr">
        <is>
          <t>10.1145/3804504.3804531</t>
        </is>
      </c>
      <c r="F257" s="49" t="inlineStr">
        <is>
          <t>bajo</t>
        </is>
      </c>
      <c r="G257" s="49" t="inlineStr">
        <is>
          <t>Analisis bibliometrico con CiteSpace de 862 y 769 articulos sobre blockchain en logistica ("employs CiteSpace (version 6.3.R1) to visually analyze"); gemelo sólo como tecnologia de frontera futura. Valor para snowballing: bajo.</t>
        </is>
      </c>
    </row>
    <row r="258">
      <c r="A258" s="49" t="inlineStr">
        <is>
          <t>R0536</t>
        </is>
      </c>
      <c r="B258" s="49" t="n">
        <v>2026</v>
      </c>
      <c r="C258" s="49" t="inlineStr">
        <is>
          <t>The Future trends of Artificial Intelligence and innovative technologies in the new era of pharmaceutical sciences and Industry 4.0</t>
        </is>
      </c>
      <c r="D258" s="49" t="inlineStr">
        <is>
          <t>Drug Development and Industrial Pharmacy</t>
        </is>
      </c>
      <c r="E258" s="49" t="inlineStr">
        <is>
          <t>10.1080/03639045.2025.2590707</t>
        </is>
      </c>
      <c r="F258" s="49" t="inlineStr">
        <is>
          <t>bajo</t>
        </is>
      </c>
      <c r="G258" s="49" t="inlineStr">
        <is>
          <t>Revision (Doc type Review): "This review article outlines the transformative impact of Artificial Intelligence (AI) in the pharmaceutical sciences"; gemelos entre las tecnologias de Industria 4.0. Valor para snowballing: bajo.</t>
        </is>
      </c>
    </row>
    <row r="259">
      <c r="A259" s="49" t="inlineStr">
        <is>
          <t>R0546</t>
        </is>
      </c>
      <c r="B259" s="49" t="n">
        <v>2026</v>
      </c>
      <c r="C259" s="49" t="inlineStr">
        <is>
          <t>Exploring the potential of digital twins in the food industry and their role in developing food formulations</t>
        </is>
      </c>
      <c r="D259" s="49" t="inlineStr">
        <is>
          <t>CHEMICAL ENGINEERING AND PROCESSING-PROCESS INTENSIFICATION</t>
        </is>
      </c>
      <c r="E259" s="49" t="inlineStr">
        <is>
          <t>10.1016/j.cep.2025.110583</t>
        </is>
      </c>
      <c r="F259" s="49" t="inlineStr">
        <is>
          <t>bajo</t>
        </is>
      </c>
      <c r="G259" s="49" t="inlineStr">
        <is>
          <t>Revision de gemelos en la industria alimentaria ("This review provides a comprehensive analysis of the current status, benefits, limitations, and prospects of DT applications in the food industry"); la cadena sólo como beneficio listado. Valor para snowballing: bajo.</t>
        </is>
      </c>
    </row>
    <row r="260">
      <c r="A260" s="49" t="inlineStr">
        <is>
          <t>R0547</t>
        </is>
      </c>
      <c r="B260" s="49" t="n">
        <v>2026</v>
      </c>
      <c r="C260" s="49" t="inlineStr">
        <is>
          <t>From laboratory to clinic: Bridging regulatory and manufacturing gaps in stem cell-based therapies</t>
        </is>
      </c>
      <c r="D260" s="49" t="inlineStr">
        <is>
          <t>WORLD JOURNAL OF STEM CELLS</t>
        </is>
      </c>
      <c r="E260" s="49" t="inlineStr">
        <is>
          <t>10.4252/wjsc.v18.i5.117591</t>
        </is>
      </c>
      <c r="F260" s="49" t="inlineStr">
        <is>
          <t>bajo</t>
        </is>
      </c>
      <c r="G260" s="49" t="inlineStr">
        <is>
          <t>Revision (Doc type Review) sobre productos de terapia avanzada: "This review examines these challenges using a structured framework"; gemelo sólo como tendencia futura junto a "supply chain logistics". Valor para snowballing: bajo.</t>
        </is>
      </c>
    </row>
    <row r="261">
      <c r="A261" s="49" t="inlineStr">
        <is>
          <t>R0549</t>
        </is>
      </c>
      <c r="B261" s="49" t="n">
        <v>2026</v>
      </c>
      <c r="C261" s="49" t="inlineStr">
        <is>
          <t>Digitalising bioenergy processes: Surveying literature and industrial experience to understand progress, challenges and opportunities</t>
        </is>
      </c>
      <c r="D261" s="49" t="inlineStr">
        <is>
          <t>BIOMASS &amp; BIOENERGY</t>
        </is>
      </c>
      <c r="E261" s="49" t="inlineStr">
        <is>
          <t>10.1016/j.biombioe.2026.109507</t>
        </is>
      </c>
      <c r="F261" s="49" t="inlineStr">
        <is>
          <t>bajo</t>
        </is>
      </c>
      <c r="G261" s="49" t="inlineStr">
        <is>
          <t>Revision sistematica mas taller y encuesta ("a systematic review of 231 operationally focused peer-reviewed articles"); gemelos como una de las siete familias de herramientas digitales (15.2%). Valor para snowballing: bajo.</t>
        </is>
      </c>
    </row>
    <row r="262">
      <c r="A262" s="49" t="inlineStr">
        <is>
          <t>R0550</t>
        </is>
      </c>
      <c r="B262" s="49" t="n">
        <v>2026</v>
      </c>
      <c r="C262" s="49" t="inlineStr">
        <is>
          <t>Revolutionizing supply chains: digital innovations and circular economy strategies for sustainable management</t>
        </is>
      </c>
      <c r="D262" s="49" t="inlineStr">
        <is>
          <t>GLOBAL KNOWLEDGE MEMORY AND COMMUNICATION</t>
        </is>
      </c>
      <c r="E262" s="49" t="inlineStr">
        <is>
          <t>10.1108/gkmc-03-2025-0253</t>
        </is>
      </c>
      <c r="F262" s="49" t="inlineStr">
        <is>
          <t>bajo</t>
        </is>
      </c>
      <c r="G262" s="49" t="inlineStr">
        <is>
          <t>Revision sistematica con Delphi y metodos multicriterio ("implemented to achieve a systematic literature review, followed by Delphi method"); el gemelo aparece como una de las estrategias ("digital twin integration") y la IA sólo en Keywords Plus. Valor para snowballing: bajo.</t>
        </is>
      </c>
    </row>
    <row r="263">
      <c r="A263" s="49" t="inlineStr">
        <is>
          <t>R0552</t>
        </is>
      </c>
      <c r="B263" s="49" t="n">
        <v>2025</v>
      </c>
      <c r="C263" s="49" t="inlineStr">
        <is>
          <t>Artificial intelligence for natural product drug discovery and development: current landscape, applications, and future directions</t>
        </is>
      </c>
      <c r="D263" s="49" t="inlineStr">
        <is>
          <t>Intelligence-Based Medicine</t>
        </is>
      </c>
      <c r="E263" s="49" t="inlineStr">
        <is>
          <t>10.1016/j.ibmed.2025.100316</t>
        </is>
      </c>
      <c r="F263" s="49" t="inlineStr">
        <is>
          <t>bajo</t>
        </is>
      </c>
      <c r="G263" s="49" t="inlineStr">
        <is>
          <t>Revision de IA para descubrimiento de productos naturales ("This review integrates these advances, evidence gaps, and governance requirements into a roadmap"); gemelos sólo en sistemas microfisiologicos. Valor para snowballing: bajo.</t>
        </is>
      </c>
    </row>
    <row r="264">
      <c r="A264" s="49" t="inlineStr">
        <is>
          <t>R0557</t>
        </is>
      </c>
      <c r="B264" s="49" t="n">
        <v>2025</v>
      </c>
      <c r="C264" s="49" t="inlineStr">
        <is>
          <t>Computer Simulation Everywhere: Mapping Fifteen Years Evolutionary Expansion of Discrete-Event Simulation and Integration with Digital Twin and Generative Artificial Intelligence</t>
        </is>
      </c>
      <c r="D264" s="49" t="inlineStr">
        <is>
          <t>Symmetry</t>
        </is>
      </c>
      <c r="E264" s="49" t="inlineStr">
        <is>
          <t>10.3390/sym17081272</t>
        </is>
      </c>
      <c r="F264" s="49" t="inlineStr">
        <is>
          <t>bajo</t>
        </is>
      </c>
      <c r="G264" s="49" t="inlineStr">
        <is>
          <t>Cartografia cientifica bibliometrica ("Using bibliographic data from SCOPUS, this study undertakes a science mapping of the DES literature"); integra gemelo e IA generativa como temas. Valor para snowballing: bajo.</t>
        </is>
      </c>
    </row>
    <row r="265">
      <c r="A265" s="49" t="inlineStr">
        <is>
          <t>R0559</t>
        </is>
      </c>
      <c r="B265" s="49" t="n">
        <v>2025</v>
      </c>
      <c r="C265" s="49" t="inlineStr">
        <is>
          <t>From Digital Twins to Digital Triplets in Economics and Financial Decision-Making</t>
        </is>
      </c>
      <c r="D265" s="49" t="inlineStr">
        <is>
          <t>Encyclopedia</t>
        </is>
      </c>
      <c r="E265" s="49" t="inlineStr">
        <is>
          <t>10.3390/encyclopedia5030087</t>
        </is>
      </c>
      <c r="F265" s="49" t="inlineStr">
        <is>
          <t>bajo</t>
        </is>
      </c>
      <c r="G265" s="49" t="inlineStr">
        <is>
          <t>Entrada de enciclopedia que revisa la evolucion del concepto ("This entry reviews the evolution from Digital Twins (DT) to Predictive Digital Twins (PDT) and Digital Triplets (DTr)"); ambito economico y financiero. Valor para snowballing: bajo.</t>
        </is>
      </c>
    </row>
    <row r="266">
      <c r="A266" s="49" t="inlineStr">
        <is>
          <t>R0561</t>
        </is>
      </c>
      <c r="B266" s="49" t="n">
        <v>2025</v>
      </c>
      <c r="C266" s="49" t="inlineStr">
        <is>
          <t>Revolutionizing Combat Casualty Care: The Power of Digital Twins in Optimizing Casualty Care Through Passive Data Collection</t>
        </is>
      </c>
      <c r="D266" s="49" t="inlineStr">
        <is>
          <t>Military Medicine</t>
        </is>
      </c>
      <c r="E266" s="49" t="inlineStr">
        <is>
          <t>10.1093/milmed/usae249</t>
        </is>
      </c>
      <c r="F266" s="49" t="inlineStr">
        <is>
          <t>bajo</t>
        </is>
      </c>
      <c r="G266" s="49" t="inlineStr">
        <is>
          <t>Comentario en revista (Doc type Review): "In this commentary, we describe concepts of casualty digital twins"; logistica militar sólo como contexto ("contested logistics"). Valor para snowballing: bajo.</t>
        </is>
      </c>
    </row>
    <row r="267">
      <c r="A267" s="49" t="inlineStr">
        <is>
          <t>R0571</t>
        </is>
      </c>
      <c r="B267" s="49" t="n">
        <v>2025</v>
      </c>
      <c r="C267" s="49" t="inlineStr">
        <is>
          <t>Data-Driven Defragmentation: Achieving Value-Based Sarcoma and Rare Cancer Care Through Integrated Care Pathway Mapping</t>
        </is>
      </c>
      <c r="D267" s="49" t="inlineStr">
        <is>
          <t>Journal of Personalized Medicine</t>
        </is>
      </c>
      <c r="E267" s="49" t="inlineStr">
        <is>
          <t>10.3390/jpm15050203</t>
        </is>
      </c>
      <c r="F267" s="49" t="inlineStr">
        <is>
          <t>bajo</t>
        </is>
      </c>
      <c r="G267" s="49" t="inlineStr">
        <is>
          <t>Doc type Review sobre una plataforma de vias clinicas en sarcoma; el gemelo sólo como aplicacion futura ("including digital twin technology, to predict treatment responses") y la logistica sólo como simil ("akin to a logistics system tracking an item"). Valor para snowballing: bajo.</t>
        </is>
      </c>
    </row>
    <row r="268">
      <c r="A268" s="49" t="inlineStr">
        <is>
          <t>R0574</t>
        </is>
      </c>
      <c r="B268" s="49" t="n">
        <v>2025</v>
      </c>
      <c r="C268" s="49" t="inlineStr">
        <is>
          <t>Artificial intelligence in clinical data analysis: A review of large language models, foundation models, digital twins, and allergy applications</t>
        </is>
      </c>
      <c r="D268" s="49" t="inlineStr">
        <is>
          <t>Allergology International</t>
        </is>
      </c>
      <c r="E268" s="49" t="inlineStr">
        <is>
          <t>10.1016/j.alit.2025.06.005</t>
        </is>
      </c>
      <c r="F268" s="49" t="inlineStr">
        <is>
          <t>bajo</t>
        </is>
      </c>
      <c r="G268" s="49" t="inlineStr">
        <is>
          <t>Revision (Doc type Review) de IA en analisis de datos clinicos: "This review provides a comprehensive overview of current machine learning techniques"; el gemelo como concepto prometedor. Valor para snowballing: bajo.</t>
        </is>
      </c>
    </row>
    <row r="269">
      <c r="A269" s="49" t="inlineStr">
        <is>
          <t>R0581</t>
        </is>
      </c>
      <c r="B269" s="49" t="n">
        <v>2025</v>
      </c>
      <c r="C269" s="49" t="inlineStr">
        <is>
          <t>Artificial intelligence in headache medicine: between automation and the doctor-patient relationship. A systematic review</t>
        </is>
      </c>
      <c r="D269" s="49" t="inlineStr">
        <is>
          <t>Journal of Headache and Pain</t>
        </is>
      </c>
      <c r="E269" s="49" t="inlineStr">
        <is>
          <t>10.1186/s10194-025-02143-8</t>
        </is>
      </c>
      <c r="F269" s="49" t="inlineStr">
        <is>
          <t>bajo</t>
        </is>
      </c>
      <c r="G269" s="49" t="inlineStr">
        <is>
          <t>Revision sistematica PRISMA de IA en cefaleas ("A systematic literature search was conducted"); gemelos entre las tecnologias emergentes. Valor para snowballing: bajo.</t>
        </is>
      </c>
    </row>
    <row r="270">
      <c r="A270" s="49" t="inlineStr">
        <is>
          <t>R0592</t>
        </is>
      </c>
      <c r="B270" s="49" t="n">
        <v>2025</v>
      </c>
      <c r="C270" s="49" t="inlineStr">
        <is>
          <t>Relation between digital innovation and industry 4.0: existing themes and emerging research trends</t>
        </is>
      </c>
      <c r="D270" s="49" t="inlineStr">
        <is>
          <t>OPSEARCH</t>
        </is>
      </c>
      <c r="E270" s="49" t="inlineStr">
        <is>
          <t>10.1007/s12597-024-00865-y</t>
        </is>
      </c>
      <c r="F270" s="49" t="inlineStr">
        <is>
          <t>bajo</t>
        </is>
      </c>
      <c r="G270" s="49" t="inlineStr">
        <is>
          <t>Revision sistematica de 187 articulos ("This study utilizes a systematic literature review, employing keyword search criteria to examine 187 relevant articles"); gemelo entre las tecnologias evaluadas. Valor para snowballing: bajo.</t>
        </is>
      </c>
    </row>
    <row r="271">
      <c r="A271" s="49" t="inlineStr">
        <is>
          <t>R0593</t>
        </is>
      </c>
      <c r="B271" s="49" t="n">
        <v>2025</v>
      </c>
      <c r="C271" s="49" t="inlineStr">
        <is>
          <t>Artificial Intelligence in Collagen-based Biomaterials</t>
        </is>
      </c>
      <c r="D271" s="49" t="inlineStr">
        <is>
          <t>CHEMISTRYSELECT</t>
        </is>
      </c>
      <c r="E271" s="49" t="inlineStr">
        <is>
          <t>10.1002/slct.202504704</t>
        </is>
      </c>
      <c r="F271" s="49" t="inlineStr">
        <is>
          <t>bajo</t>
        </is>
      </c>
      <c r="G271" s="49" t="inlineStr">
        <is>
          <t>Revision (Doc type Review) de IA en biomateriales de colageno ("The review synthesises over 160 studies and technical reports"); gemelos sólo como direccion futura. Valor para snowballing: bajo.</t>
        </is>
      </c>
    </row>
    <row r="272">
      <c r="A272" s="49" t="inlineStr">
        <is>
          <t>R0597</t>
        </is>
      </c>
      <c r="B272" s="49" t="n">
        <v>2024</v>
      </c>
      <c r="C272" s="49" t="inlineStr">
        <is>
          <t>An analysis framework for resource management in smart manufacturing the Industrial Internet of Things (IIoT) applications and taxonomy</t>
        </is>
      </c>
      <c r="D272" s="49" t="inlineStr">
        <is>
          <t>2024 International Conference on Augmented Reality, Intelligent Systems, and Industrial Automation, ARIIA 2024</t>
        </is>
      </c>
      <c r="E272" s="49" t="inlineStr">
        <is>
          <t>10.1109/ariia63345.2024.11051437</t>
        </is>
      </c>
      <c r="F272" s="49" t="inlineStr">
        <is>
          <t>bajo</t>
        </is>
      </c>
      <c r="G272" s="49" t="inlineStr">
        <is>
          <t>Panorama declarado del IIoT ("An overview of the main elements of IIoT, its effects on many industries, and the potential and difficulties it poses are provided in this abstract") con taxonomia; el gemelo como capacidad del IIoT y la logistica como sector. C3 como en R0240. Valor para snowballing: bajo.</t>
        </is>
      </c>
    </row>
    <row r="273">
      <c r="A273" s="49" t="inlineStr">
        <is>
          <t>R0600</t>
        </is>
      </c>
      <c r="B273" s="49" t="n">
        <v>2024</v>
      </c>
      <c r="C273" s="49" t="inlineStr">
        <is>
          <t>Artificial Intelligence and Smart Technologies in Safety Management: A Comprehensive Analysis Across Multiple Industries</t>
        </is>
      </c>
      <c r="D273" s="49" t="inlineStr">
        <is>
          <t>Applied Sciences (Switzerland)</t>
        </is>
      </c>
      <c r="E273" s="49" t="inlineStr">
        <is>
          <t>10.3390/app142411934</t>
        </is>
      </c>
      <c r="F273" s="49" t="inlineStr">
        <is>
          <t>bajo</t>
        </is>
      </c>
      <c r="G273" s="49" t="inlineStr">
        <is>
          <t>Revision sistematica (Doc type Review): "This study conducts a systematic literature review to identify and analyze how AI and smart technologies enhance safety management"; gemelos entre las soluciones y la logistica como sector. Valor para snowballing: bajo.</t>
        </is>
      </c>
    </row>
    <row r="274">
      <c r="A274" s="49" t="inlineStr">
        <is>
          <t>R0602</t>
        </is>
      </c>
      <c r="B274" s="49" t="n">
        <v>2024</v>
      </c>
      <c r="C274" s="49" t="inlineStr">
        <is>
          <t>Digital technologies to unlock safe and sustainable opportunities for medical device and healthcare sectors with a focus on the combined use of digital twin and extended reality applications: A review</t>
        </is>
      </c>
      <c r="D274" s="49" t="inlineStr">
        <is>
          <t>Science of the Total Environment</t>
        </is>
      </c>
      <c r="E274" s="49" t="inlineStr">
        <is>
          <t>10.1016/j.scitotenv.2024.171672</t>
        </is>
      </c>
      <c r="F274" s="49" t="inlineStr">
        <is>
          <t>bajo</t>
        </is>
      </c>
      <c r="G274" s="49" t="inlineStr">
        <is>
          <t>Revision (Doc type Review, "PRISMA review of best publications conducted between January 2010 and January 2024") sobre tecnologias digitales en dispositivos medicos; gemelo y realidad extendida para "supply chain and training". Valor para snowballing: bajo.</t>
        </is>
      </c>
    </row>
    <row r="275">
      <c r="A275" s="49" t="inlineStr">
        <is>
          <t>R0607</t>
        </is>
      </c>
      <c r="B275" s="49" t="n">
        <v>2024</v>
      </c>
      <c r="C275" s="49" t="inlineStr">
        <is>
          <t>A systematic review on Machine learning and Neural Network based models for disease prediction</t>
        </is>
      </c>
      <c r="D275" s="49" t="inlineStr">
        <is>
          <t>Journal of Integrated Science and Technology</t>
        </is>
      </c>
      <c r="E275" s="49" t="inlineStr">
        <is>
          <t>10.62110/sciencein.jist.2024.v12.787</t>
        </is>
      </c>
      <c r="F275" s="49" t="inlineStr">
        <is>
          <t>bajo</t>
        </is>
      </c>
      <c r="G275" s="49" t="inlineStr">
        <is>
          <t>Revision sistematica (Doc type Review) de modelos de ML para prediccion de enfermedades; gemelos sólo como via futura ("the integration of digital twins for predictive analytics"). Valor para snowballing: bajo.</t>
        </is>
      </c>
    </row>
    <row r="276">
      <c r="A276" s="49" t="inlineStr">
        <is>
          <t>R0610</t>
        </is>
      </c>
      <c r="B276" s="49" t="n">
        <v>2023</v>
      </c>
      <c r="C276" s="49" t="inlineStr">
        <is>
          <t>Digital Twin for Railway: A Comprehensive Survey</t>
        </is>
      </c>
      <c r="D276" s="49" t="inlineStr">
        <is>
          <t>IEEE Access</t>
        </is>
      </c>
      <c r="E276" s="49" t="inlineStr">
        <is>
          <t>10.1109/access.2023.3327042</t>
        </is>
      </c>
      <c r="F276" s="49" t="inlineStr">
        <is>
          <t>bajo</t>
        </is>
      </c>
      <c r="G276" s="49" t="inlineStr">
        <is>
          <t>Encuesta de literatura declarada ("Digital Twin for Railway: A Comprehensive Survey"; "this survey clarifies how DT can serve the railway twin system designers and developers"); logistica de manufactura ferroviaria sólo mencionada. Valor para snowballing: bajo.</t>
        </is>
      </c>
    </row>
    <row r="277">
      <c r="A277" s="49" t="inlineStr">
        <is>
          <t>R0617</t>
        </is>
      </c>
      <c r="B277" s="49" t="n">
        <v>2022</v>
      </c>
      <c r="C277" s="49" t="inlineStr">
        <is>
          <t>Active Behavior Mining for Digital Twins Extraction</t>
        </is>
      </c>
      <c r="D277" s="49" t="inlineStr">
        <is>
          <t>IT Professional</t>
        </is>
      </c>
      <c r="E277" s="49" t="inlineStr">
        <is>
          <t>10.1109/mitp.2022.3193044</t>
        </is>
      </c>
      <c r="F277" s="49" t="inlineStr">
        <is>
          <t>bajo</t>
        </is>
      </c>
      <c r="G277" s="49" t="inlineStr">
        <is>
          <t>Recodificado 2026-09-06 en la auditoría final (E2→E4): Columna editorial (C3): texto de opinión sobre extracción de gemelos para sistemas ciberfísicos; la cadena sólo como ejemplo de uso ("they are used to figure out supply chains8 disruptions for manufacturing"), sin estudio. Valor para snowballing: bajo. | Nota original (E2): Columna editorial sobre extraccion de gemelos para sistemas ciberfisicos; la cadena sólo como ejemplo de uso ("they are used to figure out supply chains8 disruptions for manufacturing"), sin estudio ni encuadre.</t>
        </is>
      </c>
    </row>
    <row r="278">
      <c r="A278" s="49" t="inlineStr">
        <is>
          <t>R0618</t>
        </is>
      </c>
      <c r="B278" s="49" t="n">
        <v>2022</v>
      </c>
      <c r="C278" s="49" t="inlineStr">
        <is>
          <t>Towards circular economy in the textiles and clothing value chain through blockchain technology and IoT: A review</t>
        </is>
      </c>
      <c r="D278" s="49" t="inlineStr">
        <is>
          <t>Waste Management and Research</t>
        </is>
      </c>
      <c r="E278" s="49" t="inlineStr">
        <is>
          <t>10.1177/0734242x211052858</t>
        </is>
      </c>
      <c r="F278" s="49" t="inlineStr">
        <is>
          <t>bajo</t>
        </is>
      </c>
      <c r="G278" s="49" t="inlineStr">
        <is>
          <t>Revision (Doc type Review): "we review the current approaches for traceability in the textile and clothing value chain"; gemelos como identidades de articulos trazables (C6). Valor para snowballing: bajo.</t>
        </is>
      </c>
    </row>
    <row r="279">
      <c r="A279" s="49" t="inlineStr">
        <is>
          <t>R0632</t>
        </is>
      </c>
      <c r="B279" s="49" t="n">
        <v>2020</v>
      </c>
      <c r="C279" s="49" t="inlineStr">
        <is>
          <t>Simulation in industry 4.0: A state-of-the-art review</t>
        </is>
      </c>
      <c r="D279" s="49" t="inlineStr">
        <is>
          <t>COMPUTERS &amp; INDUSTRIAL ENGINEERING</t>
        </is>
      </c>
      <c r="E279" s="49" t="inlineStr">
        <is>
          <t>10.1016/j.cie.2020.106868</t>
        </is>
      </c>
      <c r="F279" s="49" t="inlineStr">
        <is>
          <t>bajo</t>
        </is>
      </c>
      <c r="G279" s="49" t="inlineStr">
        <is>
          <t>Revision PRISMA del estado del arte ("literature on simulation technologies and Industry 4.0 design principles is systematically reviewed using the preferred reporting items for systematic reviews and meta-analyses (PRISMA) methodology"); gemelo como enfoque principal de simulacion. Valor para snowballing: bajo (ajustado en la auditoría final 2026-09-06, antes medio: la cadena no aparece en el alcance declarado).</t>
        </is>
      </c>
    </row>
    <row r="280">
      <c r="A280" s="49" t="inlineStr">
        <is>
          <t>R0640</t>
        </is>
      </c>
      <c r="B280" s="49" t="n">
        <v>2026</v>
      </c>
      <c r="C280" s="49" t="inlineStr">
        <is>
          <t>Nuclear Electric Propulsion for Deep-Space Missions: Technologies, Challenges, and Future Outlook</t>
        </is>
      </c>
      <c r="D280" s="49" t="inlineStr">
        <is>
          <t>Nuclear Science and Engineering</t>
        </is>
      </c>
      <c r="E280" s="49" t="inlineStr">
        <is>
          <t>10.1080/00295639.2025.2607945</t>
        </is>
      </c>
      <c r="F280" s="49" t="inlineStr">
        <is>
          <t>bajo</t>
        </is>
      </c>
      <c r="G280" s="49" t="inlineStr">
        <is>
          <t>Revision de propulsion nuclear electrica ("This review consolidates recent progress in NEP system architectures"); gemelos e IA como soluciones emergentes y logistica espacial. Valor para snowballing: bajo.</t>
        </is>
      </c>
    </row>
    <row r="281">
      <c r="A281" s="49" t="inlineStr">
        <is>
          <t>R0641</t>
        </is>
      </c>
      <c r="B281" s="49" t="n">
        <v>2026</v>
      </c>
      <c r="C281" s="49" t="inlineStr">
        <is>
          <t>Risk Management in AI-Driven Sustainable E-Commerce Transformations: A Comprehensive Framework for Digital Business Resilience</t>
        </is>
      </c>
      <c r="D281" s="49" t="inlineStr">
        <is>
          <t>2026 IEEE 16th Annual Computing and Communication Workshop and Conference, CCWC 2026</t>
        </is>
      </c>
      <c r="E281" s="49" t="inlineStr">
        <is>
          <t>10.1109/ccwc67433.2026.11393855</t>
        </is>
      </c>
      <c r="F281" s="49" t="inlineStr">
        <is>
          <t>bajo</t>
        </is>
      </c>
      <c r="G281" s="49" t="inlineStr">
        <is>
          <t>Marco de gestion de riesgos derivado de literatura ("Informed by the recent literature and current practices in the respective realms, we construct an inclusive framework for risk management"), C3 como R0190; el gemelo sólo como palabra clave de autor. Valor para snowballing: bajo.</t>
        </is>
      </c>
    </row>
    <row r="282">
      <c r="A282" s="49" t="inlineStr">
        <is>
          <t>R0646</t>
        </is>
      </c>
      <c r="B282" s="49" t="n">
        <v>2026</v>
      </c>
      <c r="C282" s="49" t="inlineStr">
        <is>
          <t>Machine and deep learning for food integrity: A review of emerging analytical applications in safety, quality, and authenticity</t>
        </is>
      </c>
      <c r="D282" s="49" t="inlineStr">
        <is>
          <t>Applied Food Research</t>
        </is>
      </c>
      <c r="E282" s="49" t="inlineStr">
        <is>
          <t>10.1016/j.afres.2026.102100</t>
        </is>
      </c>
      <c r="F282" s="49" t="inlineStr">
        <is>
          <t>bajo</t>
        </is>
      </c>
      <c r="G282" s="49" t="inlineStr">
        <is>
          <t>Revision de ML y aprendizaje profundo para integridad alimentaria ("The conceptual framework underlying this review reveals"); gemelo sólo como palabra clave de indice. Valor para snowballing: bajo.</t>
        </is>
      </c>
    </row>
    <row r="283">
      <c r="A283" s="49" t="inlineStr">
        <is>
          <t>R0648</t>
        </is>
      </c>
      <c r="B283" s="49" t="n">
        <v>2026</v>
      </c>
      <c r="C283" s="49" t="inlineStr">
        <is>
          <t>Enhancing resilience and reducing waste in food supply chains: a systematic review and future directions leveraging emerging technologies</t>
        </is>
      </c>
      <c r="D283" s="49" t="inlineStr">
        <is>
          <t>INTERNATIONAL JOURNAL OF LOGISTICS-RESEARCH AND APPLICATIONS</t>
        </is>
      </c>
      <c r="E283" s="49" t="inlineStr">
        <is>
          <t>10.1080/13675567.2024.2406555</t>
        </is>
      </c>
      <c r="F283" s="49" t="inlineStr">
        <is>
          <t>bajo</t>
        </is>
      </c>
      <c r="G283" s="49" t="inlineStr">
        <is>
          <t>Revision sistematica de resiliencia y desperdicio en cadenas alimentarias ("This paper presents a comprehensive systematic review"); gemelos sólo en Keywords Plus. Valor para snowballing: bajo.</t>
        </is>
      </c>
    </row>
    <row r="284">
      <c r="A284" s="49" t="inlineStr">
        <is>
          <t>R0650</t>
        </is>
      </c>
      <c r="B284" s="49" t="n">
        <v>2026</v>
      </c>
      <c r="C284" s="49" t="inlineStr">
        <is>
          <t>How to engineer sustainability: from resource-wise manufacturing towards ecosystem-wide impacts</t>
        </is>
      </c>
      <c r="D284" s="49" t="inlineStr">
        <is>
          <t>SUSTAINABILITY ACCOUNTING MANAGEMENT AND POLICY JOURNAL</t>
        </is>
      </c>
      <c r="E284" s="49" t="inlineStr">
        <is>
          <t>10.1108/sampj-03-2024-0305</t>
        </is>
      </c>
      <c r="F284" s="49" t="inlineStr">
        <is>
          <t>bajo</t>
        </is>
      </c>
      <c r="G284" s="49" t="inlineStr">
        <is>
          <t>Articulo conceptual basado en revision ("This study presents a literature review developing four research propositions"); gemelo sólo en Keywords Plus. Valor para snowballing: bajo.</t>
        </is>
      </c>
    </row>
    <row r="285">
      <c r="A285" s="49" t="inlineStr">
        <is>
          <t>R0651</t>
        </is>
      </c>
      <c r="B285" s="49" t="n">
        <v>2026</v>
      </c>
      <c r="C285" s="49" t="inlineStr">
        <is>
          <t>Agentic Satellite-Augmented Low-Altitude Economy and Terrestrial Networks: A Survey on Generative Approaches</t>
        </is>
      </c>
      <c r="D285" s="49" t="inlineStr">
        <is>
          <t>IEEE COMMUNICATIONS SURVEYS AND TUTORIALS</t>
        </is>
      </c>
      <c r="E285" s="49" t="inlineStr">
        <is>
          <t>10.1109/comst.2026.3660854</t>
        </is>
      </c>
      <c r="F285" s="49" t="inlineStr">
        <is>
          <t>bajo</t>
        </is>
      </c>
      <c r="G285" s="49" t="inlineStr">
        <is>
          <t>Encuesta de literatura sobre IA agentica en redes satelitales ("this article surveys the state-of-the-art literature on enabling agentic artificial intelligence"); logistica y gemelo sólo como palabras clave. Valor para snowballing: bajo.</t>
        </is>
      </c>
    </row>
    <row r="286">
      <c r="A286" s="49" t="inlineStr">
        <is>
          <t>R0652</t>
        </is>
      </c>
      <c r="B286" s="49" t="n">
        <v>2026</v>
      </c>
      <c r="C286" s="49" t="inlineStr">
        <is>
          <t>Machine Learning-Driven Edge Caching for Industry 5.0: A Survey of Collaborative and Inference-Enabled Techniques</t>
        </is>
      </c>
      <c r="D286" s="49" t="inlineStr">
        <is>
          <t>IEEE OPEN JOURNAL OF THE COMMUNICATIONS SOCIETY</t>
        </is>
      </c>
      <c r="E286" s="49" t="inlineStr">
        <is>
          <t>10.1109/ojcoms.2026.3669379</t>
        </is>
      </c>
      <c r="F286" s="49" t="inlineStr">
        <is>
          <t>bajo</t>
        </is>
      </c>
      <c r="G286" s="49" t="inlineStr">
        <is>
          <t>Encuesta de cache en el borde con ML ("This survey provides a comprehensive and systematic review of machine learning (ML)-driven edge caching"); logistica como dominio y gemelos como palabra clave. Valor para snowballing: bajo.</t>
        </is>
      </c>
    </row>
    <row r="287">
      <c r="A287" s="49" t="inlineStr">
        <is>
          <t>R0654</t>
        </is>
      </c>
      <c r="B287" s="49" t="n">
        <v>2025</v>
      </c>
      <c r="C287" s="49" t="inlineStr">
        <is>
          <t>Initial management of haemorrhagic war casualties: tactical priorities and innovative approaches in modern and future warfare</t>
        </is>
      </c>
      <c r="D287" s="49" t="inlineStr">
        <is>
          <t>Critical Care</t>
        </is>
      </c>
      <c r="E287" s="49" t="inlineStr">
        <is>
          <t>10.1186/s13054-025-05752-6</t>
        </is>
      </c>
      <c r="F287" s="49" t="inlineStr">
        <is>
          <t>bajo</t>
        </is>
      </c>
      <c r="G287" s="49" t="inlineStr">
        <is>
          <t>Revision narrativa de atencion a heridos de guerra ("This narrative review synthesizes current practices and emerging innovations"); gemelos fisiologicos como tecnologia futura. Valor para snowballing: bajo.</t>
        </is>
      </c>
    </row>
    <row r="288">
      <c r="A288" s="49" t="inlineStr">
        <is>
          <t>R0655</t>
        </is>
      </c>
      <c r="B288" s="49" t="n">
        <v>2025</v>
      </c>
      <c r="C288" s="49" t="inlineStr">
        <is>
          <t>Artificial Intelligence in Wire Arc Additive Manufacturing: A Systematic Review and Patent Landscape Analysis</t>
        </is>
      </c>
      <c r="D288" s="49" t="inlineStr">
        <is>
          <t>Engineering Reports</t>
        </is>
      </c>
      <c r="E288" s="49" t="inlineStr">
        <is>
          <t>10.1002/eng2.70518</t>
        </is>
      </c>
      <c r="F288" s="49" t="inlineStr">
        <is>
          <t>bajo</t>
        </is>
      </c>
      <c r="G288" s="49" t="inlineStr">
        <is>
          <t>Revision sistematica y analisis de patentes de IA en fabricacion aditiva por arco ("This review provides a comprehensive analysis of the individual applications of artificial intelligence (AI) and Blockchain technologies in WAAM"); gemelos sólo como palabra clave. Valor para snowballing: bajo.</t>
        </is>
      </c>
    </row>
    <row r="289">
      <c r="A289" s="49" t="inlineStr">
        <is>
          <t>R0659</t>
        </is>
      </c>
      <c r="B289" s="49" t="n">
        <v>2025</v>
      </c>
      <c r="C289" s="49" t="inlineStr">
        <is>
          <t>Artificial Intelligence in Diabetes Care: Applications, Challenges, and Opportunities Ahead</t>
        </is>
      </c>
      <c r="D289" s="49" t="inlineStr">
        <is>
          <t>Endocrine Practice</t>
        </is>
      </c>
      <c r="E289" s="49" t="inlineStr">
        <is>
          <t>10.1016/j.eprac.2025.07.008</t>
        </is>
      </c>
      <c r="F289" s="49" t="inlineStr">
        <is>
          <t>bajo</t>
        </is>
      </c>
      <c r="G289" s="49" t="inlineStr">
        <is>
          <t>Revision narrativa de IA en diabetes ("In this narrative review, we examine the latest AI applications in diabetes care"); gemelo sólo como palabra clave de indice. Valor para snowballing: bajo.</t>
        </is>
      </c>
    </row>
    <row r="290">
      <c r="A290" s="49" t="inlineStr">
        <is>
          <t>R0667</t>
        </is>
      </c>
      <c r="B290" s="49" t="n">
        <v>2025</v>
      </c>
      <c r="C290" s="49" t="inlineStr">
        <is>
          <t>Unleashing Sustainable Efficiency: The Integration of Computer Vision into Industry 4.0</t>
        </is>
      </c>
      <c r="D290" s="49" t="inlineStr">
        <is>
          <t>ENGINEERING MANAGEMENT JOURNAL</t>
        </is>
      </c>
      <c r="E290" s="49" t="inlineStr">
        <is>
          <t>10.1080/10429247.2024.2383518</t>
        </is>
      </c>
      <c r="F290" s="49" t="inlineStr">
        <is>
          <t>bajo</t>
        </is>
      </c>
      <c r="G290" s="49" t="inlineStr">
        <is>
          <t>Panorama de vision por computadora en Industria 4.0 ("this article offers an overview of computer vision, including its associated prospects, difficulties, and applications"); gemelo sólo en Keywords Plus. Valor para snowballing: bajo.</t>
        </is>
      </c>
    </row>
    <row r="291">
      <c r="A291" s="49" t="inlineStr">
        <is>
          <t>R0668</t>
        </is>
      </c>
      <c r="B291" s="49" t="n">
        <v>2025</v>
      </c>
      <c r="C291" s="49" t="inlineStr">
        <is>
          <t>Reaching new frontiers in nanoelectronics through artificial intelligence</t>
        </is>
      </c>
      <c r="D291" s="49" t="inlineStr">
        <is>
          <t>FRONTIERS IN NANOTECHNOLOGY</t>
        </is>
      </c>
      <c r="E291" s="49" t="inlineStr">
        <is>
          <t>10.3389/fnano.2025.1627210</t>
        </is>
      </c>
      <c r="F291" s="49" t="inlineStr">
        <is>
          <t>bajo</t>
        </is>
      </c>
      <c r="G291" s="49" t="inlineStr">
        <is>
          <t>Perspectiva que revisa la IA en la cadena electronica ("this perspective provides a comprehensive review of current AI applications across the entire electronic supply chain"); gemelo sólo en Keywords Plus. Valor para snowballing: bajo.</t>
        </is>
      </c>
    </row>
    <row r="292">
      <c r="A292" s="49" t="inlineStr">
        <is>
          <t>R0670</t>
        </is>
      </c>
      <c r="B292" s="49" t="n">
        <v>2025</v>
      </c>
      <c r="C292" s="49" t="inlineStr">
        <is>
          <t>Innovative Technologies Reshaping Meat Industrialization: Challenges and Opportunities in the Intelligent Era</t>
        </is>
      </c>
      <c r="D292" s="49" t="inlineStr">
        <is>
          <t>FOODS</t>
        </is>
      </c>
      <c r="E292" s="49" t="inlineStr">
        <is>
          <t>10.3390/foods14132230</t>
        </is>
      </c>
      <c r="F292" s="49" t="inlineStr">
        <is>
          <t>bajo</t>
        </is>
      </c>
      <c r="G292" s="49" t="inlineStr">
        <is>
          <t>Revision sistematica de tecnologias en la industria carnica ("This paper provides a systematic review of key technological innovations in this field"); gemelos sólo en Keywords Plus. Valor para snowballing: bajo.</t>
        </is>
      </c>
    </row>
    <row r="293">
      <c r="A293" s="49" t="inlineStr">
        <is>
          <t>R0677</t>
        </is>
      </c>
      <c r="B293" s="49" t="n">
        <v>2024</v>
      </c>
      <c r="C293" s="49" t="inlineStr">
        <is>
          <t>Industrial internet of things: What does it mean for the bioprocess industries?</t>
        </is>
      </c>
      <c r="D293" s="49" t="inlineStr">
        <is>
          <t>Biochemical Engineering Journal</t>
        </is>
      </c>
      <c r="E293" s="49" t="inlineStr">
        <is>
          <t>10.1016/j.bej.2023.109122</t>
        </is>
      </c>
      <c r="F293" s="49" t="inlineStr">
        <is>
          <t>bajo</t>
        </is>
      </c>
      <c r="G293" s="49" t="inlineStr">
        <is>
          <t>Revision (Doc type Review) del IIoT en bioprocesos ("provides real-time insight into the operations of any industrial process from product conceptualisation, process optimisation and manufacturing to the supply chain"); gemelo sólo como palabra clave de indice. Valor para snowballing: bajo.</t>
        </is>
      </c>
    </row>
    <row r="294">
      <c r="A294" s="49" t="inlineStr">
        <is>
          <t>R0678</t>
        </is>
      </c>
      <c r="B294" s="49" t="n">
        <v>2024</v>
      </c>
      <c r="C294" s="49" t="inlineStr">
        <is>
          <t>Modern State-of-the-Art Generative AI Uses and Practices for Product Innovation, Marketing Strategies, and Enhanced Customer Experience</t>
        </is>
      </c>
      <c r="D294" s="49" t="inlineStr">
        <is>
          <t>Proceedings - 2024 7th Asia Conference on Cognitive Engineering and Intelligent lnteraction, CEII 2024</t>
        </is>
      </c>
      <c r="E294" s="49" t="inlineStr">
        <is>
          <t>10.1109/ceii65291.2024.00058</t>
        </is>
      </c>
      <c r="F294" s="49" t="inlineStr">
        <is>
          <t>bajo</t>
        </is>
      </c>
      <c r="G294" s="49" t="inlineStr">
        <is>
          <t>Panorama de usos de IA generativa ("We help build the current status quo overall picture of GAI utilization areas, from product design to marketing and user experience"); el gemelo sólo como agente de atencion ("digital (twin) customer service agents"), no modelo de operaciones (C6). Valor para snowballing: bajo.</t>
        </is>
      </c>
    </row>
    <row r="295">
      <c r="A295" s="49" t="inlineStr">
        <is>
          <t>R0679</t>
        </is>
      </c>
      <c r="B295" s="49" t="n">
        <v>2024</v>
      </c>
      <c r="C295" s="49" t="inlineStr">
        <is>
          <t>Emerging Opportunities in Distributed Manufacturing: Results and Analysis of an Expert Study</t>
        </is>
      </c>
      <c r="D295" s="49" t="inlineStr">
        <is>
          <t>INTEGRATING MATERIALS AND MANUFACTURING INNOVATION</t>
        </is>
      </c>
      <c r="E295" s="49" t="inlineStr">
        <is>
          <t>10.1007/s40192-024-00365-3</t>
        </is>
      </c>
      <c r="F295" s="49" t="inlineStr">
        <is>
          <t>bajo</t>
        </is>
      </c>
      <c r="G295" s="49" t="inlineStr">
        <is>
          <t>Sintesis de un taller de expertos sobre manufactura distribuida ("briefly summarizing discussions at the ERVA-sponsored workshop held in 2023"); gemelo sólo en Keywords Plus. Valor para snowballing: bajo.</t>
        </is>
      </c>
    </row>
    <row r="296">
      <c r="A296" s="49" t="inlineStr">
        <is>
          <t>R0680</t>
        </is>
      </c>
      <c r="B296" s="49" t="n">
        <v>2024</v>
      </c>
      <c r="C296" s="49" t="inlineStr">
        <is>
          <t>Are metaverse applications in quality 4.0 enablers of manufacturing resiliency? An exploratory review under disruption impressions and future research</t>
        </is>
      </c>
      <c r="D296" s="49" t="inlineStr">
        <is>
          <t>TQM JOURNAL</t>
        </is>
      </c>
      <c r="E296" s="49" t="inlineStr">
        <is>
          <t>10.1108/tqm-06-2023-0181</t>
        </is>
      </c>
      <c r="F296" s="49" t="inlineStr">
        <is>
          <t>bajo</t>
        </is>
      </c>
      <c r="G296" s="49" t="inlineStr">
        <is>
          <t>Revision sistematica de metaverso y calidad 4.0 ("The paper is structured as a comprehensive systematic literature review (SLR)"); gemelo sólo en Keywords Plus. Valor para snowballing: bajo.</t>
        </is>
      </c>
    </row>
    <row r="297">
      <c r="A297" s="49" t="inlineStr">
        <is>
          <t>R0681</t>
        </is>
      </c>
      <c r="B297" s="49" t="n">
        <v>2023</v>
      </c>
      <c r="C297" s="49" t="inlineStr">
        <is>
          <t>Drone Transportation System: Systematic Review of Security Dynamics for Smart Mobility</t>
        </is>
      </c>
      <c r="D297" s="49" t="inlineStr">
        <is>
          <t>IEEE Internet of Things Journal</t>
        </is>
      </c>
      <c r="E297" s="49" t="inlineStr">
        <is>
          <t>10.1109/jiot.2023.3266843</t>
        </is>
      </c>
      <c r="F297" s="49" t="inlineStr">
        <is>
          <t>bajo</t>
        </is>
      </c>
      <c r="G297" s="49" t="inlineStr">
        <is>
          <t>Revision sistematica PRISMA-SPIDER de seguridad en transporte con drones ("PRISMA-SPIDER methodology was adopted for the systematic review of 133 articles"); gemelo sólo como palabra clave. Valor para snowballing: bajo.</t>
        </is>
      </c>
    </row>
    <row r="298">
      <c r="A298" s="49" t="inlineStr">
        <is>
          <t>R0684</t>
        </is>
      </c>
      <c r="B298" s="49" t="n">
        <v>2023</v>
      </c>
      <c r="C298" s="49" t="inlineStr">
        <is>
          <t>The paradigm shift from industry 4.0 implementation to industry 5.0 readiness</t>
        </is>
      </c>
      <c r="D298" s="49" t="inlineStr">
        <is>
          <t>Applied Human Factors and Ergonomics International</t>
        </is>
      </c>
      <c r="E298" s="49" t="inlineStr">
        <is>
          <t>10.54941/ahfe1004296</t>
        </is>
      </c>
      <c r="F298" s="49" t="inlineStr">
        <is>
          <t>bajo</t>
        </is>
      </c>
      <c r="G298" s="49" t="inlineStr">
        <is>
          <t>Analisis basado en literatura de Industria 4.0 y 5.0 ("It subsequently conducts a literature-based analysis"); gemelo sólo como palabra clave. Valor para snowballing: bajo.</t>
        </is>
      </c>
    </row>
    <row r="299">
      <c r="A299" s="49" t="inlineStr">
        <is>
          <t>R0685</t>
        </is>
      </c>
      <c r="B299" s="49" t="n">
        <v>2023</v>
      </c>
      <c r="C299" s="49" t="inlineStr">
        <is>
          <t>Just Keep Rolling?—An Encompassing Review towards Accelerated Vaccine Product Life Cycles</t>
        </is>
      </c>
      <c r="D299" s="49" t="inlineStr">
        <is>
          <t>Vaccines</t>
        </is>
      </c>
      <c r="E299" s="49" t="inlineStr">
        <is>
          <t>10.3390/vaccines11081287</t>
        </is>
      </c>
      <c r="F299" s="49" t="inlineStr">
        <is>
          <t>bajo</t>
        </is>
      </c>
      <c r="G299" s="49" t="inlineStr">
        <is>
          <t>Revision (Doc type Review) sobre ciclos de vida de vacunas ("This review aims to emphasize recent approaches for the targeted rapid adaptation and production of vaccines"); gemelo sólo como palabra clave. Valor para snowballing: bajo.</t>
        </is>
      </c>
    </row>
    <row r="300">
      <c r="A300" s="49" t="inlineStr">
        <is>
          <t>R0688</t>
        </is>
      </c>
      <c r="B300" s="49" t="n">
        <v>2023</v>
      </c>
      <c r="C300" s="49" t="inlineStr">
        <is>
          <t>Future directions in regulatory affairs</t>
        </is>
      </c>
      <c r="D300" s="49" t="inlineStr">
        <is>
          <t>Frontiers in Medicine</t>
        </is>
      </c>
      <c r="E300" s="49" t="inlineStr">
        <is>
          <t>10.3389/fmed.2022.1082384</t>
        </is>
      </c>
      <c r="F300" s="49" t="inlineStr">
        <is>
          <t>bajo</t>
        </is>
      </c>
      <c r="G300" s="49" t="inlineStr">
        <is>
          <t>Revision (Doc type Review) de tendencias en asuntos regulatorios ("This article will discuss the various trends that are impacting the development of new therapies"); gemelo sólo como palabra clave de indice. Valor para snowballing: bajo.</t>
        </is>
      </c>
    </row>
    <row r="301">
      <c r="A301" s="49" t="inlineStr">
        <is>
          <t>R0691</t>
        </is>
      </c>
      <c r="B301" s="49" t="n">
        <v>2023</v>
      </c>
      <c r="C301" s="49" t="inlineStr">
        <is>
          <t>Advances in intelligent detection, monitoring, and control for preserving the quality of fresh fruits and vegetables in the supply chain</t>
        </is>
      </c>
      <c r="D301" s="49" t="inlineStr">
        <is>
          <t>FOOD BIOSCIENCE</t>
        </is>
      </c>
      <c r="E301" s="49" t="inlineStr">
        <is>
          <t>10.1016/j.fbio.2023.103350</t>
        </is>
      </c>
      <c r="F301" s="49" t="inlineStr">
        <is>
          <t>bajo</t>
        </is>
      </c>
      <c r="G301" s="49" t="inlineStr">
        <is>
          <t>Revision de deteccion y control inteligente en la cadena de frutas y verduras ("In this review, we sorted out and compiled data-driven networks and technical equipment reports"); gemelos sólo en Keywords Plus. Valor para snowballing: bajo.</t>
        </is>
      </c>
    </row>
    <row r="302">
      <c r="A302" s="49" t="inlineStr">
        <is>
          <t>R0692</t>
        </is>
      </c>
      <c r="B302" s="49" t="n">
        <v>2023</v>
      </c>
      <c r="C302" s="49" t="inlineStr">
        <is>
          <t>A Survey and Perspective on Industrial Cyber-Physical Systems (ICPS): From ICPS to AI-Augmented ICPS</t>
        </is>
      </c>
      <c r="D302" s="49" t="inlineStr">
        <is>
          <t>IEEE TRANSACTIONS ON INDUSTRIAL CYBER-PHYSICAL SYSTEMS</t>
        </is>
      </c>
      <c r="E302" s="49" t="inlineStr">
        <is>
          <t>10.1109/ticps.2023.3323600</t>
        </is>
      </c>
      <c r="F302" s="49" t="inlineStr">
        <is>
          <t>bajo</t>
        </is>
      </c>
      <c r="G302" s="49" t="inlineStr">
        <is>
          <t>Encuesta y perspectiva de sistemas ciberfisicos industriales aumentados con IA ("The study conducts a survey, focusing on the components and interactions of AICPS"); gemelo sólo en Keywords Plus. Valor para snowballing: bajo.</t>
        </is>
      </c>
    </row>
    <row r="303">
      <c r="A303" s="49" t="inlineStr">
        <is>
          <t>R0693</t>
        </is>
      </c>
      <c r="B303" s="49" t="n">
        <v>2023</v>
      </c>
      <c r="C303" s="49" t="inlineStr">
        <is>
          <t>A maturity model for the autonomy of manufacturing systems</t>
        </is>
      </c>
      <c r="D303" s="49" t="inlineStr">
        <is>
          <t>INTERNATIONAL JOURNAL OF ADVANCED MANUFACTURING TECHNOLOGY</t>
        </is>
      </c>
      <c r="E303" s="49" t="inlineStr">
        <is>
          <t>10.1007/s00170-023-10910-7</t>
        </is>
      </c>
      <c r="F303" s="49" t="inlineStr">
        <is>
          <t>bajo</t>
        </is>
      </c>
      <c r="G303" s="49" t="inlineStr">
        <is>
          <t>Modelo de madurez de autonomia en manufactura derivado de revision ("With a comprehensive literature review, this paper provides a definition of autonomy in the manufacturing context"); gemelo sólo como palabra clave (C3 y C4). Valor para snowballing: bajo.</t>
        </is>
      </c>
    </row>
    <row r="304">
      <c r="A304" s="49" t="inlineStr">
        <is>
          <t>R0694</t>
        </is>
      </c>
      <c r="B304" s="49" t="n">
        <v>2023</v>
      </c>
      <c r="C304" s="49" t="inlineStr">
        <is>
          <t>Challenges of modeling and analysis in cybermanufacturing: a review from a machine learning and computation perspective</t>
        </is>
      </c>
      <c r="D304" s="49" t="inlineStr">
        <is>
          <t>JOURNAL OF INTELLIGENT MANUFACTURING</t>
        </is>
      </c>
      <c r="E304" s="49" t="inlineStr">
        <is>
          <t>10.1007/s10845-021-01817-9</t>
        </is>
      </c>
      <c r="F304" s="49" t="inlineStr">
        <is>
          <t>bajo</t>
        </is>
      </c>
      <c r="G304" s="49" t="inlineStr">
        <is>
          <t>Revision (Doc type Review) de modelado y analisis en cibermanufactura ("we review the fundamental challenges with respect to modeling and analysis in cybermanufacturing"); gemelo y cadena sólo en Keywords Plus. Valor para snowballing: bajo.</t>
        </is>
      </c>
    </row>
    <row r="305">
      <c r="A305" s="49" t="inlineStr">
        <is>
          <t>R0696</t>
        </is>
      </c>
      <c r="B305" s="49" t="n">
        <v>2022</v>
      </c>
      <c r="C305" s="49" t="inlineStr">
        <is>
          <t>The impact of digitalization on supply chain management: A literature review</t>
        </is>
      </c>
      <c r="D305" s="49" t="inlineStr">
        <is>
          <t>ACM International Conference Proceeding Series</t>
        </is>
      </c>
      <c r="E305" s="49" t="inlineStr">
        <is>
          <t>10.1145/3551690.3551702</t>
        </is>
      </c>
      <c r="F305" s="49" t="inlineStr">
        <is>
          <t>bajo</t>
        </is>
      </c>
      <c r="G305" s="49" t="inlineStr">
        <is>
          <t>Revision de literatura sobre digitalizacion en gestion de cadena ("The impact of digitalization on supply chain management: A literature review"); gemelo sólo como palabra clave ("Digital twin Procurement"). Valor para snowballing: bajo.</t>
        </is>
      </c>
    </row>
    <row r="306">
      <c r="A306" s="49" t="inlineStr">
        <is>
          <t>R0697</t>
        </is>
      </c>
      <c r="B306" s="49" t="n">
        <v>2022</v>
      </c>
      <c r="C306" s="49" t="inlineStr">
        <is>
          <t>Perspectives on the future of manufacturing within the Industry 4.0 era</t>
        </is>
      </c>
      <c r="D306" s="49" t="inlineStr">
        <is>
          <t>PRODUCTION PLANNING &amp; CONTROL</t>
        </is>
      </c>
      <c r="E306" s="49" t="inlineStr">
        <is>
          <t>10.1080/09537287.2020.1810762</t>
        </is>
      </c>
      <c r="F306" s="49" t="inlineStr">
        <is>
          <t>bajo</t>
        </is>
      </c>
      <c r="G306" s="49" t="inlineStr">
        <is>
          <t>Evaluacion critica de temas de Industria 4.0 ("presenting a critical evaluation of the core topics impacting the next generation of manufacturers"); gemelo y cadena sólo en Keywords Plus. Valor para snowballing: bajo.</t>
        </is>
      </c>
    </row>
    <row r="307">
      <c r="A307" s="49" t="inlineStr">
        <is>
          <t>R0698</t>
        </is>
      </c>
      <c r="B307" s="49" t="n">
        <v>2022</v>
      </c>
      <c r="C307" s="49" t="inlineStr">
        <is>
          <t>A review of industrial big data for decision making in intelligent manufacturing</t>
        </is>
      </c>
      <c r="D307" s="49" t="inlineStr">
        <is>
          <t>ENGINEERING SCIENCE AND TECHNOLOGY-AN INTERNATIONAL JOURNAL-JESTECH</t>
        </is>
      </c>
      <c r="E307" s="49" t="inlineStr">
        <is>
          <t>10.1016/j.jestch.2021.06.001</t>
        </is>
      </c>
      <c r="F307" s="49" t="inlineStr">
        <is>
          <t>bajo</t>
        </is>
      </c>
      <c r="G307" s="49" t="inlineStr">
        <is>
          <t>Revision (Doc type Review) de big data industrial para decisiones ("This paper provides a theoretical analysis basis for big data-driven technology"); gemelo sólo en Keywords Plus. Valor para snowballing: bajo.</t>
        </is>
      </c>
    </row>
    <row r="308">
      <c r="A308" s="49" t="inlineStr">
        <is>
          <t>R0699</t>
        </is>
      </c>
      <c r="B308" s="49" t="n">
        <v>2022</v>
      </c>
      <c r="C308" s="49" t="inlineStr">
        <is>
          <t>Development of a multidimensional conceptual model for job shop smart manufacturing scheduling from the Industry 4.0 perspective</t>
        </is>
      </c>
      <c r="D308" s="49" t="inlineStr">
        <is>
          <t>JOURNAL OF MANUFACTURING SYSTEMS</t>
        </is>
      </c>
      <c r="E308" s="49" t="inlineStr">
        <is>
          <t>10.1016/j.jmsy.2022.03.011</t>
        </is>
      </c>
      <c r="F308" s="49" t="inlineStr">
        <is>
          <t>bajo</t>
        </is>
      </c>
      <c r="G308" s="49" t="inlineStr">
        <is>
          <t>Modelo conceptual derivado de revision ("Based on a scientific literature review in the conceptual domain defined by smart manufacturing scheduling (SMS), this article identifies the benefits and limitations of the reviewed contributions") con ontologia, agentes y aprendizaje por refuerzo profundo; C3 manda; el gemelo sólo como palabra clave y sin encuadre de cadena. Valor para snowballing: bajo.</t>
        </is>
      </c>
    </row>
    <row r="309">
      <c r="A309" s="49" t="inlineStr">
        <is>
          <t>R0700</t>
        </is>
      </c>
      <c r="B309" s="49" t="n">
        <v>2022</v>
      </c>
      <c r="C309" s="49" t="inlineStr">
        <is>
          <t>The Nexus of Industry 4.0 and Circular Procurement: A Systematic Literature Review and Research Agenda</t>
        </is>
      </c>
      <c r="D309" s="49" t="inlineStr">
        <is>
          <t>SUSTAINABILITY</t>
        </is>
      </c>
      <c r="E309" s="49" t="inlineStr">
        <is>
          <t>10.3390/su142315633</t>
        </is>
      </c>
      <c r="F309" s="49" t="inlineStr">
        <is>
          <t>bajo</t>
        </is>
      </c>
      <c r="G309" s="49" t="inlineStr">
        <is>
          <t>Revision sistematica de Industria 4.0 y compras circulares ("systematically reviewing the existing literature about the applications of Industry 4.0 technologies in CP"); gemelos sólo en Keywords Plus. Valor para snowballing: bajo.</t>
        </is>
      </c>
    </row>
    <row r="310">
      <c r="A310" s="49" t="inlineStr">
        <is>
          <t>R0701</t>
        </is>
      </c>
      <c r="B310" s="49" t="n">
        <v>2021</v>
      </c>
      <c r="C310" s="49" t="inlineStr">
        <is>
          <t>Sustainable, smart, and sensing technologies for cyber-physical manufacturing systems: A systematic literature review</t>
        </is>
      </c>
      <c r="D310" s="49" t="inlineStr">
        <is>
          <t>Sustainability (Switzerland)</t>
        </is>
      </c>
      <c r="E310" s="49" t="inlineStr">
        <is>
          <t>10.3390/su13105495</t>
        </is>
      </c>
      <c r="F310" s="49" t="inlineStr">
        <is>
          <t>bajo</t>
        </is>
      </c>
      <c r="G310" s="49" t="inlineStr">
        <is>
          <t>Revision sistematica cuantitativa de tecnologias sensoras en sistemas ciberfisicos de manufactura ("a quantitative literature review of the Web of Science, Scopus, and ProQuest databases was performed"); gemelo sólo como palabra clave. Valor para snowballing: bajo.</t>
        </is>
      </c>
    </row>
    <row r="311">
      <c r="A311" s="49" t="inlineStr">
        <is>
          <t>R0703</t>
        </is>
      </c>
      <c r="B311" s="49" t="n">
        <v>2021</v>
      </c>
      <c r="C311" s="49" t="inlineStr">
        <is>
          <t>Current Theoretical and Applied Research on Energy- and Resource-Saving Highly Reliable Chemical Process Systems Engineering</t>
        </is>
      </c>
      <c r="D311" s="49" t="inlineStr">
        <is>
          <t>Theoretical Foundations of Chemical Engineering</t>
        </is>
      </c>
      <c r="E311" s="49" t="inlineStr">
        <is>
          <t>10.1134/s004057952104031x</t>
        </is>
      </c>
      <c r="F311" s="49" t="inlineStr">
        <is>
          <t>bajo</t>
        </is>
      </c>
      <c r="G311" s="49" t="inlineStr">
        <is>
          <t>Panorama de la ingenieria de sistemas de procesos quimicos ("is briefly surveyed"); gemelo, IA y logistica sólo como palabras clave. Valor para snowballing: bajo.</t>
        </is>
      </c>
    </row>
    <row r="312">
      <c r="A312" s="49" t="inlineStr">
        <is>
          <t>R0707</t>
        </is>
      </c>
      <c r="B312" s="49" t="n">
        <v>2021</v>
      </c>
      <c r="C312" s="49" t="inlineStr">
        <is>
          <t>The Current Status and Developing Trends of Industry 4.0: a Review</t>
        </is>
      </c>
      <c r="D312" s="49" t="inlineStr">
        <is>
          <t>INFORMATION SYSTEMS FRONTIERS</t>
        </is>
      </c>
      <c r="E312" s="49" t="inlineStr">
        <is>
          <t>10.1007/s10796-021-10221-w</t>
        </is>
      </c>
      <c r="F312" s="49" t="inlineStr">
        <is>
          <t>bajo</t>
        </is>
      </c>
      <c r="G312" s="49" t="inlineStr">
        <is>
          <t>Revision (Doc type Review) del estado de Industria 4.0 ("This paper conducts a survey trying to depict an overview of Industry 4.0"); gemelo sólo en Keywords Plus. Valor para snowballing: bajo.</t>
        </is>
      </c>
    </row>
    <row r="313">
      <c r="A313" s="49" t="inlineStr">
        <is>
          <t>R0708</t>
        </is>
      </c>
      <c r="B313" s="49" t="n">
        <v>2021</v>
      </c>
      <c r="C313" s="49" t="inlineStr">
        <is>
          <t>From Industry 4.0 to Agriculture 4.0: Current Status, Enabling Technologies, and Research Challenges</t>
        </is>
      </c>
      <c r="D313" s="49" t="inlineStr">
        <is>
          <t>IEEE TRANSACTIONS ON INDUSTRIAL INFORMATICS</t>
        </is>
      </c>
      <c r="E313" s="49" t="inlineStr">
        <is>
          <t>10.1109/tii.2020.3003910</t>
        </is>
      </c>
      <c r="F313" s="49" t="inlineStr">
        <is>
          <t>bajo</t>
        </is>
      </c>
      <c r="G313" s="49" t="inlineStr">
        <is>
          <t>Revision de Agricultura 4.0 ("we review the current status of industrial agriculture"); gemelo sólo en Keywords Plus. Valor para snowballing: bajo.</t>
        </is>
      </c>
    </row>
    <row r="314">
      <c r="A314" s="49" t="inlineStr">
        <is>
          <t>R0709</t>
        </is>
      </c>
      <c r="B314" s="49" t="n">
        <v>2021</v>
      </c>
      <c r="C314" s="49" t="inlineStr">
        <is>
          <t>A Systematic Literature Review of Industry 4.0 Technologies within Medical Device Manufacturing</t>
        </is>
      </c>
      <c r="D314" s="49" t="inlineStr">
        <is>
          <t>FUTURE INTERNET</t>
        </is>
      </c>
      <c r="E314" s="49" t="inlineStr">
        <is>
          <t>10.3390/fi13100264</t>
        </is>
      </c>
      <c r="F314" s="49" t="inlineStr">
        <is>
          <t>bajo</t>
        </is>
      </c>
      <c r="G314" s="49" t="inlineStr">
        <is>
          <t>Revision sistematica de Industria 4.0 en fabricacion de dispositivos medicos ("conducting a systematic literature review of 104 articles"); gemelo sólo en Keywords Plus. Valor para snowballing: bajo.</t>
        </is>
      </c>
    </row>
    <row r="315">
      <c r="A315" s="49" t="inlineStr">
        <is>
          <t>R0710</t>
        </is>
      </c>
      <c r="B315" s="49" t="n">
        <v>2020</v>
      </c>
      <c r="C315" s="49" t="inlineStr">
        <is>
          <t>Context Aware Control Systems: An Engineering Applications Perspective</t>
        </is>
      </c>
      <c r="D315" s="49" t="inlineStr">
        <is>
          <t>IEEE Access</t>
        </is>
      </c>
      <c r="E315" s="49" t="inlineStr">
        <is>
          <t>10.1109/access.2020.3041357</t>
        </is>
      </c>
      <c r="F315" s="49" t="inlineStr">
        <is>
          <t>bajo</t>
        </is>
      </c>
      <c r="G315" s="49" t="inlineStr">
        <is>
          <t>Panorama de sistemas de control conscientes del contexto ("This article presents a concise overview of applications where context aware systems and control methodologies are relevant"); gemelo sólo como palabra clave y logistica como reto social. Valor para snowballing: bajo.</t>
        </is>
      </c>
    </row>
  </sheetData>
  <autoFilter ref="A1:G3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8" customWidth="1" style="17" min="1" max="1"/>
    <col width="6" customWidth="1" style="17" min="2" max="2"/>
    <col width="60" customWidth="1" style="17" min="3" max="3"/>
    <col width="30" customWidth="1" style="17" min="4" max="4"/>
    <col width="28" customWidth="1" style="17" min="5" max="5"/>
    <col width="8" customWidth="1" style="17" min="6" max="6"/>
    <col width="90" customWidth="1" style="17" min="7" max="7"/>
  </cols>
  <sheetData>
    <row r="1">
      <c r="A1" s="48" t="inlineStr">
        <is>
          <t>ID</t>
        </is>
      </c>
      <c r="B1" s="48" t="inlineStr">
        <is>
          <t>Year</t>
        </is>
      </c>
      <c r="C1" s="48" t="inlineStr">
        <is>
          <t>Title</t>
        </is>
      </c>
      <c r="D1" s="48" t="inlineStr">
        <is>
          <t>Venue</t>
        </is>
      </c>
      <c r="E1" s="48" t="inlineStr">
        <is>
          <t>DOI</t>
        </is>
      </c>
      <c r="F1" s="48" t="inlineStr">
        <is>
          <t>Value</t>
        </is>
      </c>
      <c r="G1" s="48" t="inlineStr">
        <is>
          <t>Screening note</t>
        </is>
      </c>
    </row>
    <row r="2">
      <c r="A2" s="49" t="inlineStr">
        <is>
          <t>R0111</t>
        </is>
      </c>
      <c r="B2" s="49" t="n">
        <v>2025</v>
      </c>
      <c r="C2" s="49" t="inlineStr">
        <is>
          <t>Real-Time Assessment and Dynamic Optimization Model for Supply Chain Resilience Based on Digital Twins</t>
        </is>
      </c>
      <c r="D2" s="49" t="inlineStr">
        <is>
          <t>Proceedings - 2025 3rd International Conference on Logistics Engineering, Supply Chain and Digital Transformation, LESCDT 2025</t>
        </is>
      </c>
      <c r="E2" s="49" t="inlineStr">
        <is>
          <t>10.1109/lescdt66758.2025.00025</t>
        </is>
      </c>
      <c r="F2" s="49" t="inlineStr">
        <is>
          <t>alto</t>
        </is>
      </c>
      <c r="G2" s="49" t="inlineStr">
        <is>
          <t>[Antecedente C8: alto] Gemelo de cadena para evaluación de resiliencia con optimización multiobjetivo ("a multi-objective optimization model integrates resilience enhancement goals with engineering constraints"); la IA sólo en antecedentes ("The continuous evolution of artificial intelligence, intelligent algorithms, and data-driven modeling technologies provides crucial technical support"), sin método de IA declarado. Límite: candidato si quieres más sensibilidad.</t>
        </is>
      </c>
    </row>
    <row r="3">
      <c r="A3" s="49" t="inlineStr">
        <is>
          <t>R0112</t>
        </is>
      </c>
      <c r="B3" s="49" t="n">
        <v>2025</v>
      </c>
      <c r="C3" s="49" t="inlineStr">
        <is>
          <t>Streamlining Real-Time Sensor Data Collection and Querying Processes From Environmental Parameters in a Food Cold Store</t>
        </is>
      </c>
      <c r="D3" s="49" t="inlineStr">
        <is>
          <t>IST-Africa</t>
        </is>
      </c>
      <c r="E3" s="49" t="inlineStr">
        <is>
          <t>10.23919/ist-africa67297.2025.11060485</t>
        </is>
      </c>
      <c r="F3" s="49" t="inlineStr">
        <is>
          <t>alto</t>
        </is>
      </c>
      <c r="G3" s="49" t="inlineStr">
        <is>
          <t>[Antecedente C8: alto] Gemelo (Actor Model) de sensores de cámara fría en "Cold Chain Logistics"; el ML sólo como extensión futura: "with potential extensions to refrigerated transportation, predictive analysis and machine learning applications".</t>
        </is>
      </c>
    </row>
    <row r="4">
      <c r="A4" s="49" t="inlineStr">
        <is>
          <t>R0220</t>
        </is>
      </c>
      <c r="B4" s="49" t="n">
        <v>2025</v>
      </c>
      <c r="C4" s="49" t="inlineStr">
        <is>
          <t>AGV Vehicle Dynamics Optimization in Automated Logistics Warehousing Systems</t>
        </is>
      </c>
      <c r="D4" s="49" t="inlineStr">
        <is>
          <t>2025 11th International Symposium on Sensors, Mechatronics and Automation System, ISSMAS 2025</t>
        </is>
      </c>
      <c r="E4" s="49" t="inlineStr">
        <is>
          <t>10.1109/issmas65783.2025.11102937</t>
        </is>
      </c>
      <c r="F4" s="49" t="inlineStr">
        <is>
          <t>alto</t>
        </is>
      </c>
      <c r="G4" s="49" t="inlineStr">
        <is>
          <t>[Antecedente C8: alto] Optimización dinámica de AGV en almacén logístico automatizado con módulo de depuración virtual por gemelo; control (PID adaptativo, MPC) sin método de IA, y el aprendizaje por refuerzo sólo como futuro ("Our future research should focus on breaking through adaptive control strategies based on deep reinforcement learning").</t>
        </is>
      </c>
    </row>
    <row r="5">
      <c r="A5" s="49" t="inlineStr">
        <is>
          <t>R0235</t>
        </is>
      </c>
      <c r="B5" s="49" t="n">
        <v>2024</v>
      </c>
      <c r="C5" s="49" t="inlineStr">
        <is>
          <t>PORT MANAGEMENT DIGITAL TWIN AND CONTROL TOWER INTEGRATION: AN APPROACH TO SUPPORT REAL-TIME DECISION MAKING</t>
        </is>
      </c>
      <c r="D5" s="49" t="inlineStr">
        <is>
          <t>Proceedings - Winter Simulation Conference</t>
        </is>
      </c>
      <c r="E5" s="49" t="inlineStr">
        <is>
          <t>10.1109/wsc63780.2024.10838965</t>
        </is>
      </c>
      <c r="F5" s="49" t="inlineStr">
        <is>
          <t>alto</t>
        </is>
      </c>
      <c r="G5" s="49" t="inlineStr">
        <is>
          <t>[Antecedente C8: alto] Gemelo en tiempo real de puerto brasileño con torre de control y simulación de eventos discretos; el ML sólo como desarrollo futuro ("Future development lies in enhancing the predictive analytics capabilities of the model by leveraging machine learning algorithms").</t>
        </is>
      </c>
    </row>
    <row r="6">
      <c r="A6" s="49" t="inlineStr">
        <is>
          <t>R0300</t>
        </is>
      </c>
      <c r="B6" s="49" t="n">
        <v>2023</v>
      </c>
      <c r="C6" s="49" t="inlineStr">
        <is>
          <t>Design and Implementation of a Digital Twin Testbed for Smart Warehouse Operations</t>
        </is>
      </c>
      <c r="D6" s="49" t="inlineStr">
        <is>
          <t>SCC 2023 - IEEE 3rd International Conference on Signal, Control and Communication</t>
        </is>
      </c>
      <c r="E6" s="49" t="inlineStr">
        <is>
          <t>10.1109/scc59637.2023.10527573</t>
        </is>
      </c>
      <c r="F6" s="49" t="inlineStr">
        <is>
          <t>alto</t>
        </is>
      </c>
      <c r="G6" s="49" t="inlineStr">
        <is>
          <t>[Antecedente C8: alto] Banco de pruebas de gemelo para almacén inteligente (RFID, RTLS, AnyLogic); la IA sólo como preparación futura ("preparing for the integration of Artificial Intelligence (AI) and blockchain").</t>
        </is>
      </c>
    </row>
    <row r="7">
      <c r="A7" s="49" t="inlineStr">
        <is>
          <t>R0314</t>
        </is>
      </c>
      <c r="B7" s="49" t="n">
        <v>2022</v>
      </c>
      <c r="C7" s="49" t="inlineStr">
        <is>
          <t>Framework for planning and implementation of Digital Process Twins in the field of internal logistics</t>
        </is>
      </c>
      <c r="D7" s="49" t="inlineStr">
        <is>
          <t>IFAC-PapersOnLine</t>
        </is>
      </c>
      <c r="E7" s="49" t="inlineStr">
        <is>
          <t>10.1016/j.ifacol.2022.10.038</t>
        </is>
      </c>
      <c r="F7" s="49" t="inlineStr">
        <is>
          <t>alto</t>
        </is>
      </c>
      <c r="G7" s="49" t="inlineStr">
        <is>
          <t>[Antecedente C8: alto] Marco de gemelos de proceso para logística interna, probado con un gemelo para "on-time delivery optimization"; la IA sólo como implementación futura ("Finally, the future implementation of additional functions containing Artificial Intelligence is discussed").</t>
        </is>
      </c>
    </row>
    <row r="8">
      <c r="A8" s="49" t="inlineStr">
        <is>
          <t>R0373</t>
        </is>
      </c>
      <c r="B8" s="49" t="n">
        <v>2023</v>
      </c>
      <c r="C8" s="49" t="inlineStr">
        <is>
          <t>Modeling Risk Prioritization of a Manufacturing Supply Chain using Discrete Event Simulation</t>
        </is>
      </c>
      <c r="D8" s="49" t="inlineStr">
        <is>
          <t>Proceedings - Winter Simulation Conference</t>
        </is>
      </c>
      <c r="E8" s="49" t="inlineStr">
        <is>
          <t>10.1109/wsc60868.2023.10407643</t>
        </is>
      </c>
      <c r="F8" s="49" t="inlineStr">
        <is>
          <t>alto</t>
        </is>
      </c>
      <c r="G8" s="49" t="inlineStr">
        <is>
          <t>Modelo de simulacion de eventos discretos de una cadena manufacturera sueca para priorizar riesgos ("we develop a discrete event simulation modelling approach to quantify the performance and risk assessment of a manufacturing supply chain in Sweden"); la IA sólo como uso futuro del modelo ("to build an artificial intelligence-enhanced predictive demonstrator model"), C8. Antecedente C8: alto (modelo digital de cadena real).</t>
        </is>
      </c>
    </row>
    <row r="9">
      <c r="A9" s="49" t="inlineStr">
        <is>
          <t>R0510</t>
        </is>
      </c>
      <c r="B9" s="49" t="n">
        <v>2026</v>
      </c>
      <c r="C9" s="49" t="inlineStr">
        <is>
          <t>Applying sequential bifurcation and feed-forward simulation to reduce the prescriptive response time of a digital twin</t>
        </is>
      </c>
      <c r="D9" s="49" t="inlineStr">
        <is>
          <t>International Journal of Production Economics</t>
        </is>
      </c>
      <c r="E9" s="49" t="inlineStr">
        <is>
          <t>10.1016/j.ijpe.2026.109912</t>
        </is>
      </c>
      <c r="F9" s="49" t="inlineStr">
        <is>
          <t>alto</t>
        </is>
      </c>
      <c r="G9" s="49" t="inlineStr">
        <is>
          <t>[Antecedente C8: alto] Bifurcacion secuencial y simulacion de eventos discretos hacia adelante para acelerar la prescripcion del gemelo en "production and logistics systems"; ningun metodo de IA o ML: "Artificial intelligence" y "Learning systems" aparecen sólo como palabras clave de indice, no en el metodo.</t>
        </is>
      </c>
    </row>
    <row r="10">
      <c r="A10" s="49" t="inlineStr">
        <is>
          <t>R0511</t>
        </is>
      </c>
      <c r="B10" s="49" t="n">
        <v>2026</v>
      </c>
      <c r="C10" s="49" t="inlineStr">
        <is>
          <t>A cloud-enabled digital twin architecture for fuzzy multi-objective optimization in cognitive supply chains</t>
        </is>
      </c>
      <c r="D10" s="49" t="inlineStr">
        <is>
          <t>Computational Management Science</t>
        </is>
      </c>
      <c r="E10" s="49" t="inlineStr">
        <is>
          <t>10.1007/s10287-026-00570-9</t>
        </is>
      </c>
      <c r="F10" s="49" t="inlineStr">
        <is>
          <t>alto</t>
        </is>
      </c>
      <c r="G10" s="49" t="inlineStr">
        <is>
          <t>[Antecedente C8: alto] Arquitectura de gemelo en la nube para "fuzzy multi-objective optimization in cognitive supply chains"; los metodos declarados son "real-time modeling, fuzzy multi-objective analysis, and a cognitive decision support engine" y "Artificial intelligence" figura sólo como ultima palabra clave de indice; la optimizacion difusa se trato antes como metaheuristica y no como IA. Sujeto a tu regla sobre R0532; el articulo compañero R0520 sí declara IA agentica. | Auditoría final 2026-09-06: Trabajo relacionado: R0520 (mismo grupo, gemelo adaptativo con IA agéntica) está incluido.</t>
        </is>
      </c>
    </row>
    <row r="11">
      <c r="A11" s="49" t="inlineStr">
        <is>
          <t>R0532</t>
        </is>
      </c>
      <c r="B11" s="49" t="n">
        <v>2026</v>
      </c>
      <c r="C11" s="49" t="inlineStr">
        <is>
          <t>Port-to-Factory Digital Twin for Malaysia's Klang Valley- Port Klang-Penang Logistics Corridor</t>
        </is>
      </c>
      <c r="D11" s="49" t="inlineStr">
        <is>
          <t>ICCMB 2026 - Proceedings of 2026 the 9th International Conference on Computers in Management and Business</t>
        </is>
      </c>
      <c r="E11" s="49" t="inlineStr">
        <is>
          <t>10.1145/3802463.3802486</t>
        </is>
      </c>
      <c r="F11" s="49" t="inlineStr">
        <is>
          <t>alto</t>
        </is>
      </c>
      <c r="G11" s="49" t="inlineStr">
        <is>
          <t>[Antecedente C8: alto] Resuelto 2026-09-06 por Rodrigo: cuando la IA sólo se menciona y no se implementa, el registro no entra. El gemelo puerto-fabrica y la cadena son centrales, pero los metodos declarados son "state estimation, predictive lead-time modelling, and discrete-event simulation" y la IA figura sólo entre las palabras clave de autor ("Artificial Intelligence; Digital twin; Supply Chain"), sin metodo. Regla para los 94 registros con IA sólo en palabras clave.</t>
        </is>
      </c>
    </row>
    <row r="12">
      <c r="A12" s="49" t="inlineStr">
        <is>
          <t>R0553</t>
        </is>
      </c>
      <c r="B12" s="49" t="n">
        <v>2025</v>
      </c>
      <c r="C12" s="49" t="inlineStr">
        <is>
          <t>Digital Twins of Conveyors in PLM Tools for Logistics 4.0</t>
        </is>
      </c>
      <c r="D12" s="49" t="inlineStr">
        <is>
          <t>IFAC-PapersOnLine</t>
        </is>
      </c>
      <c r="E12" s="49" t="inlineStr">
        <is>
          <t>10.1016/j.ifacol.2025.11.880</t>
        </is>
      </c>
      <c r="F12" s="49" t="inlineStr">
        <is>
          <t>alto</t>
        </is>
      </c>
      <c r="G12" s="49" t="inlineStr">
        <is>
          <t>Gemelos activos de dos transportadores en un entorno PLM para "Logistics 4.0", con interconexion por PLC y OPC; ningun metodo de IA: el resumen sólo menciona "intelligent sensors and dynamic line control" y "Artificial intelligence" figura como palabra clave de indice (C8). Antecedente C8: alto (logistica intra-planta).</t>
        </is>
      </c>
    </row>
    <row r="13">
      <c r="A13" s="49" t="inlineStr">
        <is>
          <t>R0565</t>
        </is>
      </c>
      <c r="B13" s="49" t="n">
        <v>2025</v>
      </c>
      <c r="C13" s="49" t="inlineStr">
        <is>
          <t>Conceptualization and validation of an intelligent digital twin design framework for supply chain risk management</t>
        </is>
      </c>
      <c r="D13" s="49" t="inlineStr">
        <is>
          <t>International Journal of Information Management Data Insights</t>
        </is>
      </c>
      <c r="E13" s="49" t="inlineStr">
        <is>
          <t>10.1016/j.jjimei.2025.100365</t>
        </is>
      </c>
      <c r="F13" s="49" t="inlineStr">
        <is>
          <t>alto</t>
        </is>
      </c>
      <c r="G13" s="49" t="inlineStr">
        <is>
          <t>Marco de diseño de gemelo inteligente para riesgo de cadena validado en automocion ("proposing and validating a comprehensive design framework in the automotive sector"); el resumen no nombra ningun metodo de IA y "Artificial intelligence" es palabra clave de autor, con la prediccion enunciada como tarea ("predicting supply chain performance and guiding supplier selection and order allocation"). Aplicacion de C8 estricta (sin excepcion para el gemelo inteligente). Antecedente C8: alto.</t>
        </is>
      </c>
    </row>
    <row r="14">
      <c r="A14" s="49" t="inlineStr">
        <is>
          <t>R0566</t>
        </is>
      </c>
      <c r="B14" s="49" t="n">
        <v>2025</v>
      </c>
      <c r="C14" s="49" t="inlineStr">
        <is>
          <t>Simulation-Based Digital Twins for Internal Transport Systems</t>
        </is>
      </c>
      <c r="D14" s="49" t="inlineStr">
        <is>
          <t>Procedia Computer Science</t>
        </is>
      </c>
      <c r="E14" s="49" t="inlineStr">
        <is>
          <t>10.1016/j.procs.2025.12.016</t>
        </is>
      </c>
      <c r="F14" s="49" t="inlineStr">
        <is>
          <t>alto</t>
        </is>
      </c>
      <c r="G14" s="49" t="inlineStr">
        <is>
          <t>Gemelo por simulacion para sistemas de transporte interno (proyecto TwinTraSys) validado en industria, con "data provision, data preparation, simulation, and decision support"; ningun metodo de IA nombrado y "Artificial intelligence" sólo como palabra clave de indice (C8). Antecedente C8: alto (logistica intra-planta).</t>
        </is>
      </c>
    </row>
    <row r="15">
      <c r="A15" s="49" t="inlineStr">
        <is>
          <t>R0577</t>
        </is>
      </c>
      <c r="B15" s="49" t="n">
        <v>2025</v>
      </c>
      <c r="C15" s="49" t="inlineStr">
        <is>
          <t>Digital Twins in Sustainment-Oriented Wargaming</t>
        </is>
      </c>
      <c r="D15" s="49" t="inlineStr">
        <is>
          <t>AIAA Science and Technology Forum and Exposition, AIAA SciTech Forum 2025</t>
        </is>
      </c>
      <c r="E15" s="49" t="inlineStr">
        <is>
          <t>10.2514/6.2025-0706</t>
        </is>
      </c>
      <c r="F15" s="49" t="inlineStr">
        <is>
          <t>alto</t>
        </is>
      </c>
      <c r="G15" s="49" t="inlineStr">
        <is>
          <t>Gemelos de aeronaves para logistica militar sostenida, con entorno de modelado y simulacion y 16,000 casos ("The effects were evaluated over 16,000 cases in a Design of Experiments"); la IA sólo como palabra clave de indice y los "surrogate models" no se declaran de aprendizaje (C8). Los modelos sustitutos son ayuda de analisis de los investigadores, no componente del gemelo (como R0523). Antecedente C8: alto.</t>
        </is>
      </c>
    </row>
    <row r="16">
      <c r="A16" s="49" t="inlineStr">
        <is>
          <t>R0627</t>
        </is>
      </c>
      <c r="B16" s="49" t="n">
        <v>2021</v>
      </c>
      <c r="C16" s="49" t="inlineStr">
        <is>
          <t>Digital Twin-Driven Approach for Smart City Logistics: The Case of Freight Parking Management</t>
        </is>
      </c>
      <c r="D16" s="49" t="inlineStr">
        <is>
          <t>IFIP Advances in Information and Communication Technology</t>
        </is>
      </c>
      <c r="E16" s="49" t="inlineStr">
        <is>
          <t>10.1007/978-3-030-85910-7_25</t>
        </is>
      </c>
      <c r="F16" s="49" t="inlineStr">
        <is>
          <t>alto</t>
        </is>
      </c>
      <c r="G16" s="49" t="inlineStr">
        <is>
          <t>Gemelo de la infraestructura de estacionamiento de carga para logistica urbana implementado en la plataforma de Orange ("The built model is then implemented into a Digital Twin experimental platform"), con grafo de propiedades y ontologias; ningun metodo de IA usado y la toma de decisiones sólo como trabajo futuro ("encourages future works on simulation of the decision-making processes"), C8. Pregunta de regla: si la representacion del conocimiento (ontologias, grafos) contara como IA, pasaria a I. Antecedente C8: alto (logistica urbana de ultima milla).</t>
        </is>
      </c>
    </row>
    <row r="17">
      <c r="A17" s="49" t="inlineStr">
        <is>
          <t>R0631</t>
        </is>
      </c>
      <c r="B17" s="49" t="n">
        <v>2020</v>
      </c>
      <c r="C17" s="49" t="inlineStr">
        <is>
          <t>Peeking into the void: Digital twins for construction site logistics</t>
        </is>
      </c>
      <c r="D17" s="49" t="inlineStr">
        <is>
          <t>Computers in Industry</t>
        </is>
      </c>
      <c r="E17" s="49" t="inlineStr">
        <is>
          <t>10.1016/j.compind.2020.103264</t>
        </is>
      </c>
      <c r="F17" s="49" t="inlineStr">
        <is>
          <t>alto</t>
        </is>
      </c>
      <c r="G17" s="49" t="inlineStr">
        <is>
          <t>Gemelo ligero de silos para la logistica de obra con un proveedor de materiales ("we design and implement a decision support system for silo dispatch and replenishment activity"); el sistema de decision no declara ningun metodo de IA y la IA es sólo palabra clave de indice (C8: herramienta implementada, metodo no nombrado). Antecedente C8: alto.</t>
        </is>
      </c>
    </row>
    <row r="18">
      <c r="A18" s="49" t="inlineStr">
        <is>
          <t>R0635</t>
        </is>
      </c>
      <c r="B18" s="49" t="n">
        <v>2018</v>
      </c>
      <c r="C18" s="49" t="inlineStr">
        <is>
          <t>Simulation-ready digital twin for realtime management of logistics systems</t>
        </is>
      </c>
      <c r="D18" s="49" t="inlineStr">
        <is>
          <t>Proceedings - 2018 IEEE International Conference on Big Data, Big Data 2018</t>
        </is>
      </c>
      <c r="E18" s="49" t="inlineStr">
        <is>
          <t>10.1109/bigdata.2018.8622160</t>
        </is>
      </c>
      <c r="F18" s="49" t="inlineStr">
        <is>
          <t>alto</t>
        </is>
      </c>
      <c r="G18" s="49" t="inlineStr">
        <is>
          <t>Arquitectura que combina "a real-time digital twin of logistics systems with simulation logic in a single (modularized) model", demostrada en dos casos industriales; el metodo es simulacion de eventos discretos y la IA sólo palabra clave de indice (C8). Antecedente C8: alto.</t>
        </is>
      </c>
    </row>
    <row r="19">
      <c r="A19" s="49" t="inlineStr">
        <is>
          <t>R0686</t>
        </is>
      </c>
      <c r="B19" s="49" t="n">
        <v>2023</v>
      </c>
      <c r="C19" s="49" t="inlineStr">
        <is>
          <t>Data-Driven Supply Chain Operations—The Pilot Case of Postal Logistics and the Cross-Border Optimization Potential</t>
        </is>
      </c>
      <c r="D19" s="49" t="inlineStr">
        <is>
          <t>Sensors</t>
        </is>
      </c>
      <c r="E19" s="49" t="inlineStr">
        <is>
          <t>10.3390/s23031624</t>
        </is>
      </c>
      <c r="F19" s="49" t="inlineStr">
        <is>
          <t>alto</t>
        </is>
      </c>
      <c r="G19" s="49" t="inlineStr">
        <is>
          <t>Piloto de logistica postal transfronteriza con representacion digital y simulacion en tiempo real ("The specifics were investigated with events processing based on digital representation"; "a novel approach of real-time simulation based on the integration of the Cognitive Advisor in postal delivery"); el Cognitive Advisor se describe sólo como "sophisticated data analytics for process optimization", sin funcion predictiva ni de aprendizaje declarada, y el ML es sólo palabra clave (C8: a diferencia de R0621, no se enuncia pronostico). Antecedente C8: alto (piloto real de ultima milla).</t>
        </is>
      </c>
    </row>
    <row r="20">
      <c r="A20" s="49" t="inlineStr">
        <is>
          <t>R0022</t>
        </is>
      </c>
      <c r="B20" s="49" t="n">
        <v>2026</v>
      </c>
      <c r="C20" s="49" t="inlineStr">
        <is>
          <t>Beyond efficiency: How process intelligence is transforming supply chain and procurement</t>
        </is>
      </c>
      <c r="D20" s="49" t="inlineStr">
        <is>
          <t>Journal of Supply Chain Management, Logistics and Procurement</t>
        </is>
      </c>
      <c r="E20" s="49" t="inlineStr">
        <is>
          <t>10.69554/jlsr4809</t>
        </is>
      </c>
      <c r="F20" s="49" t="inlineStr">
        <is>
          <t>medio</t>
        </is>
      </c>
      <c r="G20" s="49" t="inlineStr">
        <is>
          <t>[Antecedente C8: medio] Recodificado 2026-09-06 en la auditoría final (I→E3): Artículo conceptual de practicante (Henry Stewart) sobre inteligencia de procesos como gemelo vivo de las operaciones ("Process intelligence addresses this by building a living digital twin of business operations") en cadena y compras; la IA sólo como etiqueta y capacidad ("process-centric approach to enterprise AI", "automate operational decisions in real time"), sin método ni componente (C8, primera precisión; verificación independiente coincidente). Pool medio por gemelo conceptual con cadena central. | Nota original (I): Gemelo de procesos como núcleo ("Process intelligence addresses this by building a living digital twin of business operations") con "process-centric approach to enterprise AI" en cadena y compras. Nota: artículo de practicante (Henry Stewart), conceptual.</t>
        </is>
      </c>
    </row>
    <row r="21">
      <c r="A21" s="49" t="inlineStr">
        <is>
          <t>R0133</t>
        </is>
      </c>
      <c r="B21" s="49" t="n">
        <v>2025</v>
      </c>
      <c r="C21" s="49" t="inlineStr">
        <is>
          <t>Digital Twin in Supply Chain Management: A Transformative Innovation for Resilience and Efficiency</t>
        </is>
      </c>
      <c r="D21" s="49" t="inlineStr">
        <is>
          <t>4th IEEE North Karnataka Subsection Flagship International Conference: Holistic Engineering for Sustainable Development, NKCon 2025</t>
        </is>
      </c>
      <c r="E21" s="49" t="inlineStr">
        <is>
          <t>10.1109/nkcon66957.2025.11345727</t>
        </is>
      </c>
      <c r="F21" s="49" t="inlineStr">
        <is>
          <t>medio</t>
        </is>
      </c>
      <c r="G21" s="49" t="inlineStr">
        <is>
          <t>[Antecedente C8: medio] Recodificado 2026-09-06 en la auditoría final (I→E3): Panorama con casos secundarios ("how the examples of Unilever and DHL can be used to demonstrate real-life examples"); la IA sólo como etiqueta de los sistemas descritos ("digital twins that are implemented in AI-based logistics systems") sin componente ni papel articulado (C8, primera precisión, criterio aplicado igual que a R0147). Pool medio por panorama de gemelos implementados con cadena central; casos útiles como antecedente. | Nota original (I): Panorama con casos ilustrativos (Unilever, DHL): "how digital twins are being implemented in supply chain management alongside artificial intelligence (AI)"; "digital twins that are implemented in AI-based logistics systems". Sin sistema ni método propuesto: riesgo E3 o E4 en texto completo; incluido por sensibilidad, confirmar.</t>
        </is>
      </c>
    </row>
    <row r="22">
      <c r="A22" s="49" t="inlineStr">
        <is>
          <t>R0147</t>
        </is>
      </c>
      <c r="B22" s="49" t="n">
        <v>2025</v>
      </c>
      <c r="C22" s="49" t="inlineStr">
        <is>
          <t>Digital Twin for Managed Transportation - Transforming Logistics with AI-Driven Supply Chain Optimization</t>
        </is>
      </c>
      <c r="D22" s="49" t="inlineStr">
        <is>
          <t>TEMSCON Global 2025 - 2025 IEEE Technology and Engineering Management Society Conference - Global, Conference Proceedings</t>
        </is>
      </c>
      <c r="E22" s="49" t="inlineStr">
        <is>
          <t>10.1109/temsconglobal64363.2025.11238334</t>
        </is>
      </c>
      <c r="F22" s="49" t="inlineStr">
        <is>
          <t>medio</t>
        </is>
      </c>
      <c r="G22" s="49" t="inlineStr">
        <is>
          <t>[Antecedente C8: medio] Recodificado 2026-09-06 en la auditoría final (I→E3): Gemelo conceptual para transporte gestionado con casos simulados ("simulation-based case analyses from both the pharmaceutical industry and logistics systems to conceptually demonstrate the potential benefits of Digital Twins"); la IA sólo como habilitador listado ("leveraging the best technology available today Internet of Things, AI, and cloud computing") y como consigna ("letting machine learning and AI do the work"), sin método ni componente (C8, primera precisión). | Nota original (I): "This paper examines how Digital Twins supplement fleet management, real-time decision-making, and supply chain visibility"; la IA sostenida por el título ("AI-Driven Supply Chain Optimization") y por "letting machine learning and AI do the work"; casos simulados (farmacéutica y logística). Conceptual; riesgo E3 en texto completo.</t>
        </is>
      </c>
    </row>
    <row r="23">
      <c r="A23" s="49" t="inlineStr">
        <is>
          <t>R0234</t>
        </is>
      </c>
      <c r="B23" s="49" t="n">
        <v>2024</v>
      </c>
      <c r="C23" s="49" t="inlineStr">
        <is>
          <t>Research on the Construction of Supply Chains of Digital Twin Aquatic Products Using Artificial Intelligence</t>
        </is>
      </c>
      <c r="D23" s="49" t="inlineStr">
        <is>
          <t>ACM International Conference Proceeding Series</t>
        </is>
      </c>
      <c r="E23" s="49" t="inlineStr">
        <is>
          <t>10.1145/3696500.3696504</t>
        </is>
      </c>
      <c r="F23" s="49" t="inlineStr">
        <is>
          <t>medio</t>
        </is>
      </c>
      <c r="G23" s="49" t="inlineStr">
        <is>
          <t>[Antecedente C8: medio] Recodificado 2026-09-06 en la auditoría final (I→E3): Modelo conceptual de gemelo de cadena de productos acuáticos ("The DT-based aquatic product supply chain model encompasses 5 layers: perception, data, operation, function, and application"); la IA sólo como requisito sin articular ("the artificial intelligence technologies have to be integrated"), sin método ni papel descrito (C8, primera precisión). Pool medio por gemelo conceptual con cadena central. | Nota original (I): Conceptual: "The DT-based aquatic product supply chain model encompasses 5 layers: perception, data, operation, function, and application" y "the artificial intelligence technologies have to be integrated" con cuatro etapas de gemelo (objeto, proceso, sistema, cadena de valor). Resumen breve; calidad por evaluar.</t>
        </is>
      </c>
    </row>
    <row r="24">
      <c r="A24" s="49" t="inlineStr">
        <is>
          <t>R0256</t>
        </is>
      </c>
      <c r="B24" s="49" t="n">
        <v>2024</v>
      </c>
      <c r="C24" s="49" t="inlineStr">
        <is>
          <t>Digital Twin Prototype Structure of Value, Demand and Supply Chain Management</t>
        </is>
      </c>
      <c r="D24" s="49" t="inlineStr">
        <is>
          <t>Lecture Notes in Information Systems and Organisation</t>
        </is>
      </c>
      <c r="E24" s="49" t="inlineStr">
        <is>
          <t>10.1007/978-3-031-66801-2_19</t>
        </is>
      </c>
      <c r="F24" s="49" t="inlineStr">
        <is>
          <t>medio</t>
        </is>
      </c>
      <c r="G24" s="49" t="inlineStr">
        <is>
          <t>[Antecedente C8: medio] Resuelto 2026-09-05 por Rodrigo: no implementa. Estructura conceptual de prototipo de gemelo para cadenas de valor, demanda y suministro; la IA sólo como posibilidad justificada ("the justification of the possibility of using artificial intelligence in the management of non-physical objects of chain management"), sin método aplicado ni propuesto.</t>
        </is>
      </c>
    </row>
    <row r="25">
      <c r="A25" s="49" t="inlineStr">
        <is>
          <t>R0266</t>
        </is>
      </c>
      <c r="B25" s="49" t="n">
        <v>2024</v>
      </c>
      <c r="C25" s="49" t="inlineStr">
        <is>
          <t>Transforming Cold Chain Management: The Role of Digital Twins in Post-Harvest Logistics</t>
        </is>
      </c>
      <c r="D25" s="49" t="inlineStr">
        <is>
          <t>2024 2nd World Conference on Communication and Computing, WCONF 2024</t>
        </is>
      </c>
      <c r="E25" s="49" t="inlineStr">
        <is>
          <t>10.1109/wconf61366.2024.10691976</t>
        </is>
      </c>
      <c r="F25" s="49" t="inlineStr">
        <is>
          <t>medio</t>
        </is>
      </c>
      <c r="G25" s="49" t="inlineStr">
        <is>
          <t>[Antecedente C8: medio] Implementación breve de gemelo con IoT para la cadena poscosecha ("a brief implementation of the technologies Digital Twins (DT) along with the Internet of Things (IoT)"); el ML sólo en la descripción genérica de los gemelos ("sensors, data analytics, and machine learning"), sin método aplicado.</t>
        </is>
      </c>
    </row>
    <row r="26">
      <c r="A26" s="49" t="inlineStr">
        <is>
          <t>R0277</t>
        </is>
      </c>
      <c r="B26" s="49" t="n">
        <v>2024</v>
      </c>
      <c r="C26" s="49" t="inlineStr">
        <is>
          <t>A Reference Architecture for Dry Port Digital Twins: Preliminary Assessment Using ArchiMate</t>
        </is>
      </c>
      <c r="D26" s="49" t="inlineStr">
        <is>
          <t>Lecture Notes in Business Information Processing</t>
        </is>
      </c>
      <c r="E26" s="49" t="inlineStr">
        <is>
          <t>10.1007/978-3-031-59465-6_9</t>
        </is>
      </c>
      <c r="F26" s="49" t="inlineStr">
        <is>
          <t>medio</t>
        </is>
      </c>
      <c r="G26" s="49" t="inlineStr">
        <is>
          <t>[Antecedente C8: medio] Arquitectura de referencia (ArchiMate) para gemelos de puertos secos; la IA sólo como habilitador de la agenda NEXUS ("assisting in adopting Blockchain, Optical Recognition, and Artificial Intelligence as crucial technological enablers"), sin método en el gemelo.</t>
        </is>
      </c>
    </row>
    <row r="27">
      <c r="A27" s="49" t="inlineStr">
        <is>
          <t>R0307</t>
        </is>
      </c>
      <c r="B27" s="49" t="n">
        <v>2023</v>
      </c>
      <c r="C27" s="49" t="inlineStr">
        <is>
          <t>A Digital Reverse Logistics Twin for Improving Sustainability in Industry 5.0</t>
        </is>
      </c>
      <c r="D27" s="49" t="inlineStr">
        <is>
          <t>IFIP Advances in Information and Communication Technology</t>
        </is>
      </c>
      <c r="E27" s="49" t="inlineStr">
        <is>
          <t>10.1007/978-3-031-43666-6_19</t>
        </is>
      </c>
      <c r="F27" s="49" t="inlineStr">
        <is>
          <t>medio</t>
        </is>
      </c>
      <c r="G27" s="49" t="inlineStr">
        <is>
          <t>[Antecedente C8: medio] Gemelo de logística inversa orientado a sistema con prueba de concepto (red de remanufactura en Noruega); la IA sólo en la lista de tecnologías disruptivas ("e.g., Internet-of-things (IoT), artificial intelligence (AI), big data analysis, simulation, blockchain, etc."), sin método en el gemelo. Límite; verificar. | Auditoría final 2026-09-06: valor del pool ajustado de alto a medio (la prueba de concepto ilustra un diseño de sistema; el gemelo no está validado en operación).</t>
        </is>
      </c>
    </row>
    <row r="28">
      <c r="A28" s="49" t="inlineStr">
        <is>
          <t>R0319</t>
        </is>
      </c>
      <c r="B28" s="49" t="n">
        <v>2022</v>
      </c>
      <c r="C28" s="49" t="inlineStr">
        <is>
          <t>Utilising Digital Twins for Increasing Military Supply Chain Visibility</t>
        </is>
      </c>
      <c r="D28" s="49" t="inlineStr">
        <is>
          <t>Advances in Transdisciplinary Engineering</t>
        </is>
      </c>
      <c r="E28" s="49" t="inlineStr">
        <is>
          <t>10.3233/atde220595</t>
        </is>
      </c>
      <c r="F28" s="49" t="inlineStr">
        <is>
          <t>medio</t>
        </is>
      </c>
      <c r="G28" s="49" t="inlineStr">
        <is>
          <t>[Antecedente C8: medio] Gemelo conceptual para visibilidad de la cadena militar; el ML sólo en la lista de tecnologías habilitadoras ("machine learning, augmented and virtual reality, big data, analytics and pervasive computing"), sin método en el gemelo (mismo trato que R0275). Límite.</t>
        </is>
      </c>
    </row>
    <row r="29">
      <c r="A29" s="49" t="inlineStr">
        <is>
          <t>R0389</t>
        </is>
      </c>
      <c r="B29" s="49" t="n">
        <v>2018</v>
      </c>
      <c r="C29" s="49" t="inlineStr">
        <is>
          <t>Digital twins for decision making in complex production and logistic enterprises</t>
        </is>
      </c>
      <c r="D29" s="49" t="inlineStr">
        <is>
          <t>International Journal of Design and Nature and Ecodynamics</t>
        </is>
      </c>
      <c r="E29" s="49" t="inlineStr">
        <is>
          <t>10.2495/dne-v13-n3-260-271</t>
        </is>
      </c>
      <c r="F29" s="49" t="inlineStr">
        <is>
          <t>medio</t>
        </is>
      </c>
      <c r="G29" s="49" t="inlineStr">
        <is>
          <t>[Antecedente C8: medio] Recodificado 2026-09-06 en la auditoría final (I→E3): Concepto temprano de gemelo para la decisión operativa en "production and logistic enterprises" ("a digital twin concept can be applied. These digital twins are virtual clones of real systems or subsystems"); la IA sólo como oportunidad enunciada ("With simulation and artificial intelligence technologies new opportunities for operative decision making are possible"), sin papel articulado en el gemelo, a diferencia de la línea Ivanov (C8, primera precisión). Pool medio por gemelo conceptual con logística de planta central. | Nota original (I): Concepto temprano (2018) de gemelos para la decision operativa en empresas de produccion y logistica: "In order to improve operative decision making in production and logistic enterprises a digital twin concept can be applied" y "With simulation and artificial intelligence technologies new opportunities for operative decision making are possible"; conceptual de la linea Ivanov: la IA se presenta como tecnologia habilitadora del propio concepto de gemelo decisional, no como paso futuro (C8, tercera precision), y el ambito es el objeto del articulo. Si el texto completo no trae contenido de IA, cae a E3 con pool de antecedentes (valor medio).</t>
        </is>
      </c>
    </row>
    <row r="30">
      <c r="A30" s="49" t="inlineStr">
        <is>
          <t>R0523</t>
        </is>
      </c>
      <c r="B30" s="49" t="n">
        <v>2026</v>
      </c>
      <c r="C30" s="49" t="inlineStr">
        <is>
          <t>The standalone and integrated value of digital twins and ancillary emerging technologies for enhancing supply chain performance</t>
        </is>
      </c>
      <c r="D30" s="49" t="inlineStr">
        <is>
          <t>Production Planning and Control</t>
        </is>
      </c>
      <c r="E30" s="49" t="inlineStr">
        <is>
          <t>10.1080/09537287.2025.2608686</t>
        </is>
      </c>
      <c r="F30" s="49" t="inlineStr">
        <is>
          <t>medio</t>
        </is>
      </c>
      <c r="G30" s="49" t="inlineStr">
        <is>
          <t>[Antecedente C8: medio] Estudio de valor y configuracion tecnologica: "Using association rule analysis on 738 real-world data-driven applications"; el gemelo y la IA son constructos comparados ("ancillary emerging technologies") y la mineria de reglas es la tecnica de analisis del estudio y no actua sobre decisiones de operaciones (regla C4 y precedente R0238, como R0196).</t>
        </is>
      </c>
    </row>
    <row r="31">
      <c r="A31" s="49" t="inlineStr">
        <is>
          <t>R0568</t>
        </is>
      </c>
      <c r="B31" s="49" t="n">
        <v>2025</v>
      </c>
      <c r="C31" s="49" t="inlineStr">
        <is>
          <t>Digital twins and logistical labour Models, plans and the inversion of the ‘real’</t>
        </is>
      </c>
      <c r="D31" s="49" t="inlineStr">
        <is>
          <t>Work Organisation, Labour and Globalisation</t>
        </is>
      </c>
      <c r="E31" s="49" t="inlineStr">
        <is>
          <t>10.13169/workorgalaboglob.19.2.0004</t>
        </is>
      </c>
      <c r="F31" s="49" t="inlineStr">
        <is>
          <t>medio</t>
        </is>
      </c>
      <c r="G31" s="49" t="inlineStr">
        <is>
          <t>Analisis critico de los gemelos en el trabajo logistico portuario ("an initiative of the British Columbia Maritime Employers Association to predictively manage longshore labour dispatch"); la IA y el ML sólo como palabras clave, sin metodo (C8). Antecedente C8: medio (contexto para la discusion sobre trabajo y HITL).</t>
        </is>
      </c>
    </row>
    <row r="32">
      <c r="A32" s="49" t="inlineStr">
        <is>
          <t>R0585</t>
        </is>
      </c>
      <c r="B32" s="49" t="n">
        <v>2025</v>
      </c>
      <c r="C32" s="49" t="inlineStr">
        <is>
          <t>Implications for Using Digital Twins to Enhance Safety in Warehouse 4.0 Design</t>
        </is>
      </c>
      <c r="D32" s="49" t="inlineStr">
        <is>
          <t>Chemical Engineering Transactions</t>
        </is>
      </c>
      <c r="E32" s="49" t="inlineStr">
        <is>
          <t>10.3303/cet25116001</t>
        </is>
      </c>
      <c r="F32" s="49" t="inlineStr">
        <is>
          <t>medio</t>
        </is>
      </c>
      <c r="G32" s="49" t="inlineStr">
        <is>
          <t>Articulo de posicion sobre gemelos y seguridad en almacenes ("Digital twin (DT) technology is one of the technologies that can be leveraged to enhance safety in warehouse 4.0 design"), con tres preguntas de investigacion y sin sistema aplicado; la IA sólo como palabra clave de autor (C8). Antecedente C8: medio (seguridad y colaboracion humano-robot en almacenes).</t>
        </is>
      </c>
    </row>
    <row r="33">
      <c r="A33" s="49" t="inlineStr">
        <is>
          <t>R0636</t>
        </is>
      </c>
      <c r="B33" s="49" t="n">
        <v>2017</v>
      </c>
      <c r="C33" s="49" t="inlineStr">
        <is>
          <t>A Networked Production System to Implement Virtual Enterprise and Product Lifecycle Information Loops</t>
        </is>
      </c>
      <c r="D33" s="49" t="inlineStr">
        <is>
          <t>IFAC-PapersOnLine</t>
        </is>
      </c>
      <c r="E33" s="49" t="inlineStr">
        <is>
          <t>10.1016/j.ifacol.2017.08.902</t>
        </is>
      </c>
      <c r="F33" s="49" t="inlineStr">
        <is>
          <t>medio</t>
        </is>
      </c>
      <c r="G33" s="49" t="inlineStr">
        <is>
          <t>Arquitectura de sistema de produccion en red con gemelos de maquina y de producto por escaner 3D, con la cadena como eje declarado ("considering supply chain and related data management within an integrated vision of the product lifecycle management"); sin metodo de IA, sólo palabras clave ("Intelligent decision support systems"), C8. Antecedente C8: medio.</t>
        </is>
      </c>
    </row>
  </sheetData>
  <autoFilter ref="A1:G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8"/>
  <sheetViews>
    <sheetView workbookViewId="0">
      <pane ySplit="1" topLeftCell="A2" activePane="bottomLeft" state="frozen"/>
      <selection pane="bottomLeft" activeCell="A1" sqref="A1"/>
    </sheetView>
  </sheetViews>
  <sheetFormatPr baseColWidth="8" defaultRowHeight="15"/>
  <cols>
    <col width="8" customWidth="1" style="17" min="1" max="1"/>
    <col width="6" customWidth="1" style="17" min="2" max="2"/>
    <col width="60" customWidth="1" style="17" min="3" max="3"/>
    <col width="30" customWidth="1" style="17" min="4" max="4"/>
    <col width="28" customWidth="1" style="17" min="5" max="5"/>
    <col width="14" customWidth="1" style="17" min="6" max="6"/>
    <col width="6" customWidth="1" style="17" min="7" max="7"/>
    <col width="6" customWidth="1" style="17" min="8" max="8"/>
    <col width="90" customWidth="1" style="17" min="9" max="9"/>
  </cols>
  <sheetData>
    <row r="1">
      <c r="A1" s="48" t="inlineStr">
        <is>
          <t>ID</t>
        </is>
      </c>
      <c r="B1" s="48" t="inlineStr">
        <is>
          <t>Year</t>
        </is>
      </c>
      <c r="C1" s="48" t="inlineStr">
        <is>
          <t>Title</t>
        </is>
      </c>
      <c r="D1" s="48" t="inlineStr">
        <is>
          <t>Venue</t>
        </is>
      </c>
      <c r="E1" s="48" t="inlineStr">
        <is>
          <t>DOI</t>
        </is>
      </c>
      <c r="F1" s="48" t="inlineStr">
        <is>
          <t>Doc type</t>
        </is>
      </c>
      <c r="G1" s="48" t="inlineStr">
        <is>
          <t>Batch</t>
        </is>
      </c>
      <c r="H1" s="48" t="inlineStr">
        <is>
          <t>Make</t>
        </is>
      </c>
      <c r="I1" s="48" t="inlineStr">
        <is>
          <t>Screening note</t>
        </is>
      </c>
    </row>
    <row r="2">
      <c r="A2" s="49" t="inlineStr">
        <is>
          <t>R0001</t>
        </is>
      </c>
      <c r="B2" s="49" t="n">
        <v>2026</v>
      </c>
      <c r="C2" s="49" t="inlineStr">
        <is>
          <t>A cooperative digital twin–multi-agent reinforcement learning for circular supply chains: balanced control across production, logistics, and sustainability</t>
        </is>
      </c>
      <c r="D2" s="49" t="inlineStr">
        <is>
          <t>Computers and Industrial Engineering</t>
        </is>
      </c>
      <c r="E2" s="49" t="inlineStr">
        <is>
          <t>10.1016/j.cie.2026.112044</t>
        </is>
      </c>
      <c r="F2" s="49" t="inlineStr">
        <is>
          <t>Article</t>
        </is>
      </c>
      <c r="G2" s="49" t="n">
        <v>1</v>
      </c>
      <c r="H2" s="49" t="inlineStr"/>
      <c r="I2" s="49" t="inlineStr">
        <is>
          <t>Los tres criterios en el resumen: "coupling a simulation-based DT with cooperative multi-agent reinforcement learning (MARL)" para coordinar "planning, inventory, logistics, expediting, and recycling decisions" en cadenas circulares.</t>
        </is>
      </c>
    </row>
    <row r="3">
      <c r="A3" s="49" t="inlineStr">
        <is>
          <t>R0003</t>
        </is>
      </c>
      <c r="B3" s="49" t="n">
        <v>2026</v>
      </c>
      <c r="C3" s="49" t="inlineStr">
        <is>
          <t>From Traditional to Digital: A Simulation-Based Approach on the Digital Transformation of MultiTier Automotive Parts Supply Chain Based on Cloud SCM Platform</t>
        </is>
      </c>
      <c r="D3" s="49" t="inlineStr">
        <is>
          <t>Proceedings of International Conference on Intelligent Computing, ICONIC 2026</t>
        </is>
      </c>
      <c r="E3" s="49" t="inlineStr">
        <is>
          <t>10.1109/iconic67661.2026.11517868</t>
        </is>
      </c>
      <c r="F3" s="49" t="inlineStr">
        <is>
          <t>Conference paper</t>
        </is>
      </c>
      <c r="G3" s="49" t="n">
        <v>1</v>
      </c>
      <c r="H3" s="49" t="inlineStr"/>
      <c r="I3" s="49" t="inlineStr">
        <is>
          <t>Plataforma SCM en la nube para cadena automotriz multinivel que "synergizes artificial intelligence (multimodal LSTM, PSO), the Internet of Things, knowledge graphs, and digital twins", evaluada por simulación híbrida.</t>
        </is>
      </c>
    </row>
    <row r="4">
      <c r="A4" s="49" t="inlineStr">
        <is>
          <t>R0004</t>
        </is>
      </c>
      <c r="B4" s="49" t="n">
        <v>2026</v>
      </c>
      <c r="C4" s="49" t="inlineStr">
        <is>
          <t>An AI-Driven Optimization Framework for Sustainable E-Waste Management and Resource Utilization</t>
        </is>
      </c>
      <c r="D4" s="49" t="inlineStr">
        <is>
          <t>2026 2nd International Conference on Big Data and Machine Learning, ICBDML 2026</t>
        </is>
      </c>
      <c r="E4" s="49" t="inlineStr">
        <is>
          <t>10.1109/icbdml68582.2026.11544180</t>
        </is>
      </c>
      <c r="F4" s="49" t="inlineStr">
        <is>
          <t>Conference paper</t>
        </is>
      </c>
      <c r="G4" s="49" t="n">
        <v>1</v>
      </c>
      <c r="H4" s="49" t="inlineStr"/>
      <c r="I4" s="49" t="inlineStr">
        <is>
          <t>Gemelo de flujos de residuos con IA para recolección y ruteo (logística inversa): "spatio-temporal digital twin of e-waste flows, which incorporates graph neural prediction of waste generation, deep reinforcement learning prediction of adaptive collection and routing"; palabra clave de índice "Logistics". SCOR: Return.</t>
        </is>
      </c>
    </row>
    <row r="5">
      <c r="A5" s="49" t="inlineStr">
        <is>
          <t>R0008</t>
        </is>
      </c>
      <c r="B5" s="49" t="n">
        <v>2026</v>
      </c>
      <c r="C5" s="49" t="inlineStr">
        <is>
          <t>Digital twin framework for electric truck route and infrastructure planning in the Nordic region</t>
        </is>
      </c>
      <c r="D5" s="49" t="inlineStr">
        <is>
          <t>Transportation Engineering</t>
        </is>
      </c>
      <c r="E5" s="49" t="inlineStr">
        <is>
          <t>10.1016/j.treng.2026.100426</t>
        </is>
      </c>
      <c r="F5" s="49" t="inlineStr">
        <is>
          <t>Article</t>
        </is>
      </c>
      <c r="G5" s="49" t="n">
        <v>1</v>
      </c>
      <c r="H5" s="49" t="inlineStr"/>
      <c r="I5" s="49" t="inlineStr">
        <is>
          <t>"combines artificial intelligence, digital twins, and co-simulation to support energy-efficient routing and infrastructure planning for heavy-duty electric vehicles", con Gradient Boosting y aplicación para "logistics operators".</t>
        </is>
      </c>
    </row>
    <row r="6">
      <c r="A6" s="49" t="inlineStr">
        <is>
          <t>R0009</t>
        </is>
      </c>
      <c r="B6" s="49" t="n">
        <v>2026</v>
      </c>
      <c r="C6" s="49" t="inlineStr">
        <is>
          <t>Logistics equipment condition monitoring and prediction based on digital twin and machine learning</t>
        </is>
      </c>
      <c r="D6" s="49" t="inlineStr">
        <is>
          <t>Scientific Reports</t>
        </is>
      </c>
      <c r="E6" s="49" t="inlineStr">
        <is>
          <t>10.1038/s41598-026-43380-4</t>
        </is>
      </c>
      <c r="F6" s="49" t="inlineStr">
        <is>
          <t>Article</t>
        </is>
      </c>
      <c r="G6" s="49" t="n">
        <v>1</v>
      </c>
      <c r="H6" s="49" t="inlineStr"/>
      <c r="I6" s="49" t="inlineStr">
        <is>
          <t>"a digital twin solution in which the logistics equipment is monitored and continuously maintained through the application of ML algorithms in an IOT environment" (iForest, LSTM, RF); logística de almacén (montacargas, AGV, transportadores). Nota: gemelo a nivel de activo (mantenimiento predictivo).</t>
        </is>
      </c>
    </row>
    <row r="7">
      <c r="A7" s="49" t="inlineStr">
        <is>
          <t>R0011</t>
        </is>
      </c>
      <c r="B7" s="49" t="n">
        <v>2026</v>
      </c>
      <c r="C7" s="49" t="inlineStr">
        <is>
          <t>Toward Industry 6.0: The Ecosystem Age, superintelligence, viability, and OR-AI symbiosis</t>
        </is>
      </c>
      <c r="D7" s="49" t="inlineStr">
        <is>
          <t>Computers and Operations Research</t>
        </is>
      </c>
      <c r="E7" s="49" t="inlineStr">
        <is>
          <t>10.1016/j.cor.2026.107563</t>
        </is>
      </c>
      <c r="F7" s="49" t="inlineStr">
        <is>
          <t>Article</t>
        </is>
      </c>
      <c r="G7" s="49" t="n">
        <v>1</v>
      </c>
      <c r="H7" s="49" t="inlineStr"/>
      <c r="I7" s="49" t="inlineStr">
        <is>
          <t>Conceptual: "outlining a 7-layer architecture of OR-AI symbiosis in digital twins" en el contexto de "supply chain and operations management in the AI and superintelligence age".</t>
        </is>
      </c>
    </row>
    <row r="8">
      <c r="A8" s="49" t="inlineStr">
        <is>
          <t>R0012</t>
        </is>
      </c>
      <c r="B8" s="49" t="n">
        <v>2026</v>
      </c>
      <c r="C8" s="49" t="inlineStr">
        <is>
          <t>Digital Twin Based Framework to Enhance the Environmental Sustainability of Supply Chains</t>
        </is>
      </c>
      <c r="D8" s="49" t="inlineStr">
        <is>
          <t>Lecture Notes in Mechanical Engineering</t>
        </is>
      </c>
      <c r="E8" s="49" t="inlineStr">
        <is>
          <t>10.1007/978-3-032-21157-6_23</t>
        </is>
      </c>
      <c r="F8" s="49" t="inlineStr">
        <is>
          <t>Conference paper</t>
        </is>
      </c>
      <c r="G8" s="49" t="n">
        <v>1</v>
      </c>
      <c r="H8" s="49" t="inlineStr"/>
      <c r="I8" s="49" t="inlineStr">
        <is>
          <t>Marco de soporte de decisión basado en gemelo para "sustainable supply chain management"; la IA aparece como analítica del gemelo: "performs analytics including simulation modelling, machine learning, optimization and dynamic Life Cycle Assessment". Verificar componente ML en texto completo.</t>
        </is>
      </c>
    </row>
    <row r="9">
      <c r="A9" s="49" t="inlineStr">
        <is>
          <t>R0013</t>
        </is>
      </c>
      <c r="B9" s="49" t="n">
        <v>2026</v>
      </c>
      <c r="C9" s="49" t="inlineStr">
        <is>
          <t>A surrogate-based explainability framework with semantic abstraction for human-centred supply chain intelligence</t>
        </is>
      </c>
      <c r="D9" s="49" t="inlineStr">
        <is>
          <t>Supply Chain Analytics</t>
        </is>
      </c>
      <c r="E9" s="49" t="inlineStr">
        <is>
          <t>10.1016/j.sca.2026.100221</t>
        </is>
      </c>
      <c r="F9" s="49" t="inlineStr">
        <is>
          <t>Article</t>
        </is>
      </c>
      <c r="G9" s="49" t="n">
        <v>1</v>
      </c>
      <c r="H9" s="49" t="inlineStr"/>
      <c r="I9" s="49" t="inlineStr">
        <is>
          <t>Marco de explicabilidad (SHAP) para optimización habilitada por IA cuyo entorno declarado es el gemelo de cadena: "When these systems are embedded within supply chain digital twin environments"; caso de 7,500 instancias. Nota: el gemelo es entorno de despliegue, no se construye; límite C1, verificar en texto completo. Relevante para HITL.</t>
        </is>
      </c>
    </row>
    <row r="10">
      <c r="A10" s="49" t="inlineStr">
        <is>
          <t>R0018</t>
        </is>
      </c>
      <c r="B10" s="49" t="n">
        <v>2026</v>
      </c>
      <c r="C10" s="49" t="inlineStr">
        <is>
          <t>Digital Twin-Enabled Simulation of Tobacco Logistics Distribution Networks</t>
        </is>
      </c>
      <c r="D10" s="49" t="inlineStr">
        <is>
          <t>2026 Innovations in Machine, Engineering, and Digital Conference, IMED 2026</t>
        </is>
      </c>
      <c r="E10" s="49" t="inlineStr">
        <is>
          <t>10.1109/imed68921.2026.11484180</t>
        </is>
      </c>
      <c r="F10" s="49" t="inlineStr">
        <is>
          <t>Conference paper</t>
        </is>
      </c>
      <c r="G10" s="49" t="n">
        <v>1</v>
      </c>
      <c r="H10" s="49" t="inlineStr"/>
      <c r="I10" s="49" t="inlineStr">
        <is>
          <t>Gemelo de red logística de tabaco con IA: "a combination of system dynamics modelling, real-time IoT data streams, and artificial intelligence predictive analytics tailored to the changing demands, transportation, inventory, and compliance demands of tobacco supply chains".</t>
        </is>
      </c>
    </row>
    <row r="11">
      <c r="A11" s="49" t="inlineStr">
        <is>
          <t>R0024</t>
        </is>
      </c>
      <c r="B11" s="49" t="n">
        <v>2026</v>
      </c>
      <c r="C11" s="49" t="inlineStr">
        <is>
          <t>Artificial intelligence-enabled digital twins for sustainable and carbon-neutral smart port operations</t>
        </is>
      </c>
      <c r="D11" s="49" t="inlineStr">
        <is>
          <t>WMU Journal of Maritime Affairs</t>
        </is>
      </c>
      <c r="E11" s="49" t="inlineStr">
        <is>
          <t>10.1007/s13437-026-00428-6</t>
        </is>
      </c>
      <c r="F11" s="49" t="inlineStr">
        <is>
          <t>Article</t>
        </is>
      </c>
      <c r="G11" s="49" t="n">
        <v>1</v>
      </c>
      <c r="H11" s="49" t="inlineStr"/>
      <c r="I11" s="49" t="inlineStr">
        <is>
          <t>"strategic integration of Artificial Intelligence (AI)-enabled Digital Twins (DTs) as a foundational framework for achieving carbon-neutral smart seaport operations" (LSTM, RF, RL) en logística marítima. Verificar en texto completo que no sea revisión ("traces the conceptual evolution").</t>
        </is>
      </c>
    </row>
    <row r="12">
      <c r="A12" s="49" t="inlineStr">
        <is>
          <t>R0025</t>
        </is>
      </c>
      <c r="B12" s="49" t="n">
        <v>2026</v>
      </c>
      <c r="C12" s="49" t="inlineStr">
        <is>
          <t>Enabling Non-Simulation Experts to Adapt Digital Twins during Production System Redesign using Agentic AI</t>
        </is>
      </c>
      <c r="D12" s="49" t="inlineStr">
        <is>
          <t>ICCMB 2026 - Proceedings of 2026 the 9th International Conference on Computers in Management and Business</t>
        </is>
      </c>
      <c r="E12" s="49" t="inlineStr">
        <is>
          <t>10.1145/3802463.3802479</t>
        </is>
      </c>
      <c r="F12" s="49" t="inlineStr">
        <is>
          <t>Conference paper</t>
        </is>
      </c>
      <c r="G12" s="49" t="n">
        <v>1</v>
      </c>
      <c r="H12" s="49" t="inlineStr">
        <is>
          <t>Make</t>
        </is>
      </c>
      <c r="I12" s="49" t="inlineStr">
        <is>
          <t>[Make] Gemelo de simulación de flujos de materiales adaptado por IA agéntica (LLM+RAG); encuadre explícito: "constructing digital representations of supply chains and production/logistics systems is labor-intensive". Make: logística intra-planta (IoT-Factory).</t>
        </is>
      </c>
    </row>
    <row r="13">
      <c r="A13" s="49" t="inlineStr">
        <is>
          <t>R0026</t>
        </is>
      </c>
      <c r="B13" s="49" t="n">
        <v>2026</v>
      </c>
      <c r="C13" s="49" t="inlineStr">
        <is>
          <t>Regulating uncertainty in global supply chains: a cybernetic Digital Twin framework for variety attenuation</t>
        </is>
      </c>
      <c r="D13" s="49" t="inlineStr">
        <is>
          <t>Kybernetes</t>
        </is>
      </c>
      <c r="E13" s="49" t="inlineStr">
        <is>
          <t>10.1108/k-01-2026-0185</t>
        </is>
      </c>
      <c r="F13" s="49" t="inlineStr">
        <is>
          <t>Article</t>
        </is>
      </c>
      <c r="G13" s="49" t="n">
        <v>1</v>
      </c>
      <c r="H13" s="49" t="inlineStr"/>
      <c r="I13" s="49" t="inlineStr">
        <is>
          <t>"develop a predictive Digital Twin framework" para "regulate delivery uncertainty in global logistics networks"; compara "Naïve Bayes, Artificial Neural Network, Random Forest" sobre 180,519 envíos.</t>
        </is>
      </c>
    </row>
    <row r="14">
      <c r="A14" s="49" t="inlineStr">
        <is>
          <t>R0029</t>
        </is>
      </c>
      <c r="B14" s="49" t="n">
        <v>2026</v>
      </c>
      <c r="C14" s="49" t="inlineStr">
        <is>
          <t>Digital Twin Model of Smart Transportation and Maritime Systems for Resource Efficiency and Operational Optimization</t>
        </is>
      </c>
      <c r="D14" s="49" t="inlineStr">
        <is>
          <t>2026 International Conference on Artificial Intelligence for Sustainable Engineering and Innovation, AISEI 2026</t>
        </is>
      </c>
      <c r="E14" s="49" t="inlineStr">
        <is>
          <t>10.1109/aisei68628.2026.11572832</t>
        </is>
      </c>
      <c r="F14" s="49" t="inlineStr">
        <is>
          <t>Conference paper</t>
        </is>
      </c>
      <c r="G14" s="49" t="n">
        <v>1</v>
      </c>
      <c r="H14" s="49" t="inlineStr"/>
      <c r="I14" s="49" t="inlineStr">
        <is>
          <t>"proposes a digital twin concept for intelligent transport and maritime systems" donde "Machine learning and big data analytics enable routing optimization"; encuadre logístico explícito: "green logistics", "smart ports". Conceptual.</t>
        </is>
      </c>
    </row>
    <row r="15">
      <c r="A15" s="49" t="inlineStr">
        <is>
          <t>R0037</t>
        </is>
      </c>
      <c r="B15" s="49" t="n">
        <v>2026</v>
      </c>
      <c r="C15" s="49" t="inlineStr">
        <is>
          <t>Climate-Disruption Early Warning for Malaysian Supply Chains Using Multimodal Data</t>
        </is>
      </c>
      <c r="D15" s="49" t="inlineStr">
        <is>
          <t>ICCMB 2026 - Proceedings of 2026 the 9th International Conference on Computers in Management and Business</t>
        </is>
      </c>
      <c r="E15" s="49" t="inlineStr">
        <is>
          <t>10.1145/3802463.3802485</t>
        </is>
      </c>
      <c r="F15" s="49" t="inlineStr">
        <is>
          <t>Conference paper</t>
        </is>
      </c>
      <c r="G15" s="49" t="n">
        <v>1</v>
      </c>
      <c r="H15" s="49" t="inlineStr"/>
      <c r="I15" s="49" t="inlineStr">
        <is>
          <t>Sistema de alerta temprana para cadenas de Malasia que "employs spatiotemporal data fusion, machine learning-based risk forecasting, and digital twin-enabled scenario simulation"; evaluación por simulación.</t>
        </is>
      </c>
    </row>
    <row r="16">
      <c r="A16" s="49" t="inlineStr">
        <is>
          <t>R0044</t>
        </is>
      </c>
      <c r="B16" s="49" t="n">
        <v>2026</v>
      </c>
      <c r="C16" s="49" t="inlineStr">
        <is>
          <t>Digital-twins and machine learning-assisted stable, energy-aware unmanned aerial and ground vehicles delivery in blockchain-enabled crowdsourcing framework</t>
        </is>
      </c>
      <c r="D16" s="49" t="inlineStr">
        <is>
          <t>Future Generation Computer Systems</t>
        </is>
      </c>
      <c r="E16" s="49" t="inlineStr">
        <is>
          <t>10.1016/j.future.2025.108004</t>
        </is>
      </c>
      <c r="F16" s="49" t="inlineStr">
        <is>
          <t>Article</t>
        </is>
      </c>
      <c r="G16" s="49" t="n">
        <v>1</v>
      </c>
      <c r="H16" s="49" t="inlineStr"/>
      <c r="I16" s="49" t="inlineStr">
        <is>
          <t>Entrega de última milla con UAV: "Digital twins are proposed and modeled for transparent and real-time package storage and status monitoring" y "Random Forest-based energy consumption model".</t>
        </is>
      </c>
    </row>
    <row r="17">
      <c r="A17" s="49" t="inlineStr">
        <is>
          <t>R0045</t>
        </is>
      </c>
      <c r="B17" s="49" t="n">
        <v>2026</v>
      </c>
      <c r="C17" s="49" t="inlineStr">
        <is>
          <t>Towards Intelligent Supply Chain Reconfiguration: A Framework Integrating Dynamic Knowledge Graph and AI-Driven Optimization</t>
        </is>
      </c>
      <c r="D17" s="49" t="inlineStr">
        <is>
          <t>Lecture Notes in Mechanical Engineering</t>
        </is>
      </c>
      <c r="E17" s="49" t="inlineStr">
        <is>
          <t>10.1007/978-3-032-16889-4_39</t>
        </is>
      </c>
      <c r="F17" s="49" t="inlineStr">
        <is>
          <t>Conference paper</t>
        </is>
      </c>
      <c r="G17" s="49" t="n">
        <v>1</v>
      </c>
      <c r="H17" s="49" t="inlineStr"/>
      <c r="I17" s="49" t="inlineStr">
        <is>
          <t>Conceptual: "we propose a novel framework that leverages real-world data, Digital Twin modeling, Dynamic Knowledge Graph and Artificial Intelligence-driven Decision Making to enable intelligent supply chain reconfiguration". Verificar en texto completo que no sea revisión con marco anexo ("This comprehensive literature review highlights gaps").</t>
        </is>
      </c>
    </row>
    <row r="18">
      <c r="A18" s="49" t="inlineStr">
        <is>
          <t>R0048</t>
        </is>
      </c>
      <c r="B18" s="49" t="n">
        <v>2026</v>
      </c>
      <c r="C18" s="49" t="inlineStr">
        <is>
          <t>Hybrid Digital Twin and Deep Learning Framework for Monitoring Maritime Refrigerated Containers</t>
        </is>
      </c>
      <c r="D18" s="49" t="inlineStr">
        <is>
          <t>2026 49th MIPRO ICT and Electronics Convention, MIPRO 2026 - Proceedings</t>
        </is>
      </c>
      <c r="E18" s="49" t="inlineStr">
        <is>
          <t>10.1109/mipro70003.2026.11591932</t>
        </is>
      </c>
      <c r="F18" s="49" t="inlineStr">
        <is>
          <t>Conference paper</t>
        </is>
      </c>
      <c r="G18" s="49" t="n">
        <v>1</v>
      </c>
      <c r="H18" s="49" t="inlineStr"/>
      <c r="I18" s="49" t="inlineStr">
        <is>
          <t>Cadena de frío marítima ("critical component of global cold-chain logistics"); "a digital twin and AI analytics layer, and an operator interface supporting human-in-the-loop supervision" con autoencoder. Relevante para HITL.</t>
        </is>
      </c>
    </row>
    <row r="19">
      <c r="A19" s="49" t="inlineStr">
        <is>
          <t>R0050</t>
        </is>
      </c>
      <c r="B19" s="49" t="n">
        <v>2026</v>
      </c>
      <c r="C19" s="49" t="inlineStr">
        <is>
          <t>A Methodology for Optimizing Material Flows in Mechanical Engineering Enterprises Based on Big Data Technologies</t>
        </is>
      </c>
      <c r="D19" s="49" t="inlineStr">
        <is>
          <t>Material and Mechanical Engineering Technology</t>
        </is>
      </c>
      <c r="E19" s="49" t="inlineStr">
        <is>
          <t>10.52209/2706-977x_2026_2_25</t>
        </is>
      </c>
      <c r="F19" s="49" t="inlineStr">
        <is>
          <t>Article</t>
        </is>
      </c>
      <c r="G19" s="49" t="n">
        <v>1</v>
      </c>
      <c r="H19" s="49" t="inlineStr">
        <is>
          <t>Make</t>
        </is>
      </c>
      <c r="I19" s="49" t="inlineStr">
        <is>
          <t>[Make] Modelo digital de proceso productivo con "machine learning, multi-criteria analysis, and digital modeling"; encuadre explícito de logística intra-planta: "product flow routes, and intra-shop logistics" (título: optimización de flujos de materiales). Make.</t>
        </is>
      </c>
    </row>
    <row r="20">
      <c r="A20" s="49" t="inlineStr">
        <is>
          <t>R0051</t>
        </is>
      </c>
      <c r="B20" s="49" t="n">
        <v>2026</v>
      </c>
      <c r="C20" s="49" t="inlineStr">
        <is>
          <t>Artificial Intelligence Models for End-to-End Supply Chain Optimization</t>
        </is>
      </c>
      <c r="D20" s="49" t="inlineStr">
        <is>
          <t>2026 IEEE International Conference for Convergence in Computing Technology, I3CTCON 2026</t>
        </is>
      </c>
      <c r="E20" s="49" t="inlineStr">
        <is>
          <t>10.1109/i3ctcon68242.2026.11507407</t>
        </is>
      </c>
      <c r="F20" s="49" t="inlineStr">
        <is>
          <t>Conference paper</t>
        </is>
      </c>
      <c r="G20" s="49" t="n">
        <v>2</v>
      </c>
      <c r="H20" s="49" t="inlineStr"/>
      <c r="I20" s="49" t="inlineStr">
        <is>
          <t>Sistema de IA para optimización extremo a extremo de la cadena (ML, DL, RL) con gemelos como componente: "the framework facilitates real-time decision making through the combination of IoT-enabling data streams and digital twin models of supply chain networks". Verificar sustancia del gemelo en texto completo.</t>
        </is>
      </c>
    </row>
    <row r="21">
      <c r="A21" s="49" t="inlineStr">
        <is>
          <t>R0054</t>
        </is>
      </c>
      <c r="B21" s="49" t="n">
        <v>2026</v>
      </c>
      <c r="C21" s="49" t="inlineStr">
        <is>
          <t>MACHINE LEARNING–DRIVEN SMART SHARING PLATFORMS FOR OPTIMIZING LAST-MILE DELIVERY IN SAUDI ARABIA’S E-COMMERCE SECTOR</t>
        </is>
      </c>
      <c r="D21" s="49" t="inlineStr">
        <is>
          <t>Logforum</t>
        </is>
      </c>
      <c r="E21" s="49" t="inlineStr">
        <is>
          <t>10.17270/j.log.001371</t>
        </is>
      </c>
      <c r="F21" s="49" t="inlineStr">
        <is>
          <t>Article</t>
        </is>
      </c>
      <c r="G21" s="49" t="n">
        <v>2</v>
      </c>
      <c r="H21" s="49" t="inlineStr"/>
      <c r="I21" s="49" t="inlineStr">
        <is>
          <t>Marco de ML para última milla (SARIMAX, LightGBM, CatBoost, VRP-TW) con gemelo de simulación: "A digital twin simulation built in SimPy is then used to stress test performance under peak demand conditions".</t>
        </is>
      </c>
    </row>
    <row r="22">
      <c r="A22" s="49" t="inlineStr">
        <is>
          <t>R0057</t>
        </is>
      </c>
      <c r="B22" s="49" t="n">
        <v>2026</v>
      </c>
      <c r="C22" s="49" t="inlineStr">
        <is>
          <t>A Hybrid Genetic Algorithm and Multi-Agent Reinforcement Learning Framework for Optimized Supply Chain Management Using Edge-Enabled Digital Twins</t>
        </is>
      </c>
      <c r="D22" s="49" t="inlineStr">
        <is>
          <t>IEEE Open Journal of the Communications Society</t>
        </is>
      </c>
      <c r="E22" s="49" t="inlineStr">
        <is>
          <t>10.1109/ojcoms.2026.3714979</t>
        </is>
      </c>
      <c r="F22" s="49" t="inlineStr">
        <is>
          <t>Article</t>
        </is>
      </c>
      <c r="G22" s="49" t="n">
        <v>2</v>
      </c>
      <c r="H22" s="49" t="inlineStr"/>
      <c r="I22" s="49" t="inlineStr">
        <is>
          <t>"combines Genetic Algorithm (GA) and Multi-Agent Reinforcement Learning (MARL) in an Edge-Enabled Digital Twin (EEDT) setting" para SCM, con datos reales y sintéticos (fill rate, rotación de inventario, costos de transporte).</t>
        </is>
      </c>
    </row>
    <row r="23">
      <c r="A23" s="49" t="inlineStr">
        <is>
          <t>R0064</t>
        </is>
      </c>
      <c r="B23" s="49" t="n">
        <v>2026</v>
      </c>
      <c r="C23" s="49" t="inlineStr">
        <is>
          <t>Research on the application of digital twin technology in collaborative management of international trade supply chain</t>
        </is>
      </c>
      <c r="D23" s="49" t="inlineStr">
        <is>
          <t>Proceedings of SPIE - The International Society for Optical Engineering</t>
        </is>
      </c>
      <c r="E23" s="49" t="inlineStr">
        <is>
          <t>10.1117/12.3107986</t>
        </is>
      </c>
      <c r="F23" s="49" t="inlineStr">
        <is>
          <t>Conference paper</t>
        </is>
      </c>
      <c r="G23" s="49" t="n">
        <v>2</v>
      </c>
      <c r="H23" s="49" t="inlineStr"/>
      <c r="I23" s="49" t="inlineStr">
        <is>
          <t>"constructs a supply chain collaborative management system driven by digital twins. A joint optimization mechanism of graph neural networks and reinforcement learning is introduced" para la cadena de comercio internacional; resultados experimentales.</t>
        </is>
      </c>
    </row>
    <row r="24">
      <c r="A24" s="49" t="inlineStr">
        <is>
          <t>R0066</t>
        </is>
      </c>
      <c r="B24" s="49" t="n">
        <v>2026</v>
      </c>
      <c r="C24" s="49" t="inlineStr">
        <is>
          <t>Modeling Resilient and Sustainable Supply Chain Networks with AI: A Comprehensive Approach to Designing Robust Supply Systems in the USA</t>
        </is>
      </c>
      <c r="D24" s="49" t="inlineStr">
        <is>
          <t>International Journal of Computer Information Systems and Industrial Management Applications</t>
        </is>
      </c>
      <c r="E24" s="49" t="inlineStr">
        <is>
          <t>10.70917/ijcisim-2026-2645</t>
        </is>
      </c>
      <c r="F24" s="49" t="inlineStr">
        <is>
          <t>Article</t>
        </is>
      </c>
      <c r="G24" s="49" t="n">
        <v>2</v>
      </c>
      <c r="H24" s="49" t="inlineStr"/>
      <c r="I24" s="49" t="inlineStr">
        <is>
          <t>"AI-driven framework integrating Graph Neural Networks, Reinforcement Learning, digital twin simulation, and probabilistic forecasting across 14,800 U.S. supplier relationships". Nota: cifras y despliegues declarados por verificar; calidad de la revista a evaluar en texto completo.</t>
        </is>
      </c>
    </row>
    <row r="25">
      <c r="A25" s="49" t="inlineStr">
        <is>
          <t>R0068</t>
        </is>
      </c>
      <c r="B25" s="49" t="n">
        <v>2026</v>
      </c>
      <c r="C25" s="49" t="inlineStr">
        <is>
          <t>AI Driven Multi-Stage Modeling and Simulation Framework for Optimizing Healthcare Supply Chains</t>
        </is>
      </c>
      <c r="D25" s="49" t="inlineStr">
        <is>
          <t>Proceedings - 4th IEEE International Conference on Device Intelligence, Computing and Communication Technologies, DICCT 2026</t>
        </is>
      </c>
      <c r="E25" s="49" t="inlineStr">
        <is>
          <t>10.1109/dicct69099.2026.11535970</t>
        </is>
      </c>
      <c r="F25" s="49" t="inlineStr">
        <is>
          <t>Conference paper</t>
        </is>
      </c>
      <c r="G25" s="49" t="n">
        <v>2</v>
      </c>
      <c r="H25" s="49" t="inlineStr"/>
      <c r="I25" s="49" t="inlineStr">
        <is>
          <t>Cadena de suministro sanitaria: "Advanced artificial intelligence and machine learning models are used for demand forecasting, inventory optimization, and risk mitigation, while digital twin simulations enable scenario testing under disruptions"; caso hipotético.</t>
        </is>
      </c>
    </row>
    <row r="26">
      <c r="A26" s="49" t="inlineStr">
        <is>
          <t>R0076</t>
        </is>
      </c>
      <c r="B26" s="49" t="n">
        <v>2026</v>
      </c>
      <c r="C26" s="49" t="inlineStr">
        <is>
          <t>Convergence of AI, Data, and Robotics in Circular Manufacturing: The Circular TwAIn Platform for the Li-Ion Traction Batteries Value Chain</t>
        </is>
      </c>
      <c r="D26" s="49" t="inlineStr">
        <is>
          <t>Springer Proceedings in Mathematics and Statistics</t>
        </is>
      </c>
      <c r="E26" s="49" t="inlineStr">
        <is>
          <t>10.1007/978-3-032-19167-0_15</t>
        </is>
      </c>
      <c r="F26" s="49" t="inlineStr">
        <is>
          <t>Conference paper</t>
        </is>
      </c>
      <c r="G26" s="49" t="n">
        <v>2</v>
      </c>
      <c r="H26" s="49" t="inlineStr"/>
      <c r="I26" s="49" t="inlineStr">
        <is>
          <t>Confirmado 2026-09-05 por Rodrigo: incluir para verificación en texto completo. Base explícita: "digital twin simulations" en el resumen, palabra clave de índice "Digital twin" y plataforma Circular TwAIn aplicada a una cadena de valor con "transport and logistics operators". Si el texto completo no describe un gemelo, se excluye en esa etapa por ausencia de gemelo.</t>
        </is>
      </c>
    </row>
    <row r="27">
      <c r="A27" s="49" t="inlineStr">
        <is>
          <t>R0077</t>
        </is>
      </c>
      <c r="B27" s="49" t="n">
        <v>2026</v>
      </c>
      <c r="C27" s="49" t="inlineStr">
        <is>
          <t>Decentralised Manufacturing as a Networked Cyber–Physical System: Formalising Free and Open-Source Software Governance and ML Adaptation for Distributed Robustness</t>
        </is>
      </c>
      <c r="D27" s="49" t="inlineStr">
        <is>
          <t>Systems</t>
        </is>
      </c>
      <c r="E27" s="49" t="inlineStr">
        <is>
          <t>10.3390/systems14050469</t>
        </is>
      </c>
      <c r="F27" s="49" t="inlineStr">
        <is>
          <t>Article</t>
        </is>
      </c>
      <c r="G27" s="49" t="n">
        <v>2</v>
      </c>
      <c r="H27" s="49" t="inlineStr">
        <is>
          <t>Make</t>
        </is>
      </c>
      <c r="I27" s="49" t="inlineStr">
        <is>
          <t>[Make] Confirmado 2026-09-05 por Rodrigo: gemelos locales con ML ("node-local digital twins—each hosting a machine learning (ML) disturbance estimator") cuyo marco se aplica a la perturbación de cadena como caso propio del estudio ("supply chain disruption"); encuadre de resiliencia de cadena aceptado bajo la regla Make (gemelos de nodos de fabricación). Rodrigo lo considera además antecedente relevante.</t>
        </is>
      </c>
    </row>
    <row r="28">
      <c r="A28" s="49" t="inlineStr">
        <is>
          <t>R0078</t>
        </is>
      </c>
      <c r="B28" s="49" t="n">
        <v>2026</v>
      </c>
      <c r="C28" s="49" t="inlineStr">
        <is>
          <t>A machine learning approach for forecasting resilient material delivery in the construction industry</t>
        </is>
      </c>
      <c r="D28" s="49" t="inlineStr">
        <is>
          <t>International Journal of Production Research</t>
        </is>
      </c>
      <c r="E28" s="49" t="inlineStr">
        <is>
          <t>10.1080/00207543.2025.2482733</t>
        </is>
      </c>
      <c r="F28" s="49" t="inlineStr">
        <is>
          <t>Article</t>
        </is>
      </c>
      <c r="G28" s="49" t="n">
        <v>2</v>
      </c>
      <c r="H28" s="49" t="inlineStr"/>
      <c r="I28" s="49" t="inlineStr">
        <is>
          <t>"the authors propose a novel digital twin-enabled model for mapping delivery networks and monitoring supply chain risks" con el modelo M3HMM frente a LR, SVR, GMM y LSTM (construcción).</t>
        </is>
      </c>
    </row>
    <row r="29">
      <c r="A29" s="49" t="inlineStr">
        <is>
          <t>R0080</t>
        </is>
      </c>
      <c r="B29" s="49" t="n">
        <v>2026</v>
      </c>
      <c r="C29" s="49" t="inlineStr">
        <is>
          <t>An intelligent Digital Twin based on machine learning for interpretable decision-making in manufacturing</t>
        </is>
      </c>
      <c r="D29" s="49" t="inlineStr">
        <is>
          <t>International Journal of Production Economics</t>
        </is>
      </c>
      <c r="E29" s="49" t="inlineStr">
        <is>
          <t>10.1016/j.ijpe.2025.109841</t>
        </is>
      </c>
      <c r="F29" s="49" t="inlineStr">
        <is>
          <t>Article</t>
        </is>
      </c>
      <c r="G29" s="49" t="n">
        <v>2</v>
      </c>
      <c r="H29" s="49" t="inlineStr">
        <is>
          <t>Make</t>
        </is>
      </c>
      <c r="I29" s="49" t="inlineStr">
        <is>
          <t>[Make] Gemelo inteligente con ML interpretable y LLM para programación de producción (investigación-acción en Adige Spa); encuadre de cadena: palabra clave de autor "Supply chain" y la frase "One of the main obstacles to the broad adoption of iDTs in operations and supply chain management is the reliance on opaque AI models". Make más débil del lote (bajo C5 estricta sería E2); relevante para HITL. | Auditoría final 2026-09-06: se mantiene I; Make más débil (C5): encuadre de cadena por palabra clave y una frase de gestión de operaciones y cadena ("adoption of iDTs in operations and supply chain management"); conservado por su relevancia HITL directa ("keeping humans at the core of the process", ML interpretable y LLM); veto posible.</t>
        </is>
      </c>
    </row>
    <row r="30">
      <c r="A30" s="49" t="inlineStr">
        <is>
          <t>R0081</t>
        </is>
      </c>
      <c r="B30" s="49" t="n">
        <v>2026</v>
      </c>
      <c r="C30" s="49" t="inlineStr">
        <is>
          <t>Digital Twin-Enabled Conversion of Spent Mushroom Substrate for Circular Manufacturing</t>
        </is>
      </c>
      <c r="D30" s="49" t="inlineStr">
        <is>
          <t>Lecture Notes in Mechanical Engineering</t>
        </is>
      </c>
      <c r="E30" s="49" t="inlineStr">
        <is>
          <t>10.1007/978-3-032-21157-6_47</t>
        </is>
      </c>
      <c r="F30" s="49" t="inlineStr">
        <is>
          <t>Conference paper</t>
        </is>
      </c>
      <c r="G30" s="49" t="n">
        <v>2</v>
      </c>
      <c r="H30" s="49" t="inlineStr">
        <is>
          <t>Make</t>
        </is>
      </c>
      <c r="I30" s="49" t="inlineStr">
        <is>
          <t>[Make] Gemelo de proceso de conversión de residuo agrícola con "sensor networks and machine learning algorithms"; la cadena forma parte de las preguntas de investigación: "research questions on optimizing SMS conversion and enhancing supply chain management". Make; verificar el componente de cadena en texto completo. | Auditoría final 2026-09-06: se mantiene I; Make conservado tras la verificación independiente: el encuadre de cadena es una pregunta de investigación del propio estudio ("By addressing research questions on optimizing SMS conversion and enhancing supply chain management"), no una frase de cierre (C5), con gemelo piloto y ML ("Leveraging sensor networks and machine learning algorithms, the study presents a pilot implementation using historical data"); verificar en texto completo que el gemelo cubra el flujo de suministro del sustrato y no sólo la conversión.</t>
        </is>
      </c>
    </row>
    <row r="31">
      <c r="A31" s="49" t="inlineStr">
        <is>
          <t>R0082</t>
        </is>
      </c>
      <c r="B31" s="49" t="n">
        <v>2026</v>
      </c>
      <c r="C31" s="49" t="inlineStr">
        <is>
          <t>Digital Twin Framework for Supermarket Supply Chain Management Using Predictive Analytics</t>
        </is>
      </c>
      <c r="D31" s="49" t="inlineStr">
        <is>
          <t>2026 International Conference on System, Computation, Automation and Networking, ICSCAN 2026</t>
        </is>
      </c>
      <c r="E31" s="49" t="inlineStr">
        <is>
          <t>10.1109/icscan66520.2026.11588493</t>
        </is>
      </c>
      <c r="F31" s="49" t="inlineStr">
        <is>
          <t>Conference paper</t>
        </is>
      </c>
      <c r="G31" s="49" t="n">
        <v>2</v>
      </c>
      <c r="H31" s="49" t="inlineStr"/>
      <c r="I31" s="49" t="inlineStr">
        <is>
          <t>"The Digital Twin Framework will create a virtual version of the supply chain in supermarkets" y "The use of predictive analysis and machine learning algorithms will help in the prediction of future demand" (RF, SVR). Conceptual, artículo breve.</t>
        </is>
      </c>
    </row>
    <row r="32">
      <c r="A32" s="49" t="inlineStr">
        <is>
          <t>R0084</t>
        </is>
      </c>
      <c r="B32" s="49" t="n">
        <v>2026</v>
      </c>
      <c r="C32" s="49" t="inlineStr">
        <is>
          <t>Agentic digital twins: bridging model-based and AI-driven decision-making support for a new era of supply chain and operations management</t>
        </is>
      </c>
      <c r="D32" s="49" t="inlineStr">
        <is>
          <t>International Journal of Production Research</t>
        </is>
      </c>
      <c r="E32" s="49" t="inlineStr">
        <is>
          <t>10.1080/00207543.2026.2630277</t>
        </is>
      </c>
      <c r="F32" s="49" t="inlineStr">
        <is>
          <t>Article</t>
        </is>
      </c>
      <c r="G32" s="49" t="n">
        <v>2</v>
      </c>
      <c r="H32" s="49" t="inlineStr"/>
      <c r="I32" s="49" t="inlineStr">
        <is>
          <t>Conceptual: "This paper conceptualises the notion of agentic supply chain digital twins (A-SCDT) triangulating the composition of agentic AI, digital twins, and model-based optimisation and simulation"; dos casos industriales.</t>
        </is>
      </c>
    </row>
    <row r="33">
      <c r="A33" s="49" t="inlineStr">
        <is>
          <t>R0089</t>
        </is>
      </c>
      <c r="B33" s="49" t="n">
        <v>2026</v>
      </c>
      <c r="C33" s="49" t="inlineStr">
        <is>
          <t>Research on Coordinated Scheduling Optimization of Urban Transportation and Logistics Driven by Digital Twin</t>
        </is>
      </c>
      <c r="D33" s="49" t="inlineStr">
        <is>
          <t>Lecture Notes in Electrical Engineering</t>
        </is>
      </c>
      <c r="E33" s="49" t="inlineStr">
        <is>
          <t>10.1007/978-981-95-8056-9_35</t>
        </is>
      </c>
      <c r="F33" s="49" t="inlineStr">
        <is>
          <t>Conference paper</t>
        </is>
      </c>
      <c r="G33" s="49" t="n">
        <v>2</v>
      </c>
      <c r="H33" s="49" t="inlineStr"/>
      <c r="I33" s="49" t="inlineStr">
        <is>
          <t>"constructing a digital twin framework that integrates multi-source data and high-fidelity models" con "agent-based modeling and reinforcement learning" para transporte urbano y logística (reserva de almacén, logística de emergencia).</t>
        </is>
      </c>
    </row>
    <row r="34">
      <c r="A34" s="49" t="inlineStr">
        <is>
          <t>R0094</t>
        </is>
      </c>
      <c r="B34" s="49" t="n">
        <v>2026</v>
      </c>
      <c r="C34" s="49" t="inlineStr">
        <is>
          <t>An Adaptive Supply Chain Stress Testing Framework with Deep Learning</t>
        </is>
      </c>
      <c r="D34" s="49" t="inlineStr">
        <is>
          <t>TRANSPORT TRANSITIONS: ADVANCING SUSTAINABLE AND INCLUSIVE MOBILITY, TRA CONFERENCE 2024, VOL 5</t>
        </is>
      </c>
      <c r="E34" s="49" t="inlineStr">
        <is>
          <t>10.1007/978-3-032-04774-8_75</t>
        </is>
      </c>
      <c r="F34" s="49" t="inlineStr">
        <is>
          <t>Proceedings Paper</t>
        </is>
      </c>
      <c r="G34" s="49" t="n">
        <v>2</v>
      </c>
      <c r="H34" s="49" t="inlineStr"/>
      <c r="I34" s="49" t="inlineStr">
        <is>
          <t>Conceptual: "The framework is based on a supply chain digital twin that will be formed with the industrial Internet of Things technology for accessing field data, machine learning models for disruption prediction" y un "deep learning-based surrogate model of the digital supply chain twin".</t>
        </is>
      </c>
    </row>
    <row r="35">
      <c r="A35" s="49" t="inlineStr">
        <is>
          <t>R0097</t>
        </is>
      </c>
      <c r="B35" s="49" t="n">
        <v>2025</v>
      </c>
      <c r="C35" s="49" t="inlineStr">
        <is>
          <t>A simulation-based digital twin model for data-driven decision optimization</t>
        </is>
      </c>
      <c r="D35" s="49" t="inlineStr">
        <is>
          <t>Decision Analytics Journal</t>
        </is>
      </c>
      <c r="E35" s="49" t="inlineStr">
        <is>
          <t>10.1016/j.dajour.2025.100646</t>
        </is>
      </c>
      <c r="F35" s="49" t="inlineStr">
        <is>
          <t>Article</t>
        </is>
      </c>
      <c r="G35" s="49" t="n">
        <v>2</v>
      </c>
      <c r="H35" s="49" t="inlineStr">
        <is>
          <t>Make</t>
        </is>
      </c>
      <c r="I35" s="49" t="inlineStr">
        <is>
          <t>[Make] Gemelo de simulación de manufactura (DES) con ML que "supports dynamic manufacturing decision making during a supply chain disruption by combining real-time data with predictive machine learning algorithms"; estrategias de mitigación con políticas de inventario y cantidad de reorden. Make.</t>
        </is>
      </c>
    </row>
    <row r="36">
      <c r="A36" s="49" t="inlineStr">
        <is>
          <t>R0105</t>
        </is>
      </c>
      <c r="B36" s="49" t="n">
        <v>2025</v>
      </c>
      <c r="C36" s="49" t="inlineStr">
        <is>
          <t>Smart Supply Chain Management with Artificial Intelligence: Toward Resilient and Sustainable Industrial Automation in Industry 4.0</t>
        </is>
      </c>
      <c r="D36" s="49" t="inlineStr">
        <is>
          <t>2025 International Conference on ICT for Smart Society, ICISS 2025</t>
        </is>
      </c>
      <c r="E36" s="49" t="inlineStr">
        <is>
          <t>10.1109/iciss66954.2025.11389384</t>
        </is>
      </c>
      <c r="F36" s="49" t="inlineStr">
        <is>
          <t>Conference paper</t>
        </is>
      </c>
      <c r="G36" s="49" t="n">
        <v>3</v>
      </c>
      <c r="H36" s="49" t="inlineStr"/>
      <c r="I36" s="49" t="inlineStr">
        <is>
          <t>DSS habilitado por IA para resiliencia de cadena (DSRM): "we present a system composed of predictive analytics, real-time optimization, and digital twin simulation modules"; caso simulado en FMCG de Indonesia.</t>
        </is>
      </c>
    </row>
    <row r="37">
      <c r="A37" s="49" t="inlineStr">
        <is>
          <t>R0107</t>
        </is>
      </c>
      <c r="B37" s="49" t="n">
        <v>2025</v>
      </c>
      <c r="C37" s="49" t="inlineStr">
        <is>
          <t>Digital Twin-Enabled IoT Architecture for Early Fault Detection and Integrated Forklift Monitoring Using an ESP32 Platform</t>
        </is>
      </c>
      <c r="D37" s="49" t="inlineStr">
        <is>
          <t>Proceedings of the 2025 IEEE 32nd International Conference on Electronics, Electrical Engineering and Computing, INTERCON 2025</t>
        </is>
      </c>
      <c r="E37" s="49" t="inlineStr">
        <is>
          <t>10.1109/intercon67304.2025.11244693</t>
        </is>
      </c>
      <c r="F37" s="49" t="inlineStr">
        <is>
          <t>Conference paper</t>
        </is>
      </c>
      <c r="G37" s="49" t="n">
        <v>3</v>
      </c>
      <c r="H37" s="49" t="inlineStr"/>
      <c r="I37" s="49" t="inlineStr">
        <is>
          <t>Gemelo de bajo costo de montacargas para "fleet management in heavy equipment rental companies" y "demanding logistics contexts"; la IA sólo propuesta: "integration with machine learning algorithms is proposed for failure prediction". Regla de sensibilidad; gemelo a nivel de activo. | Auditoría final 2026-09-06: se mantiene I; gemelo implementado ("implementation of a low-cost Digital Twin using an ESP32 microcontroller") en contexto logístico ("fleet management in heavy equipment rental companies"), con el ML como componente propuesto de la arquitectura ("integration with machine learning algorithms is proposed for failure prediction"); se mantiene bajo la tercera precisión de C8 (el Codebook registra que R0107 se sostiene); el texto completo decide si el ML se implementa.</t>
        </is>
      </c>
    </row>
    <row r="38">
      <c r="A38" s="49" t="inlineStr">
        <is>
          <t>R0108</t>
        </is>
      </c>
      <c r="B38" s="49" t="n">
        <v>2025</v>
      </c>
      <c r="C38" s="49" t="inlineStr">
        <is>
          <t>Symbiotic Artificial Intelligence Twin Framework for Circular Manufacturing: A Sustainability-Led Industry 5.0 Framework</t>
        </is>
      </c>
      <c r="D38" s="49" t="inlineStr">
        <is>
          <t>2025 IEEE 7th International Conference on Computing, Communication and Automation, ICCCA 2025</t>
        </is>
      </c>
      <c r="E38" s="49" t="inlineStr">
        <is>
          <t>10.1109/iccca66364.2025.11325651</t>
        </is>
      </c>
      <c r="F38" s="49" t="inlineStr">
        <is>
          <t>Conference paper</t>
        </is>
      </c>
      <c r="G38" s="49" t="n">
        <v>3</v>
      </c>
      <c r="H38" s="49" t="inlineStr">
        <is>
          <t>Make</t>
        </is>
      </c>
      <c r="I38" s="49" t="inlineStr">
        <is>
          <t>[Make] Marco SATF: "combines one or more cognitive digital twins for the real-time mirroring of systems with edge artificial intelligence (AI) employing federated learning for distributed decision-making, while involving a human-in-the-loop (HITL)"; encuadre de cadena en el propio marco ("bio-inspired optimization methods in combination with supply chain mapping"). Make; relevante para HITL.</t>
        </is>
      </c>
    </row>
    <row r="39">
      <c r="A39" s="49" t="inlineStr">
        <is>
          <t>R0113</t>
        </is>
      </c>
      <c r="B39" s="49" t="n">
        <v>2025</v>
      </c>
      <c r="C39" s="49" t="inlineStr">
        <is>
          <t>Enhancing Smart City Logistics Through IoT-Enabled Predictive Analytics: A Digital Twin and Cybernetic Feedback Approach</t>
        </is>
      </c>
      <c r="D39" s="49" t="inlineStr">
        <is>
          <t>Smart Cities</t>
        </is>
      </c>
      <c r="E39" s="49" t="inlineStr">
        <is>
          <t>10.3390/smartcities8020056</t>
        </is>
      </c>
      <c r="F39" s="49" t="inlineStr">
        <is>
          <t>Article</t>
        </is>
      </c>
      <c r="G39" s="49" t="n">
        <v>3</v>
      </c>
      <c r="H39" s="49" t="inlineStr"/>
      <c r="I39" s="49" t="inlineStr">
        <is>
          <t>"This study presents a predictive analytics framework integrating digital twin technology, IoT-enabled logistics data, and cybernetic feedback loops to improve last-mile delivery accuracy" con "machine learning-driven predictive analytics".</t>
        </is>
      </c>
    </row>
    <row r="40">
      <c r="A40" s="49" t="inlineStr">
        <is>
          <t>R0116</t>
        </is>
      </c>
      <c r="B40" s="49" t="n">
        <v>2025</v>
      </c>
      <c r="C40" s="49" t="inlineStr">
        <is>
          <t>Method for Rrecognizing and Generating Three-Dimensional Objects to Create Digital Twins</t>
        </is>
      </c>
      <c r="D40" s="49" t="inlineStr">
        <is>
          <t>International Journal of Fuzzy Logic and Intelligent Systems</t>
        </is>
      </c>
      <c r="E40" s="49" t="inlineStr">
        <is>
          <t>10.5391/ijfis.2025.25.1.97</t>
        </is>
      </c>
      <c r="F40" s="49" t="inlineStr">
        <is>
          <t>Article</t>
        </is>
      </c>
      <c r="G40" s="49" t="n">
        <v>3</v>
      </c>
      <c r="H40" s="49" t="inlineStr"/>
      <c r="I40" s="49" t="inlineStr">
        <is>
          <t>Visión por computadora (U-Net, YOLOv8) para reconstruir la topología de patios de contenedores y crear gemelos de "marine and river logistics enterprises"; "digital twin technologies, which enable real-time visualization of all processes, are being used". Nota: IA para construir el gemelo (nivel descriptivo).</t>
        </is>
      </c>
    </row>
    <row r="41">
      <c r="A41" s="49" t="inlineStr">
        <is>
          <t>R0118</t>
        </is>
      </c>
      <c r="B41" s="49" t="n">
        <v>2025</v>
      </c>
      <c r="C41" s="49" t="inlineStr">
        <is>
          <t>Productivity Enhancement in the Indian Auto Component Manufacturing Supply Chain Through IoT, Digital Twins with Generative AI, and Stacked Encoder-Enhanced Neural Networks</t>
        </is>
      </c>
      <c r="D41" s="49" t="inlineStr">
        <is>
          <t>Operations Research Forum</t>
        </is>
      </c>
      <c r="E41" s="49" t="inlineStr">
        <is>
          <t>10.1007/s43069-025-00522-0</t>
        </is>
      </c>
      <c r="F41" s="49" t="inlineStr">
        <is>
          <t>Article</t>
        </is>
      </c>
      <c r="G41" s="49" t="n">
        <v>3</v>
      </c>
      <c r="H41" s="49" t="inlineStr">
        <is>
          <t>Make</t>
        </is>
      </c>
      <c r="I41" s="49" t="inlineStr">
        <is>
          <t>[Make] Cadena de autopartes india: "the Internet of Things (IoT), digital twins, generative artificial intelligence, and advanced neural networks can revolutionize this sector"; gemelos de activos de producción ("Digital twins replicate physical assets virtually, aiding scenario simulation and process improvement") encuadrados en "supply chain efficiency in the Indian auto component industry". Make. Verificar en texto completo que el gemelo exista (los resultados se atribuyen a "IoT-based systems"). | Auditoría final 2026-09-06: se mantiene I; modelo de IA nombrado ("Bayesian Network-Stacked Encoder-Puma Optimizer (BN-SE-PO) model") y cadena en el título; confirmar en texto completo que el gemelo exista más allá de la descripción genérica.</t>
        </is>
      </c>
    </row>
    <row r="42">
      <c r="A42" s="49" t="inlineStr">
        <is>
          <t>R0119</t>
        </is>
      </c>
      <c r="B42" s="49" t="n">
        <v>2025</v>
      </c>
      <c r="C42" s="49" t="inlineStr">
        <is>
          <t>Digital twin integration for dynamic quality loss control in fruit supply chains</t>
        </is>
      </c>
      <c r="D42" s="49" t="inlineStr">
        <is>
          <t>Journal of Food Engineering</t>
        </is>
      </c>
      <c r="E42" s="49" t="inlineStr">
        <is>
          <t>10.1016/j.jfoodeng.2025.112577</t>
        </is>
      </c>
      <c r="F42" s="49" t="inlineStr">
        <is>
          <t>Article</t>
        </is>
      </c>
      <c r="G42" s="49" t="n">
        <v>3</v>
      </c>
      <c r="H42" s="49" t="inlineStr"/>
      <c r="I42" s="49" t="inlineStr">
        <is>
          <t>Cadena de frío de fruta: "a long short-term memory (LSTM) based model" y "applying our box-level digital twin model" para estimar vida de anaquel; reducción de pérdida de alimentos simulada.</t>
        </is>
      </c>
    </row>
    <row r="43">
      <c r="A43" s="49" t="inlineStr">
        <is>
          <t>R0127</t>
        </is>
      </c>
      <c r="B43" s="49" t="n">
        <v>2025</v>
      </c>
      <c r="C43" s="49" t="inlineStr">
        <is>
          <t>Generative AI-Powered Digital Twins in Aviation: A Framework for Intelligent Simulation and Decision Making</t>
        </is>
      </c>
      <c r="D43" s="49" t="inlineStr">
        <is>
          <t>Proceedings - 2025 IEEE International Symposium on Emerging Metaverse, ISEMV 2025</t>
        </is>
      </c>
      <c r="E43" s="49" t="inlineStr">
        <is>
          <t>10.1109/isemv67326.2025.00034</t>
        </is>
      </c>
      <c r="F43" s="49" t="inlineStr">
        <is>
          <t>Conference paper</t>
        </is>
      </c>
      <c r="G43" s="49" t="n">
        <v>3</v>
      </c>
      <c r="H43" s="49" t="inlineStr">
        <is>
          <t>Make</t>
        </is>
      </c>
      <c r="I43" s="49" t="inlineStr">
        <is>
          <t>[Make] Marco de gemelos de aviación con IA generativa ("integrates neural networks, autoencoders, and large language models with aviation digital twin architectures") con alcance explícito en logística: "across aviation manufacturing and logistics domains" y "logistics inventory optimization". Conceptual. | Auditoría final 2026-09-06: se mantiene I; Make añadido: gemelos de manufactura aeronáutica con encuadre logístico explícito ("across aviation manufacturing and logistics domains", "logistics inventory optimization", "supply chain networks").</t>
        </is>
      </c>
    </row>
    <row r="44">
      <c r="A44" s="49" t="inlineStr">
        <is>
          <t>R0129</t>
        </is>
      </c>
      <c r="B44" s="49" t="n">
        <v>2025</v>
      </c>
      <c r="C44" s="49" t="inlineStr">
        <is>
          <t>Integrating digital twin and blockchain for responsive working capital management in supply chains facing financial disruptions</t>
        </is>
      </c>
      <c r="D44" s="49" t="inlineStr">
        <is>
          <t>International Journal of Production Research</t>
        </is>
      </c>
      <c r="E44" s="49" t="inlineStr">
        <is>
          <t>10.1080/00207543.2025.2507112</t>
        </is>
      </c>
      <c r="F44" s="49" t="inlineStr">
        <is>
          <t>Article</t>
        </is>
      </c>
      <c r="G44" s="49" t="n">
        <v>3</v>
      </c>
      <c r="H44" s="49" t="inlineStr"/>
      <c r="I44" s="49" t="inlineStr">
        <is>
          <t>Marco gemelo + blockchain para capital de trabajo en cadenas con disrupción financiera: "discrete-event simulation assesses the impact of financial disruptions on working capital performance, while machine learning models generate decision rules for adaptive working capital management".</t>
        </is>
      </c>
    </row>
    <row r="45">
      <c r="A45" s="49" t="inlineStr">
        <is>
          <t>R0137</t>
        </is>
      </c>
      <c r="B45" s="49" t="n">
        <v>2025</v>
      </c>
      <c r="C45" s="49" t="inlineStr">
        <is>
          <t>From digital twins to supply chain ecosystems</t>
        </is>
      </c>
      <c r="D45" s="49" t="inlineStr">
        <is>
          <t>IFAC-PapersOnLine</t>
        </is>
      </c>
      <c r="E45" s="49" t="inlineStr">
        <is>
          <t>10.1016/j.ifacol.2025.09.014</t>
        </is>
      </c>
      <c r="F45" s="49" t="inlineStr">
        <is>
          <t>Conference paper</t>
        </is>
      </c>
      <c r="G45" s="49" t="n">
        <v>3</v>
      </c>
      <c r="H45" s="49" t="inlineStr"/>
      <c r="I45" s="49" t="inlineStr">
        <is>
          <t>Conceptual (extensión del iDT a ecosistemas digitales de cadena): "we elaborate on how simulation, digital technologies and artificial intelligence (AI) can be combined to achieve a principally new quality of modeling and decision-making support in supply chain management"; IA generativa y ontologías para generar modelos.</t>
        </is>
      </c>
    </row>
    <row r="46">
      <c r="A46" s="49" t="inlineStr">
        <is>
          <t>R0142</t>
        </is>
      </c>
      <c r="B46" s="49" t="n">
        <v>2025</v>
      </c>
      <c r="C46" s="49" t="inlineStr">
        <is>
          <t>Optimizing the Supply Chain through Instanteneous Synchronization of Logistics Interfaces: A Supply Chain 4.0 Framework</t>
        </is>
      </c>
      <c r="D46" s="49" t="inlineStr">
        <is>
          <t>2025 IEEE International Conference on Advanced Technologies in Supply Chain Management, ATSCM 2025</t>
        </is>
      </c>
      <c r="E46" s="49" t="inlineStr">
        <is>
          <t>10.1109/atscm67505.2025.11473850</t>
        </is>
      </c>
      <c r="F46" s="49" t="inlineStr">
        <is>
          <t>Conference paper</t>
        </is>
      </c>
      <c r="G46" s="49" t="n">
        <v>3</v>
      </c>
      <c r="H46" s="49" t="inlineStr"/>
      <c r="I46" s="49" t="inlineStr">
        <is>
          <t>Arquitectura ASC-6 de sincronización en tiempo real con "Prediction and Prescription intelligence with LSTMs neural nets &amp; Anomaly detection algorithms"; gemelo como método de validación: "A validation protocol of a particular scenario using Agent Based Modeling (ABM) and Digital Twin simulations is proposed to compare the robustness of ASC-6". | Auditoría final 2026-09-06: se mantiene I; el gemelo es método de validación ("Agent Based Modeling (ABM) and Digital Twin simulations"), no el objeto; el texto completo decide si el gemelo se describe.</t>
        </is>
      </c>
    </row>
    <row r="47">
      <c r="A47" s="49" t="inlineStr">
        <is>
          <t>R0146</t>
        </is>
      </c>
      <c r="B47" s="49" t="n">
        <v>2025</v>
      </c>
      <c r="C47" s="49" t="inlineStr">
        <is>
          <t>Design of an Iterative Model with Quantum Contextual Supply Chain Optimization under Uncertainty Scenarios</t>
        </is>
      </c>
      <c r="D47" s="49" t="inlineStr">
        <is>
          <t>EPJ Web of Conferences</t>
        </is>
      </c>
      <c r="E47" s="49" t="inlineStr">
        <is>
          <t>10.1051/epjconf/202534101055</t>
        </is>
      </c>
      <c r="F47" s="49" t="inlineStr">
        <is>
          <t>Conference paper</t>
        </is>
      </c>
      <c r="G47" s="49" t="n">
        <v>3</v>
      </c>
      <c r="H47" s="49" t="inlineStr"/>
      <c r="I47" s="49" t="inlineStr">
        <is>
          <t>Optimización cuántica de cadena con RL cuántico y gemelo integrado: "feeds its output into a Quantum-Integrated Digital Twin Optimizer (QIDTO) that stress-tests plans against detailed virtual replicas of trucks, warehouses, and fuel markets". Nota: propuesta especulativa; calidad por evaluar.</t>
        </is>
      </c>
    </row>
    <row r="48">
      <c r="A48" s="49" t="inlineStr">
        <is>
          <t>R0148</t>
        </is>
      </c>
      <c r="B48" s="49" t="n">
        <v>2025</v>
      </c>
      <c r="C48" s="49" t="inlineStr">
        <is>
          <t>AI Based Advanced Green Supply Chain Through Sustainable Finance Strategies</t>
        </is>
      </c>
      <c r="D48" s="49" t="inlineStr">
        <is>
          <t>Proceedings - 2025 IEEE 1st International Conference on Smart Innovations in Systems, Infrastructure, Mechanical, Power, AI and Computing Technologies, SISIMPACT 2025</t>
        </is>
      </c>
      <c r="E48" s="49" t="inlineStr">
        <is>
          <t>10.1109/sisimpact67725.2025.11439853</t>
        </is>
      </c>
      <c r="F48" s="49" t="inlineStr">
        <is>
          <t>Conference paper</t>
        </is>
      </c>
      <c r="G48" s="49" t="n">
        <v>3</v>
      </c>
      <c r="H48" s="49" t="inlineStr"/>
      <c r="I48" s="49" t="inlineStr">
        <is>
          <t>Marco IGC-Fin para cadena verde: "The framework combines Deep Q-Learning used in the dynamic optimization of policy with the Green-Aware Digital Twin"; blockchain para trazabilidad. Nota: cifras poco claras ("overall accuracy of 97.8%"); calidad por evaluar.</t>
        </is>
      </c>
    </row>
    <row r="49">
      <c r="A49" s="49" t="inlineStr">
        <is>
          <t>R0150</t>
        </is>
      </c>
      <c r="B49" s="49" t="n">
        <v>2025</v>
      </c>
      <c r="C49" s="49" t="inlineStr">
        <is>
          <t>Predictive Reliability-Driven Optimization of Spare Parts Management in Aircraft Fleets Using AI, IoT, and Digital Twin Technologies</t>
        </is>
      </c>
      <c r="D49" s="49" t="inlineStr">
        <is>
          <t>Journal of Engineering Management and Systems Engineering</t>
        </is>
      </c>
      <c r="E49" s="49" t="inlineStr">
        <is>
          <t>10.56578/jemse040305</t>
        </is>
      </c>
      <c r="F49" s="49" t="inlineStr">
        <is>
          <t>Article</t>
        </is>
      </c>
      <c r="G49" s="49" t="n">
        <v>3</v>
      </c>
      <c r="H49" s="49" t="inlineStr"/>
      <c r="I49" s="49" t="inlineStr">
        <is>
          <t>Inventario de refacciones en flotas aéreas: "Predictive models, including Long Short-Term Memory (LSTM) neural networks and Random Forest classifiers, are employed to enhance the accuracy of failure prognostics and spare parts demand forecasting" e "integrating real-time analytics with digital twin simulations"; logística de aviación.</t>
        </is>
      </c>
    </row>
    <row r="50">
      <c r="A50" s="49" t="inlineStr">
        <is>
          <t>R0152</t>
        </is>
      </c>
      <c r="B50" s="49" t="n">
        <v>2025</v>
      </c>
      <c r="C50" s="49" t="inlineStr">
        <is>
          <t>Enhancing Liquefied Natural Gas supply chain robustness through digital twin-driven machine learning models: A special case of cryogenic heat exchanger</t>
        </is>
      </c>
      <c r="D50" s="49" t="inlineStr">
        <is>
          <t>Gas Science and Engineering</t>
        </is>
      </c>
      <c r="E50" s="49" t="inlineStr">
        <is>
          <t>10.1016/j.jgsce.2025.205714</t>
        </is>
      </c>
      <c r="F50" s="49" t="inlineStr">
        <is>
          <t>Article</t>
        </is>
      </c>
      <c r="G50" s="49" t="n">
        <v>4</v>
      </c>
      <c r="H50" s="49" t="inlineStr">
        <is>
          <t>Make</t>
        </is>
      </c>
      <c r="I50" s="49" t="inlineStr">
        <is>
          <t>[Make] Gemelo de equipo de licuefacción con ML encuadrado en la robustez de la cadena de GNL (título y palabras clave "LNG supply chain", "Supply chain resilience"): "the framework integrates digital twins (DT), machine learning (ML), and predictive model to enable real-time monitoring, early failure detection, and proactive mitigation". Make (precedente R0077). | Auditoría final 2026-09-06: Informe compañero: R0155 (IEEM 2025) excluido como E6 por la regla de pares; este artículo de revista es el informe principal.</t>
        </is>
      </c>
    </row>
    <row r="51">
      <c r="A51" s="49" t="inlineStr">
        <is>
          <t>R0157</t>
        </is>
      </c>
      <c r="B51" s="49" t="n">
        <v>2025</v>
      </c>
      <c r="C51" s="49" t="inlineStr">
        <is>
          <t>Supply Chain Data Analytics for Digital Twins: A Comprehensive Framework</t>
        </is>
      </c>
      <c r="D51" s="49" t="inlineStr">
        <is>
          <t>Applied Sciences (Switzerland)</t>
        </is>
      </c>
      <c r="E51" s="49" t="inlineStr">
        <is>
          <t>10.3390/app15126939</t>
        </is>
      </c>
      <c r="F51" s="49" t="inlineStr">
        <is>
          <t>Article</t>
        </is>
      </c>
      <c r="G51" s="49" t="n">
        <v>4</v>
      </c>
      <c r="H51" s="49" t="inlineStr"/>
      <c r="I51" s="49" t="inlineStr">
        <is>
          <t>Arquitectura analítica que aporta "an intelligent layer to Digital Twins" en "industrial supply chains", implementada y demostrada en dos casos (España y Grecia); el ML se sostiene en la palabra clave de autor "machine learning" y en el contexto analítico del resumen. Incluido por sensibilidad; confirmar el componente ML en texto completo. | Auditoría final 2026-09-06: se mantiene I; el ML se sostiene en "utilizing machine learning to propose sustainability initiatives" y en la palabra clave de autor; confirmar el componente ML de la capa inteligente en texto completo.</t>
        </is>
      </c>
    </row>
    <row r="52">
      <c r="A52" s="49" t="inlineStr">
        <is>
          <t>R0158</t>
        </is>
      </c>
      <c r="B52" s="49" t="n">
        <v>2025</v>
      </c>
      <c r="C52" s="49" t="inlineStr">
        <is>
          <t>Supply Chain Resilient Security for Industrial 4.0 Using AI-Based and Digital Twin Anomaly Detection</t>
        </is>
      </c>
      <c r="D52" s="49" t="inlineStr">
        <is>
          <t>Proceedings of the 2025 International Conference on Computational Intelligence, Security, and Artificial Intelligence, IntelliSecAI 2025</t>
        </is>
      </c>
      <c r="E52" s="49" t="inlineStr">
        <is>
          <t>10.1109/intellisecai66368.2025.11472943</t>
        </is>
      </c>
      <c r="F52" s="49" t="inlineStr">
        <is>
          <t>Conference paper</t>
        </is>
      </c>
      <c r="G52" s="49" t="n">
        <v>4</v>
      </c>
      <c r="H52" s="49" t="inlineStr"/>
      <c r="I52" s="49" t="inlineStr">
        <is>
          <t>Marco SCTSF: "integrates Digital Twin Modeling to create virtual replicas of supply chain processes with the Isolation Forest Algorithm for advanced anomaly detection" en nodos de logística, manufactura y distribución. Nota: resumen con texto corrupto; calidad por evaluar.</t>
        </is>
      </c>
    </row>
    <row r="53">
      <c r="A53" s="49" t="inlineStr">
        <is>
          <t>R0162</t>
        </is>
      </c>
      <c r="B53" s="49" t="n">
        <v>2025</v>
      </c>
      <c r="C53" s="49" t="inlineStr">
        <is>
          <t>Plan Future Graph Visualization and Improvement</t>
        </is>
      </c>
      <c r="D53" s="49" t="inlineStr">
        <is>
          <t>Communications in Computer and Information Science</t>
        </is>
      </c>
      <c r="E53" s="49" t="inlineStr">
        <is>
          <t>10.1007/978-3-031-78531-3_20</t>
        </is>
      </c>
      <c r="F53" s="49" t="inlineStr">
        <is>
          <t>Conference paper</t>
        </is>
      </c>
      <c r="G53" s="49" t="n">
        <v>4</v>
      </c>
      <c r="H53" s="49" t="inlineStr"/>
      <c r="I53" s="49" t="inlineStr">
        <is>
          <t>XAI y Human-AI Teaming para planes generados por IA que el planificador humano aprueba, en "A logistics-based land delivery scenario"; fase dos "through use of digital twin simulation with an embedded Goal-Oriented Action Planning (GOAP) AI algorithm". Muy relevante para HITL.</t>
        </is>
      </c>
    </row>
    <row r="54">
      <c r="A54" s="49" t="inlineStr">
        <is>
          <t>R0164</t>
        </is>
      </c>
      <c r="B54" s="49" t="n">
        <v>2025</v>
      </c>
      <c r="C54" s="49" t="inlineStr">
        <is>
          <t>Design of a Geographic Path Model for Dongguan Export Based on Multi-Agent Reinforcement Learning and Supply Chain Simulation</t>
        </is>
      </c>
      <c r="D54" s="49" t="inlineStr">
        <is>
          <t>Proceedings of the 2025 5th International Conference on Internet of Things and Machine Learning, IoTML 2025</t>
        </is>
      </c>
      <c r="E54" s="49" t="inlineStr">
        <is>
          <t>10.1145/3749566.3749610</t>
        </is>
      </c>
      <c r="F54" s="49" t="inlineStr">
        <is>
          <t>Conference paper</t>
        </is>
      </c>
      <c r="G54" s="49" t="n">
        <v>4</v>
      </c>
      <c r="H54" s="49" t="inlineStr"/>
      <c r="I54" s="49" t="inlineStr">
        <is>
          <t>"We propose a dynamic supply chain collaborative decision-making framework that integrates Multi-Agent Reinforcement Learning (MARL) with digital twin technology" para rutas de exportación (fabricantes, proveedores logísticos, aduanas); datos reales de 300 empresas.</t>
        </is>
      </c>
    </row>
    <row r="55">
      <c r="A55" s="49" t="inlineStr">
        <is>
          <t>R0166</t>
        </is>
      </c>
      <c r="B55" s="49" t="n">
        <v>2025</v>
      </c>
      <c r="C55" s="49" t="inlineStr">
        <is>
          <t>Federated Learning-Driven Digital Twins for Adaptive Optimization in Industrial IoT Systems</t>
        </is>
      </c>
      <c r="D55" s="49" t="inlineStr">
        <is>
          <t>2025 3rd International Conference on Foundation and Large Language Models, FLLM 2025</t>
        </is>
      </c>
      <c r="E55" s="49" t="inlineStr">
        <is>
          <t>10.1109/fllm67465.2025.11391005</t>
        </is>
      </c>
      <c r="F55" s="49" t="inlineStr">
        <is>
          <t>Conference paper</t>
        </is>
      </c>
      <c r="G55" s="49" t="n">
        <v>4</v>
      </c>
      <c r="H55" s="49" t="inlineStr"/>
      <c r="I55" s="49" t="inlineStr">
        <is>
          <t>Aprendizaje federado con gemelos ("Federated Learning (FL) - a way for machines to learn without sharing raw data - is combined with Digital Twins") probado en "simulated environments like factories, power grids, and logistics networks". Encuadre logístico débil (un entorno de prueba, precedente R0077); resumen informal, calidad por evaluar. | Auditoría final 2026-09-06: se mantiene I; encuadre logístico débil ("simulated environments like factories, power grids, and logistics networks"), precedente R0077; el texto completo decide.</t>
        </is>
      </c>
    </row>
    <row r="56">
      <c r="A56" s="49" t="inlineStr">
        <is>
          <t>R0167</t>
        </is>
      </c>
      <c r="B56" s="49" t="n">
        <v>2025</v>
      </c>
      <c r="C56" s="49" t="inlineStr">
        <is>
          <t>Prescriptive Analytics for Next-Gen Supply Chains: Integrating Causal AI with Digital Twin Technologies</t>
        </is>
      </c>
      <c r="D56" s="49" t="inlineStr">
        <is>
          <t>2025 IEEE International Conference on Pattern Recognition, Machine Vision and Artificial Intelligence, PRMVAI 2025</t>
        </is>
      </c>
      <c r="E56" s="49" t="inlineStr">
        <is>
          <t>10.1109/prmvai65741.2025.11108465</t>
        </is>
      </c>
      <c r="F56" s="49" t="inlineStr">
        <is>
          <t>Conference paper</t>
        </is>
      </c>
      <c r="G56" s="49" t="n">
        <v>4</v>
      </c>
      <c r="H56" s="49" t="inlineStr"/>
      <c r="I56" s="49" t="inlineStr">
        <is>
          <t>"This paper presents an integrated framework that connects Causal Artificial Intelligence (Causal AI) with Digital Twin (DT) technologies that help prescriptive analytics for next-generation supply chains"; validado en simulación multi-escalón.</t>
        </is>
      </c>
    </row>
    <row r="57">
      <c r="A57" s="49" t="inlineStr">
        <is>
          <t>R0172</t>
        </is>
      </c>
      <c r="B57" s="49" t="n">
        <v>2025</v>
      </c>
      <c r="C57" s="49" t="inlineStr">
        <is>
          <t>Development of a Digital Twin for Global Sourcing Strategy Simulation</t>
        </is>
      </c>
      <c r="D57" s="49" t="inlineStr">
        <is>
          <t>Proceedings - 2025 3rd International Conference on Logistics Engineering, Supply Chain and Digital Transformation, LESCDT 2025</t>
        </is>
      </c>
      <c r="E57" s="49" t="inlineStr">
        <is>
          <t>10.1109/lescdt66758.2025.00026</t>
        </is>
      </c>
      <c r="F57" s="49" t="inlineStr">
        <is>
          <t>Conference paper</t>
        </is>
      </c>
      <c r="G57" s="49" t="n">
        <v>4</v>
      </c>
      <c r="H57" s="49" t="inlineStr"/>
      <c r="I57" s="49" t="inlineStr">
        <is>
          <t>"This article suggests utilizing a digital twin-based model of global sourcing choices, based on machine learning algorithm forecasts of the probability of success" (XGBoost, 7,200 observaciones).</t>
        </is>
      </c>
    </row>
    <row r="58">
      <c r="A58" s="49" t="inlineStr">
        <is>
          <t>R0173</t>
        </is>
      </c>
      <c r="B58" s="49" t="n">
        <v>2025</v>
      </c>
      <c r="C58" s="49" t="inlineStr">
        <is>
          <t>Integration of Digital Twin and AI-enabled ERP Systems: A Conceptual Framework for Intelligent Electronics Manufacturing Services</t>
        </is>
      </c>
      <c r="D58" s="49" t="inlineStr">
        <is>
          <t>2025 6th International Conference on Communications, Information, Electronic and Energy Systems, CIEES 2025 - Conference Proceedings</t>
        </is>
      </c>
      <c r="E58" s="49" t="inlineStr">
        <is>
          <t>10.1109/ciees66347.2025.11300246</t>
        </is>
      </c>
      <c r="F58" s="49" t="inlineStr">
        <is>
          <t>Conference paper</t>
        </is>
      </c>
      <c r="G58" s="49" t="n">
        <v>4</v>
      </c>
      <c r="H58" s="49" t="inlineStr">
        <is>
          <t>Make</t>
        </is>
      </c>
      <c r="I58" s="49" t="inlineStr">
        <is>
          <t>[Make] Marco conceptual que "unites DT with AI-enabled ERP systems to enhance EMS operational performance by using live production visibility, AI scheduling engine, predictive maintenance, quality assurance, and supply chain optimization"; cinco capas con gemelo y orquestación IA-ERP. Make.</t>
        </is>
      </c>
    </row>
    <row r="59">
      <c r="A59" s="49" t="inlineStr">
        <is>
          <t>R0174</t>
        </is>
      </c>
      <c r="B59" s="49" t="n">
        <v>2025</v>
      </c>
      <c r="C59" s="49" t="inlineStr">
        <is>
          <t>Digital Twin-Enabled Supply Chain Management in Cloud-based Smart Enterprises</t>
        </is>
      </c>
      <c r="D59" s="49" t="inlineStr">
        <is>
          <t>Proceedings of the 6th International Conference on Smart Electronics and Communication, ICOSEC 2025</t>
        </is>
      </c>
      <c r="E59" s="49" t="inlineStr">
        <is>
          <t>10.1109/icosec67334.2025.11459761</t>
        </is>
      </c>
      <c r="F59" s="49" t="inlineStr">
        <is>
          <t>Conference paper</t>
        </is>
      </c>
      <c r="G59" s="49" t="n">
        <v>4</v>
      </c>
      <c r="H59" s="49" t="inlineStr"/>
      <c r="I59" s="49" t="inlineStr">
        <is>
          <t>"this research proposes a novel DT-FL-MASChain framework that combines Digital Twins (DT), Federated Learning (FL), and Multi-Agent Systems (MAS) for intelligent, cloud-based supply chain management"; dataset de Kaggle. Cifras por verificar.</t>
        </is>
      </c>
    </row>
    <row r="60">
      <c r="A60" s="49" t="inlineStr">
        <is>
          <t>R0178</t>
        </is>
      </c>
      <c r="B60" s="49" t="n">
        <v>2025</v>
      </c>
      <c r="C60" s="49" t="inlineStr">
        <is>
          <t>A Data-Intelligence-Driven Digital Twin Framework for Improving Sustainability in Logistics</t>
        </is>
      </c>
      <c r="D60" s="49" t="inlineStr">
        <is>
          <t>Applied Sciences (Switzerland)</t>
        </is>
      </c>
      <c r="E60" s="49" t="inlineStr">
        <is>
          <t>10.3390/app15020601</t>
        </is>
      </c>
      <c r="F60" s="49" t="inlineStr">
        <is>
          <t>Article</t>
        </is>
      </c>
      <c r="G60" s="49" t="n">
        <v>4</v>
      </c>
      <c r="H60" s="49" t="inlineStr"/>
      <c r="I60" s="49" t="inlineStr">
        <is>
          <t>Marco de gemelo de cadena para sostenibilidad logística en John G Russell: "applying artificial intelligence (AI) approaches such as reinforcement learning (RL), to identify trends, and offer recommendations for improving the sustainability and efficiency of its logistics"; "using a supply chain digital twin".</t>
        </is>
      </c>
    </row>
    <row r="61">
      <c r="A61" s="49" t="inlineStr">
        <is>
          <t>R0183</t>
        </is>
      </c>
      <c r="B61" s="49" t="n">
        <v>2025</v>
      </c>
      <c r="C61" s="49" t="inlineStr">
        <is>
          <t>Quantum-Edge AI Framework for Real-Time Vehicle-Cargo Matching in Intelligent Transportation Systems</t>
        </is>
      </c>
      <c r="D61" s="49" t="inlineStr">
        <is>
          <t>2025 IEEE 1st International Conference on Recent Trends in Computing and Smart Mobility, RCSM 2025</t>
        </is>
      </c>
      <c r="E61" s="49" t="inlineStr">
        <is>
          <t>10.1109/rcsm67767.2025.11507641</t>
        </is>
      </c>
      <c r="F61" s="49" t="inlineStr">
        <is>
          <t>Conference paper</t>
        </is>
      </c>
      <c r="G61" s="49" t="n">
        <v>4</v>
      </c>
      <c r="H61" s="49" t="inlineStr"/>
      <c r="I61" s="49" t="inlineStr">
        <is>
          <t>Marco cuántico-borde con IA para emparejamiento vehículo-carga ("real-time logistics"); "A digital twin environment is developed to validate the proposed architecture under realistic transportation conditions". Nota: gemelo como entorno de validación; si en texto completo resulta un simulador no sincronizado, pasaría a E1 (frontera R0161).</t>
        </is>
      </c>
    </row>
    <row r="62">
      <c r="A62" s="49" t="inlineStr">
        <is>
          <t>R0184</t>
        </is>
      </c>
      <c r="B62" s="49" t="n">
        <v>2025</v>
      </c>
      <c r="C62" s="49" t="inlineStr">
        <is>
          <t>The smart supply chain management: Huawei's innovative approach</t>
        </is>
      </c>
      <c r="D62" s="49" t="inlineStr">
        <is>
          <t>European Journal of Management Studies</t>
        </is>
      </c>
      <c r="E62" s="49" t="inlineStr">
        <is>
          <t>10.1108/ejms-03-2025-0028</t>
        </is>
      </c>
      <c r="F62" s="49" t="inlineStr">
        <is>
          <t>Article</t>
        </is>
      </c>
      <c r="G62" s="49" t="n">
        <v>4</v>
      </c>
      <c r="H62" s="49" t="inlineStr"/>
      <c r="I62" s="49" t="inlineStr">
        <is>
          <t>Caso único de Huawei ISC+ con datos secundarios: "It investigates how AI-driven decision-making, self-learning algorithms and digital twin technologies contribute to optimising logistics operations". Evidencia tipo Empirical case (despliegue real, no percepción); C4 no aplica. Confirmar.</t>
        </is>
      </c>
    </row>
    <row r="63">
      <c r="A63" s="49" t="inlineStr">
        <is>
          <t>R0192</t>
        </is>
      </c>
      <c r="B63" s="49" t="n">
        <v>2025</v>
      </c>
      <c r="C63" s="49" t="inlineStr">
        <is>
          <t>Research on Intelligent Strategy and Digital Operation of Automobile Industry Based on Artificial Intelligence</t>
        </is>
      </c>
      <c r="D63" s="49" t="inlineStr">
        <is>
          <t>Proceedings - 2025 International Conference on Low-Altitude Airspace and Artificial Intelligence, LAAI 2025</t>
        </is>
      </c>
      <c r="E63" s="49" t="inlineStr">
        <is>
          <t>10.1109/laai69202.2025.00066</t>
        </is>
      </c>
      <c r="F63" s="49" t="inlineStr">
        <is>
          <t>Conference paper</t>
        </is>
      </c>
      <c r="G63" s="49" t="n">
        <v>4</v>
      </c>
      <c r="H63" s="49" t="inlineStr">
        <is>
          <t>Make</t>
        </is>
      </c>
      <c r="I63" s="49" t="inlineStr">
        <is>
          <t>[Make] Marco de IA para la cadena automotriz con ML y RL para programación de producción y "By leveraging digital twin technology to achieve virtual-reality mapping and feedback correction"; escenarios del estudio incluyen "supply chain forecasting". Make (verificar encuadre de cadena). | Auditoría final 2026-09-06: se mantiene I; ML y RL implementados con gemelo de retroalimentación; confirmar el encuadre de cadena ("supply chain forecasting" como escenario analizado) en texto completo.</t>
        </is>
      </c>
    </row>
    <row r="64">
      <c r="A64" s="49" t="inlineStr">
        <is>
          <t>R0194</t>
        </is>
      </c>
      <c r="B64" s="49" t="n">
        <v>2025</v>
      </c>
      <c r="C64" s="49" t="inlineStr">
        <is>
          <t>A conceptual digital twin framework for supply chain recovery and resilience</t>
        </is>
      </c>
      <c r="D64" s="49" t="inlineStr">
        <is>
          <t>Supply Chain Analytics</t>
        </is>
      </c>
      <c r="E64" s="49" t="inlineStr">
        <is>
          <t>10.1016/j.sca.2024.100091</t>
        </is>
      </c>
      <c r="F64" s="49" t="inlineStr">
        <is>
          <t>Article</t>
        </is>
      </c>
      <c r="G64" s="49" t="n">
        <v>4</v>
      </c>
      <c r="H64" s="49" t="inlineStr"/>
      <c r="I64" s="49" t="inlineStr">
        <is>
          <t>"This study presents a three-phase digital supply chain twin framework, leveraging discrete event simulation and neural networks to anticipate floods" (LSTM, MLPNN, FlexSim) para recuperación de la cadena.</t>
        </is>
      </c>
    </row>
    <row r="65">
      <c r="A65" s="49" t="inlineStr">
        <is>
          <t>R0201</t>
        </is>
      </c>
      <c r="B65" s="49" t="n">
        <v>2025</v>
      </c>
      <c r="C65" s="49" t="inlineStr">
        <is>
          <t>Fincantieri Shipyards Digital Twin Model</t>
        </is>
      </c>
      <c r="D65" s="49" t="inlineStr">
        <is>
          <t>Progress in Marine Science and Technology</t>
        </is>
      </c>
      <c r="E65" s="49" t="inlineStr">
        <is>
          <t>10.3233/pmst250135</t>
        </is>
      </c>
      <c r="F65" s="49" t="inlineStr">
        <is>
          <t>Conference paper</t>
        </is>
      </c>
      <c r="G65" s="49" t="n">
        <v>5</v>
      </c>
      <c r="H65" s="49" t="inlineStr">
        <is>
          <t>Make</t>
        </is>
      </c>
      <c r="I65" s="49" t="inlineStr">
        <is>
          <t>[Make] Gemelo de astilleros de Fincantieri (implementación industrial) con áreas explícitas de cadena: "The Twin framework adopted by Fincantieri includes the following thematic areas: Planning and Scheduling, Production, Logistics and Supply Chain, Quality, Health &amp; Safety, Industrial Metaverse, Robotics, Artificial Intelligence" y extensión "to all Fincantieri's supply chains and shipyards". Make; evidencia Empirical case; verificar sustancia de la IA (imágenes procesadas por IA para robots).</t>
        </is>
      </c>
    </row>
    <row r="66">
      <c r="A66" s="49" t="inlineStr">
        <is>
          <t>R0203</t>
        </is>
      </c>
      <c r="B66" s="49" t="n">
        <v>2025</v>
      </c>
      <c r="C66" s="49" t="inlineStr">
        <is>
          <t>HOW AUTONOMOUS ROBOTS AND INDOOR MAPPING IMPROVE WAREHOUSE SAFETY</t>
        </is>
      </c>
      <c r="D66" s="49" t="inlineStr">
        <is>
          <t>International Multidisciplinary Scientific GeoConference Surveying Geology and Mining Ecology Management, SGEM</t>
        </is>
      </c>
      <c r="E66" s="49" t="inlineStr">
        <is>
          <t>10.5593/sgem2025/2.1/s10.25</t>
        </is>
      </c>
      <c r="F66" s="49" t="inlineStr">
        <is>
          <t>Conference paper</t>
        </is>
      </c>
      <c r="G66" s="49" t="n">
        <v>5</v>
      </c>
      <c r="H66" s="49" t="inlineStr"/>
      <c r="I66" s="49" t="inlineStr">
        <is>
          <t>Logística interna de almacén con AMR: "The developed digital twin models successfully identified collision hotspots, high-risk ergonomic zones, and areas of traffic congestion"; IA ("predictive traffic management supported by machine learning") para "optimize internal logistics efficiency". Fase preparatoria, sin despliegue completo.</t>
        </is>
      </c>
    </row>
    <row r="67">
      <c r="A67" s="49" t="inlineStr">
        <is>
          <t>R0221</t>
        </is>
      </c>
      <c r="B67" s="49" t="n">
        <v>2025</v>
      </c>
      <c r="C67" s="49" t="inlineStr">
        <is>
          <t>The Impact of AI Foundation models on the future of digital engineering for logistics and supply Chain</t>
        </is>
      </c>
      <c r="D67" s="49" t="inlineStr">
        <is>
          <t>Digital Engineering</t>
        </is>
      </c>
      <c r="E67" s="49" t="inlineStr">
        <is>
          <t>10.1016/j.dte.2025.100058</t>
        </is>
      </c>
      <c r="F67" s="49" t="inlineStr">
        <is>
          <t>Article</t>
        </is>
      </c>
      <c r="G67" s="49" t="n">
        <v>5</v>
      </c>
      <c r="H67" s="49" t="inlineStr"/>
      <c r="I67" s="49" t="inlineStr">
        <is>
          <t>Modelos fundacionales de IA en ingeniería digital para LSCM: "This paper presents an integrated functional framework and technical architecture for implementing FM in LSCM, emphasizing the role of DT and CPS in enabling smart, adaptive, and resilient SC", con análisis por componentes SCOR y caso industrial en astillero ("implementing and effectively utilizing AI and DT"). Nota: usa SCOR.</t>
        </is>
      </c>
    </row>
    <row r="68">
      <c r="A68" s="49" t="inlineStr">
        <is>
          <t>R0223</t>
        </is>
      </c>
      <c r="B68" s="49" t="n">
        <v>2025</v>
      </c>
      <c r="C68" s="49" t="inlineStr">
        <is>
          <t>Integrated data-driven and artificial intelligence framework to develop digital twins in distribution system of supply chains: A real industrial case</t>
        </is>
      </c>
      <c r="D68" s="49" t="inlineStr">
        <is>
          <t>International Journal of Production Economics</t>
        </is>
      </c>
      <c r="E68" s="49" t="inlineStr">
        <is>
          <t>10.1016/j.ijpe.2025.109743</t>
        </is>
      </c>
      <c r="F68" s="49" t="inlineStr">
        <is>
          <t>Article</t>
        </is>
      </c>
      <c r="G68" s="49" t="n">
        <v>5</v>
      </c>
      <c r="H68" s="49" t="inlineStr"/>
      <c r="I68" s="49" t="inlineStr">
        <is>
          <t>"We propose an integrated framework for developing digital twins in distribution systems for managing demand risks" con soporte de decisión "via Regression algorithm in machine learning based on a real industrial case problem" (IJPE).</t>
        </is>
      </c>
    </row>
    <row r="69">
      <c r="A69" s="49" t="inlineStr">
        <is>
          <t>R0226</t>
        </is>
      </c>
      <c r="B69" s="49" t="n">
        <v>2025</v>
      </c>
      <c r="C69" s="49" t="inlineStr">
        <is>
          <t>AI-Driven Sustainable Infrastructure and EV Supply Chain Optimization Using BIM, LiDAR, and SAP-Based Automation</t>
        </is>
      </c>
      <c r="D69" s="49" t="inlineStr">
        <is>
          <t>Proceedings of 2025 10th International Conference on Science Technology, Engineering and Mathematics, ICONSTEM 2025</t>
        </is>
      </c>
      <c r="E69" s="49" t="inlineStr">
        <is>
          <t>10.1109/iconstem65670.2025.11374619</t>
        </is>
      </c>
      <c r="F69" s="49" t="inlineStr">
        <is>
          <t>Conference paper</t>
        </is>
      </c>
      <c r="G69" s="49" t="n">
        <v>5</v>
      </c>
      <c r="H69" s="49" t="inlineStr"/>
      <c r="I69" s="49" t="inlineStr">
        <is>
          <t>Marco con gemelos BIM-LiDAR de activos y ML en SAP para la cadena de vehículos eléctricos: "Demand prediction, inventory management and carbon footprint management across the EV ecosystem is managed with the help of machine learning algorithms". Nota: verificar la integración gemelo-cadena; texto de tesis en conferencia.</t>
        </is>
      </c>
    </row>
    <row r="70">
      <c r="A70" s="49" t="inlineStr">
        <is>
          <t>R0233</t>
        </is>
      </c>
      <c r="B70" s="49" t="n">
        <v>2024</v>
      </c>
      <c r="C70" s="49" t="inlineStr">
        <is>
          <t>Digital Twin-Driven Reinforcement Learning for Dynamic Path Planning of AGV Systems</t>
        </is>
      </c>
      <c r="D70" s="49" t="inlineStr">
        <is>
          <t>IFIP Advances in Information and Communication Technology</t>
        </is>
      </c>
      <c r="E70" s="49" t="inlineStr">
        <is>
          <t>10.1007/978-3-031-71633-1_25</t>
        </is>
      </c>
      <c r="F70" s="49" t="inlineStr">
        <is>
          <t>Conference paper</t>
        </is>
      </c>
      <c r="G70" s="49" t="n">
        <v>5</v>
      </c>
      <c r="H70" s="49" t="inlineStr">
        <is>
          <t>Make</t>
        </is>
      </c>
      <c r="I70" s="49" t="inlineStr">
        <is>
          <t>[Make] Logística de producción (intra-planta): "This paper proposes a novel approach, Digital Twin (DT)-driven reinforcement learning (RL) for dynamic path planning of automated guided vehicles (AGVs) systems"; Q-learning con gemelo, aplicado en planta real. Make (logística intra-planta).</t>
        </is>
      </c>
    </row>
    <row r="71">
      <c r="A71" s="49" t="inlineStr">
        <is>
          <t>R0237</t>
        </is>
      </c>
      <c r="B71" s="49" t="n">
        <v>2024</v>
      </c>
      <c r="C71" s="49" t="inlineStr">
        <is>
          <t>Defining a Cognitive Digital Twin architecture in food supply chains: the early outcomes of DSS4LCO initiative</t>
        </is>
      </c>
      <c r="D71" s="49" t="inlineStr">
        <is>
          <t>Proceedings of the International Food Operations and Processing Simulation Workshop, FOODOPS</t>
        </is>
      </c>
      <c r="E71" s="49" t="inlineStr">
        <is>
          <t>10.46354/i3m.2024.foodops.010</t>
        </is>
      </c>
      <c r="F71" s="49" t="inlineStr">
        <is>
          <t>Conference paper</t>
        </is>
      </c>
      <c r="G71" s="49" t="n">
        <v>5</v>
      </c>
      <c r="H71" s="49" t="inlineStr"/>
      <c r="I71" s="49" t="inlineStr">
        <is>
          <t>Conceptual (design science, iniciativa DSS4LCO): "Multi-objective and Artificial Intelligence-enhanced optimization methods support the decision makers" dando lugar a "a Cognitive Digital Twin framework" para "implementing a CDT architecture in food supply chains".</t>
        </is>
      </c>
    </row>
    <row r="72">
      <c r="A72" s="49" t="inlineStr">
        <is>
          <t>R0249</t>
        </is>
      </c>
      <c r="B72" s="49" t="n">
        <v>2024</v>
      </c>
      <c r="C72" s="49" t="inlineStr">
        <is>
          <t>Potential of Applying Artificial Intelligence to Hot Metal Logistics Management</t>
        </is>
      </c>
      <c r="D72" s="49" t="inlineStr">
        <is>
          <t>China's Refractories</t>
        </is>
      </c>
      <c r="E72" s="49" t="inlineStr">
        <is>
          <t>10.19691/j.cnki.1004-4493.2024.03.006</t>
        </is>
      </c>
      <c r="F72" s="49" t="inlineStr">
        <is>
          <t>Article</t>
        </is>
      </c>
      <c r="G72" s="49" t="n">
        <v>5</v>
      </c>
      <c r="H72" s="49" t="inlineStr">
        <is>
          <t>Make</t>
        </is>
      </c>
      <c r="I72" s="49" t="inlineStr">
        <is>
          <t>[Make] Logística intra-planta de metal caliente en acería: "This paper integrated digital twins with reinforcement learning algorithms to investigate the logistics of torpedoes and hot metal ladles"; sistema de soporte a decisión. Make (logística intra-planta).</t>
        </is>
      </c>
    </row>
    <row r="73">
      <c r="A73" s="49" t="inlineStr">
        <is>
          <t>R0252</t>
        </is>
      </c>
      <c r="B73" s="49" t="n">
        <v>2024</v>
      </c>
      <c r="C73" s="49" t="inlineStr">
        <is>
          <t>Digital twin model with machine learning and optimization for resilient production–distribution systems under disruptions</t>
        </is>
      </c>
      <c r="D73" s="49" t="inlineStr">
        <is>
          <t>Computers and Industrial Engineering</t>
        </is>
      </c>
      <c r="E73" s="49" t="inlineStr">
        <is>
          <t>10.1016/j.cie.2024.110145</t>
        </is>
      </c>
      <c r="F73" s="49" t="inlineStr">
        <is>
          <t>Article</t>
        </is>
      </c>
      <c r="G73" s="49" t="n">
        <v>6</v>
      </c>
      <c r="H73" s="49" t="inlineStr"/>
      <c r="I73" s="49" t="inlineStr">
        <is>
          <t>Gemelo de sistema producción-distribución bajo disrupciones (CAIE, caso semiconductores): "The digital twin architecture combines data analytics, simulation modeling, machine learning, and a metaheuristic. More specifically, an Artificial Neural Network learns from the manufacturer's operations and generates predictive models"; ajusta parámetros de reabastecimiento.</t>
        </is>
      </c>
    </row>
    <row r="74">
      <c r="A74" s="49" t="inlineStr">
        <is>
          <t>R0253</t>
        </is>
      </c>
      <c r="B74" s="49" t="n">
        <v>2024</v>
      </c>
      <c r="C74" s="49" t="inlineStr">
        <is>
          <t>Instance Segmentation and Digital Twin Use Case for WIP Tracking in Heavy Industry</t>
        </is>
      </c>
      <c r="D74" s="49" t="inlineStr">
        <is>
          <t>IFIP Advances in Information and Communication Technology</t>
        </is>
      </c>
      <c r="E74" s="49" t="inlineStr">
        <is>
          <t>10.1007/978-3-031-71633-1_26</t>
        </is>
      </c>
      <c r="F74" s="49" t="inlineStr">
        <is>
          <t>Conference paper</t>
        </is>
      </c>
      <c r="G74" s="49" t="n">
        <v>6</v>
      </c>
      <c r="H74" s="49" t="inlineStr">
        <is>
          <t>Make</t>
        </is>
      </c>
      <c r="I74" s="49" t="inlineStr">
        <is>
          <t>[Make] Gemelo de planta ferroviaria con visión por IA (segmentación de instancias) para rastrear piezas y "facilitate work-in-process logistics within factory workstations"; "timely production and logistics critical". Make (logística intra-planta).</t>
        </is>
      </c>
    </row>
    <row r="75">
      <c r="A75" s="49" t="inlineStr">
        <is>
          <t>R0255</t>
        </is>
      </c>
      <c r="B75" s="49" t="n">
        <v>2024</v>
      </c>
      <c r="C75" s="49" t="inlineStr">
        <is>
          <t>A Supply Chain Digital Twins Framework with Generative Knowledge Graph</t>
        </is>
      </c>
      <c r="D75" s="49" t="inlineStr">
        <is>
          <t>Proceedings - 2024 IEEE Smart World Congress, SWC 2024 - 2024 IEEE Ubiquitous Intelligence and Computing, Autonomous and Trusted Computing, Digital Twin, Metaverse, Privacy Computing and Data Security, Scalable Computing and Communications</t>
        </is>
      </c>
      <c r="E75" s="49" t="inlineStr">
        <is>
          <t>10.1109/swc62898.2024.00315</t>
        </is>
      </c>
      <c r="F75" s="49" t="inlineStr">
        <is>
          <t>Conference paper</t>
        </is>
      </c>
      <c r="G75" s="49" t="n">
        <v>6</v>
      </c>
      <c r="H75" s="49" t="inlineStr"/>
      <c r="I75" s="49" t="inlineStr">
        <is>
          <t>Conceptual: "this paper designs the supply chain digital twins framework with generative knowledge graph(SCDT-GKG), based on digital twin technology" con IA generativa (AIGC) sobre un modelo pentadimensional de gemelo de cadena.</t>
        </is>
      </c>
    </row>
    <row r="76">
      <c r="A76" s="49" t="inlineStr">
        <is>
          <t>R0261</t>
        </is>
      </c>
      <c r="B76" s="49" t="n">
        <v>2024</v>
      </c>
      <c r="C76" s="49" t="inlineStr">
        <is>
          <t>Machine Learning Model for a Digital Twin for Predictive Maintenance and Optimization in A Fruit Supply Chain</t>
        </is>
      </c>
      <c r="D76" s="49" t="inlineStr">
        <is>
          <t>2024 International Conference on Artificial Intelligence and Quantum Computation-Based Sensor Applications, ICAIQSA 2024 - Proceedings</t>
        </is>
      </c>
      <c r="E76" s="49" t="inlineStr">
        <is>
          <t>10.1109/icaiqsa64000.2024.10882378</t>
        </is>
      </c>
      <c r="F76" s="49" t="inlineStr">
        <is>
          <t>Conference paper</t>
        </is>
      </c>
      <c r="G76" s="49" t="n">
        <v>6</v>
      </c>
      <c r="H76" s="49" t="inlineStr"/>
      <c r="I76" s="49" t="inlineStr">
        <is>
          <t>"the development of a machine learning model for the implementation of a digital twin to help fruit storage warehouses prolong the shelf-life" (Decision Tree, Random Forest, Naïve Bayes, SVM); "Digital twin creates a virtual replica of the supply chain".</t>
        </is>
      </c>
    </row>
    <row r="77">
      <c r="A77" s="49" t="inlineStr">
        <is>
          <t>R0270</t>
        </is>
      </c>
      <c r="B77" s="49" t="n">
        <v>2024</v>
      </c>
      <c r="C77" s="49" t="inlineStr">
        <is>
          <t>Towards Human-Centric Manufacturing: Leveraging Digital Twin for Enhanced Industrial Processes</t>
        </is>
      </c>
      <c r="D77" s="49" t="inlineStr">
        <is>
          <t>IECON Proceedings (Industrial Electronics Conference)</t>
        </is>
      </c>
      <c r="E77" s="49" t="inlineStr">
        <is>
          <t>10.1109/iecon55916.2024.10905474</t>
        </is>
      </c>
      <c r="F77" s="49" t="inlineStr">
        <is>
          <t>Conference paper</t>
        </is>
      </c>
      <c r="G77" s="49" t="n">
        <v>6</v>
      </c>
      <c r="H77" s="49" t="inlineStr">
        <is>
          <t>Make</t>
        </is>
      </c>
      <c r="I77" s="49" t="inlineStr">
        <is>
          <t>[Make] Marco de gemelo humano-céntrico con "Artificial Intelligence (AI) Engine for incorporating advanced machine learning models", validado "through a practical in-plant logistics transport use case"; apoyo a la percepción y decisión del operador. Make (logística intra-planta); relevante para HITL.</t>
        </is>
      </c>
    </row>
    <row r="78">
      <c r="A78" s="49" t="inlineStr">
        <is>
          <t>R0272</t>
        </is>
      </c>
      <c r="B78" s="49" t="n">
        <v>2024</v>
      </c>
      <c r="C78" s="49" t="inlineStr">
        <is>
          <t>Deploying hybrid modelling to support the development of a digital twin for supply chain master planning under disruptions</t>
        </is>
      </c>
      <c r="D78" s="49" t="inlineStr">
        <is>
          <t>International Journal of Production Research</t>
        </is>
      </c>
      <c r="E78" s="49" t="inlineStr">
        <is>
          <t>10.1080/00207543.2023.2244604</t>
        </is>
      </c>
      <c r="F78" s="49" t="inlineStr">
        <is>
          <t>Article</t>
        </is>
      </c>
      <c r="G78" s="49" t="n">
        <v>6</v>
      </c>
      <c r="H78" s="49" t="inlineStr"/>
      <c r="I78" s="49" t="inlineStr">
        <is>
          <t>Confirmado 2026-09-05 por Rodrigo: el gemelo existe como objetivo declarado del artículo (título y palabras clave), aunque los autores llamen precursor al marco: "The proposed framework, which is a precursor to a SC digital twin, integrates simulation, machine learning, and optimisation to identify the production, storage, and distribution values" (IJPR). | Auditoría final 2026-09-06: Estudio distinto de R0298/R0315 (mismo grupo): plan maestro bajo disrupciones frente a gestión de inventario y efectivo; se conserva.</t>
        </is>
      </c>
    </row>
    <row r="79">
      <c r="A79" s="49" t="inlineStr">
        <is>
          <t>R0273</t>
        </is>
      </c>
      <c r="B79" s="49" t="n">
        <v>2024</v>
      </c>
      <c r="C79" s="49" t="inlineStr">
        <is>
          <t>Conceptualisation of a 7-element digital twin framework in supply chain and operations management</t>
        </is>
      </c>
      <c r="D79" s="49" t="inlineStr">
        <is>
          <t>International Journal of Production Research</t>
        </is>
      </c>
      <c r="E79" s="49" t="inlineStr">
        <is>
          <t>10.1080/00207543.2023.2217291</t>
        </is>
      </c>
      <c r="F79" s="49" t="inlineStr">
        <is>
          <t>Article</t>
        </is>
      </c>
      <c r="G79" s="49" t="n">
        <v>6</v>
      </c>
      <c r="H79" s="49" t="inlineStr"/>
      <c r="I79" s="49" t="inlineStr">
        <is>
          <t>Conceptualización del gemelo en SCOM (IJPR) a partir de revisión integradora e ilustración en anyLogistix: "digital twins in SCOM are not merely a simulation-based replica of a real object but a complex socio-technical phenomenon involved in continuous human-artificial intelligence interactions". Conceptual; relevante para HITL.</t>
        </is>
      </c>
    </row>
    <row r="80">
      <c r="A80" s="49" t="inlineStr">
        <is>
          <t>R0289</t>
        </is>
      </c>
      <c r="B80" s="49" t="n">
        <v>2023</v>
      </c>
      <c r="C80" s="49" t="inlineStr">
        <is>
          <t>Research on Key Technologies of CCUS Supply Chain Digital Twin System for Smart Agriculture</t>
        </is>
      </c>
      <c r="D80" s="49" t="inlineStr">
        <is>
          <t>Energy Proceedings</t>
        </is>
      </c>
      <c r="E80" s="49" t="inlineStr">
        <is>
          <t>10.46855/energy-proceedings-10547</t>
        </is>
      </c>
      <c r="F80" s="49" t="inlineStr">
        <is>
          <t>Conference paper</t>
        </is>
      </c>
      <c r="G80" s="49" t="n">
        <v>6</v>
      </c>
      <c r="H80" s="49" t="inlineStr"/>
      <c r="I80" s="49" t="inlineStr">
        <is>
          <t>Gemelo de la cadena de suministro de CCUS agrícola: "The demand for carbon dioxide is predicted through artificial intelligence technology, and carbon capture is conducted according to the prediction results", con "intelligent decision-making and fine control of the whole process of agricultural CCUS supply chain". Calidad por evaluar.</t>
        </is>
      </c>
    </row>
    <row r="81">
      <c r="A81" s="49" t="inlineStr">
        <is>
          <t>R0290</t>
        </is>
      </c>
      <c r="B81" s="49" t="n">
        <v>2023</v>
      </c>
      <c r="C81" s="49" t="inlineStr">
        <is>
          <t>Research on the Application of Digital Twin Technology in Intelligent Information System of Modern Logistics Warehouse</t>
        </is>
      </c>
      <c r="D81" s="49" t="inlineStr">
        <is>
          <t>2023 IEEE 3rd International Conference on Data Science and Computer Application, ICDSCA 2023</t>
        </is>
      </c>
      <c r="E81" s="49" t="inlineStr">
        <is>
          <t>10.1109/icdsca59871.2023.10392494</t>
        </is>
      </c>
      <c r="F81" s="49" t="inlineStr">
        <is>
          <t>Conference paper</t>
        </is>
      </c>
      <c r="G81" s="49" t="n">
        <v>6</v>
      </c>
      <c r="H81" s="49" t="inlineStr"/>
      <c r="I81" s="49" t="inlineStr">
        <is>
          <t>Gemelo 3D de almacén logístico (Siemens PDPS): "The 'end to end' reinforcement learning algorithm is used to realize the cooperative optimal of inventory management and distribution decision for emergencies"; simulación verificada.</t>
        </is>
      </c>
    </row>
    <row r="82">
      <c r="A82" s="49" t="inlineStr">
        <is>
          <t>R0291</t>
        </is>
      </c>
      <c r="B82" s="49" t="n">
        <v>2023</v>
      </c>
      <c r="C82" s="49" t="inlineStr">
        <is>
          <t>Real-time Mixed Reality (MR) and Artificial Intelligence (AI) object recognition integration for digital twin in Industry 4.0</t>
        </is>
      </c>
      <c r="D82" s="49" t="inlineStr">
        <is>
          <t>Internet of Things (Netherlands)</t>
        </is>
      </c>
      <c r="E82" s="49" t="inlineStr">
        <is>
          <t>10.1016/j.iot.2023.100753</t>
        </is>
      </c>
      <c r="F82" s="49" t="inlineStr">
        <is>
          <t>Article</t>
        </is>
      </c>
      <c r="G82" s="49" t="n">
        <v>6</v>
      </c>
      <c r="H82" s="49" t="inlineStr"/>
      <c r="I82" s="49" t="inlineStr">
        <is>
          <t>Arquitectura de gemelo con realidad mixta y "Object recognition is empowered by the AI algorithm in the backend cloud computing and database", con "the warehouse is used as a case scenario with simulations". Nota: la IA hace reconocimiento de objetos; verificar aporte a decisiones logísticas (frontera R0238).</t>
        </is>
      </c>
    </row>
    <row r="83">
      <c r="A83" s="49" t="inlineStr">
        <is>
          <t>R0295</t>
        </is>
      </c>
      <c r="B83" s="49" t="n">
        <v>2023</v>
      </c>
      <c r="C83" s="49" t="inlineStr">
        <is>
          <t>Demystifying xAOSF/AOSR Framework in the Context of Digital Twin and Industry 4.0</t>
        </is>
      </c>
      <c r="D83" s="49" t="inlineStr">
        <is>
          <t>Lecture Notes in Networks and Systems</t>
        </is>
      </c>
      <c r="E83" s="49" t="inlineStr">
        <is>
          <t>10.1007/978-3-031-16075-2_44</t>
        </is>
      </c>
      <c r="F83" s="49" t="inlineStr">
        <is>
          <t>Conference paper</t>
        </is>
      </c>
      <c r="G83" s="49" t="n">
        <v>6</v>
      </c>
      <c r="H83" s="49" t="inlineStr">
        <is>
          <t>Make</t>
        </is>
      </c>
      <c r="I83" s="49" t="inlineStr">
        <is>
          <t>[Make] Resuelto 2026-09-05 por Rodrigo: los sistemas multiagente cuentan como IA para el criterio 3. Marco xAOSF/AOSR de agentes que "presents an over-arching SC architecture, with an associated Agent Oriented Storage and Retrieval (AOSR) based warehouse management strategy" para realizar el gemelo. Make (fábrica inteligente encuadrada en arquitectura de cadena y almacén); conceptual.</t>
        </is>
      </c>
    </row>
    <row r="84">
      <c r="A84" s="49" t="inlineStr">
        <is>
          <t>R0297</t>
        </is>
      </c>
      <c r="B84" s="49" t="n">
        <v>2023</v>
      </c>
      <c r="C84" s="49" t="inlineStr">
        <is>
          <t>DIGITAL-TWIN ENABLED CONSTRUCTION SYSTEM FOR SUPPLY CHAIN RISK MANAGEMENT</t>
        </is>
      </c>
      <c r="D84" s="49" t="inlineStr">
        <is>
          <t>IEEE International Conference on Automation Science and Engineering</t>
        </is>
      </c>
      <c r="E84" s="49" t="inlineStr">
        <is>
          <t>10.1109/case56687.2023.10288632</t>
        </is>
      </c>
      <c r="F84" s="49" t="inlineStr">
        <is>
          <t>Conference paper</t>
        </is>
      </c>
      <c r="G84" s="49" t="n">
        <v>6</v>
      </c>
      <c r="H84" s="49" t="inlineStr"/>
      <c r="I84" s="49" t="inlineStr">
        <is>
          <t>"This paper presents a supply chain risk management strategy that uses a digital-twin enabled construction system with Kanban"; predicción de retrasos con "Gaussian Mixture Model (GMM) with probabilistic density fitting (PDF) of historical data". Nota: IA como modelo probabilístico de ML.</t>
        </is>
      </c>
    </row>
    <row r="85">
      <c r="A85" s="49" t="inlineStr">
        <is>
          <t>R0298</t>
        </is>
      </c>
      <c r="B85" s="49" t="n">
        <v>2023</v>
      </c>
      <c r="C85" s="49" t="inlineStr">
        <is>
          <t>Applying digital twins for inventory and cash management in supply chains under physical and financial disruptions</t>
        </is>
      </c>
      <c r="D85" s="49" t="inlineStr">
        <is>
          <t>International Journal of Production Research</t>
        </is>
      </c>
      <c r="E85" s="49" t="inlineStr">
        <is>
          <t>10.1080/00207543.2022.2093682</t>
        </is>
      </c>
      <c r="F85" s="49" t="inlineStr">
        <is>
          <t>Article</t>
        </is>
      </c>
      <c r="G85" s="49" t="n">
        <v>6</v>
      </c>
      <c r="H85" s="49" t="inlineStr"/>
      <c r="I85" s="49" t="inlineStr">
        <is>
          <t>Cadena bajo disrupciones físicas y financieras (IJPR): "The proposed SC digital twin framework integrates machine learning (ML) and simulation to identify the inventory and cash replenishment policies that minimise the impact of the disruptions". | Auditoría final 2026-09-06: Informe compañero: R0315 (IFAC 2022) excluido como E6 por la regla de pares. R0272 es un estudio distinto del mismo grupo (plan maestro de cadena) y se conserva.</t>
        </is>
      </c>
    </row>
    <row r="86">
      <c r="A86" s="49" t="inlineStr">
        <is>
          <t>R0299</t>
        </is>
      </c>
      <c r="B86" s="49" t="n">
        <v>2023</v>
      </c>
      <c r="C86" s="49" t="inlineStr">
        <is>
          <t>Real-Time Logistics and Warehouse Integration via Networks of the Future and Dynamic Digital Twins</t>
        </is>
      </c>
      <c r="D86" s="49" t="inlineStr">
        <is>
          <t>2023 IEEE Engineering Informatics, EI 2023</t>
        </is>
      </c>
      <c r="E86" s="49" t="inlineStr">
        <is>
          <t>10.1109/ieeeconf58110.2023.10520525</t>
        </is>
      </c>
      <c r="F86" s="49" t="inlineStr">
        <is>
          <t>Conference paper</t>
        </is>
      </c>
      <c r="G86" s="49" t="n">
        <v>6</v>
      </c>
      <c r="H86" s="49" t="inlineStr"/>
      <c r="I86" s="49" t="inlineStr">
        <is>
          <t>Confirmado 2026-09-05 por Rodrigo: sí implementa. "This research presents a novel approach to integrate human-based operations with AMR to generate a realtime digital twin of automated warehouses"; modelo predictivo por regresión multivariante y algoritmo A*; humano y AMR integrados (relevante para HITL).</t>
        </is>
      </c>
    </row>
    <row r="87">
      <c r="A87" s="49" t="inlineStr">
        <is>
          <t>R0302</t>
        </is>
      </c>
      <c r="B87" s="49" t="n">
        <v>2023</v>
      </c>
      <c r="C87" s="49" t="inlineStr">
        <is>
          <t>AI-Enabled Sensor-Driven Marketability Prediction of Strawberry Digital Twins</t>
        </is>
      </c>
      <c r="D87" s="49" t="inlineStr">
        <is>
          <t>Proceedings - 2023 IEEE Conference on Artificial Intelligence, CAI 2023</t>
        </is>
      </c>
      <c r="E87" s="49" t="inlineStr">
        <is>
          <t>10.1109/cai54212.2023.00112</t>
        </is>
      </c>
      <c r="F87" s="49" t="inlineStr">
        <is>
          <t>Conference paper</t>
        </is>
      </c>
      <c r="G87" s="49" t="n">
        <v>7</v>
      </c>
      <c r="H87" s="49" t="inlineStr"/>
      <c r="I87" s="49" t="inlineStr">
        <is>
          <t>Gemelo de producto perecedero en almacenamiento y transporte con ML: "we propose a novel sensor and data-driven marketability model to accompany the digital twin of a strawberry based on the environmental conditions encountered throughout the storage and transportation"; regresión de vectores de soporte para "smart distribution such as First-Expired-First-Out". Mismo trato que R0119.</t>
        </is>
      </c>
    </row>
    <row r="88">
      <c r="A88" s="49" t="inlineStr">
        <is>
          <t>R0306</t>
        </is>
      </c>
      <c r="B88" s="49" t="n">
        <v>2023</v>
      </c>
      <c r="C88" s="49" t="inlineStr">
        <is>
          <t>Factory Simulation of Optimization Techniques Based on Deep Reinforcement Learning for Storage Devices</t>
        </is>
      </c>
      <c r="D88" s="49" t="inlineStr">
        <is>
          <t>Applied Sciences (Switzerland)</t>
        </is>
      </c>
      <c r="E88" s="49" t="inlineStr">
        <is>
          <t>10.3390/app13179690</t>
        </is>
      </c>
      <c r="F88" s="49" t="inlineStr">
        <is>
          <t>Article</t>
        </is>
      </c>
      <c r="G88" s="49" t="n">
        <v>7</v>
      </c>
      <c r="H88" s="49" t="inlineStr">
        <is>
          <t>Make</t>
        </is>
      </c>
      <c r="I88" s="49" t="inlineStr">
        <is>
          <t>[Make] Resuelto 2026-09-05 por Rodrigo: los autores declaran explícitamente el modelo ("we defined an RL environment, modeled it, and validated its ability to simulate a real physical system") con el gemelo como propósito ("to optimize storage devices for use in Industry 4.0 and digital twins"), lo que satisface el criterio 1 (gemelo o modelo digital); PPO sobre un stocker que "simulates logistics in a manufacturing production area". Make (logística intra-planta).</t>
        </is>
      </c>
    </row>
    <row r="89">
      <c r="A89" s="49" t="inlineStr">
        <is>
          <t>R0309</t>
        </is>
      </c>
      <c r="B89" s="49" t="n">
        <v>2023</v>
      </c>
      <c r="C89" s="49" t="inlineStr">
        <is>
          <t>Intelligent digital twin (iDT) for supply chain stress-testing, resilience, and viability</t>
        </is>
      </c>
      <c r="D89" s="49" t="inlineStr">
        <is>
          <t>International Journal of Production Economics</t>
        </is>
      </c>
      <c r="E89" s="49" t="inlineStr">
        <is>
          <t>10.1016/j.ijpe.2023.108938</t>
        </is>
      </c>
      <c r="F89" s="49" t="inlineStr">
        <is>
          <t>Article</t>
        </is>
      </c>
      <c r="G89" s="49" t="n">
        <v>7</v>
      </c>
      <c r="H89" s="49" t="inlineStr"/>
      <c r="I89" s="49" t="inlineStr">
        <is>
          <t>Gemelo inteligente para pruebas de estrés de cadena (IJPE): "We position our proposed approach as an intelligent digital twin (iDT) – a human–AI system which visualizes physical SCs in digital form, collects and processes data for modelling using analytics methods, mimics human decision-making rules, and creates new knowledge and decision-making algorithms through human–AI collaboration". Central para HITL.</t>
        </is>
      </c>
    </row>
    <row r="90">
      <c r="A90" s="49" t="inlineStr">
        <is>
          <t>R0321</t>
        </is>
      </c>
      <c r="B90" s="49" t="n">
        <v>2022</v>
      </c>
      <c r="C90" s="49" t="inlineStr">
        <is>
          <t>Dynamic Resource Allocation in Supply Chain Scheduling Using Digital Twin Models</t>
        </is>
      </c>
      <c r="D90" s="49" t="inlineStr">
        <is>
          <t>International Academic Journal of Science and Engineering</t>
        </is>
      </c>
      <c r="E90" s="49" t="inlineStr">
        <is>
          <t>10.71086/iajse/v9i4/iajse0928</t>
        </is>
      </c>
      <c r="F90" s="49" t="inlineStr">
        <is>
          <t>Article</t>
        </is>
      </c>
      <c r="G90" s="49" t="n">
        <v>7</v>
      </c>
      <c r="H90" s="49" t="inlineStr"/>
      <c r="I90" s="49" t="inlineStr">
        <is>
          <t>"This work presents a digital twin (DT) technology framework concentrating on dynamic resource allocation in supply chain scheduling"; "applies the Internet of Things (IoT), real-time simulation, and machine learning algorithms for resource dynamically reallocation"; probado en cadena de manufactura simulada. Nota: revista de calidad dudosa.</t>
        </is>
      </c>
    </row>
    <row r="91">
      <c r="A91" s="49" t="inlineStr">
        <is>
          <t>R0322</t>
        </is>
      </c>
      <c r="B91" s="49" t="n">
        <v>2022</v>
      </c>
      <c r="C91" s="49" t="inlineStr">
        <is>
          <t>Machine Learning-Based Digital Twin for Monitoring Fruit Quality Evolution</t>
        </is>
      </c>
      <c r="D91" s="49" t="inlineStr">
        <is>
          <t>Procedia Computer Science</t>
        </is>
      </c>
      <c r="E91" s="49" t="inlineStr">
        <is>
          <t>10.1016/j.procs.2022.01.200</t>
        </is>
      </c>
      <c r="F91" s="49" t="inlineStr">
        <is>
          <t>Conference paper</t>
        </is>
      </c>
      <c r="G91" s="49" t="n">
        <v>7</v>
      </c>
      <c r="H91" s="49" t="inlineStr"/>
      <c r="I91" s="49" t="inlineStr">
        <is>
          <t>Gemelo de fruta con imágenes térmicas y red convolucional para la cadena alimentaria: "create a machine learning-based digital twin of banana fruit to monitor its quality changes throughout storage"; objetivo de "minimize waste in the food supply chain". Mismo trato que R0119 y R0302.</t>
        </is>
      </c>
    </row>
    <row r="92">
      <c r="A92" s="49" t="inlineStr">
        <is>
          <t>R0323</t>
        </is>
      </c>
      <c r="B92" s="49" t="n">
        <v>2022</v>
      </c>
      <c r="C92" s="49" t="inlineStr">
        <is>
          <t>From traditional warehouses to Physical Internet hubs: A digital twin-based inbound synchronization framework for PI-order management</t>
        </is>
      </c>
      <c r="D92" s="49" t="inlineStr">
        <is>
          <t>International Journal of Production Economics</t>
        </is>
      </c>
      <c r="E92" s="49" t="inlineStr">
        <is>
          <t>10.1016/j.ijpe.2021.108353</t>
        </is>
      </c>
      <c r="F92" s="49" t="inlineStr">
        <is>
          <t>Article</t>
        </is>
      </c>
      <c r="G92" s="49" t="n">
        <v>7</v>
      </c>
      <c r="H92" s="49" t="inlineStr"/>
      <c r="I92" s="49" t="inlineStr">
        <is>
          <t>Concentradores del Internet Físico (IJPE): "Digital twins and Internet of Things technologies are proposed for data acquisition and virtualization of real conditions of physical objects, followed by machine learning-integrated models to optimize a joint order fulfillment and replenishment operation in the PI-hubs".</t>
        </is>
      </c>
    </row>
    <row r="93">
      <c r="A93" s="49" t="inlineStr">
        <is>
          <t>R0324</t>
        </is>
      </c>
      <c r="B93" s="49" t="n">
        <v>2022</v>
      </c>
      <c r="C93" s="49" t="inlineStr">
        <is>
          <t>Integrating AI in an Audio-Based Digital Twin for Autonomous Management of Roadway Construction</t>
        </is>
      </c>
      <c r="D93" s="49" t="inlineStr">
        <is>
          <t>Construction Research Congress 2022: Computer Applications, Automation, and Data Analytics - Selected Papers from Construction Research Congress 2022</t>
        </is>
      </c>
      <c r="E93" s="49" t="inlineStr">
        <is>
          <t>10.1061/9780784483961.056</t>
        </is>
      </c>
      <c r="F93" s="49" t="inlineStr">
        <is>
          <t>Conference paper</t>
        </is>
      </c>
      <c r="G93" s="49" t="n">
        <v>7</v>
      </c>
      <c r="H93" s="49" t="inlineStr"/>
      <c r="I93" s="49" t="inlineStr">
        <is>
          <t>Gemelo acústico de obra vial con aprendizaje por refuerzo profundo ("integrates deep reinforcement learning (DRL) into an audio-based DT system for autonomous monitoring and management of paving activities") para "optimally managing logistics including ongoing construction activities and required resources". Nota: logística de obra; verificar encuadre.</t>
        </is>
      </c>
    </row>
    <row r="94">
      <c r="A94" s="49" t="inlineStr">
        <is>
          <t>R0327</t>
        </is>
      </c>
      <c r="B94" s="49" t="n">
        <v>2022</v>
      </c>
      <c r="C94" s="49" t="inlineStr">
        <is>
          <t>A Reinforcement Learning Powered Digital Twin to Support Supply Chain Decisions</t>
        </is>
      </c>
      <c r="D94" s="49" t="inlineStr">
        <is>
          <t>Proceedings of the Annual Hawaii International Conference on System Sciences</t>
        </is>
      </c>
      <c r="E94" s="49" t="inlineStr">
        <is>
          <t>10.24251/hicss.2022.287</t>
        </is>
      </c>
      <c r="F94" s="49" t="inlineStr">
        <is>
          <t>Conference paper</t>
        </is>
      </c>
      <c r="G94" s="49" t="n">
        <v>7</v>
      </c>
      <c r="H94" s="49" t="inlineStr"/>
      <c r="I94" s="49" t="inlineStr">
        <is>
          <t>"It first proposes a framework for unifying digital twins and reinforcement learning into a single approach. It then illustrates how this framework is put into practice for making supply and delivery decisions within a drug supply chain use case".</t>
        </is>
      </c>
    </row>
    <row r="95">
      <c r="A95" s="49" t="inlineStr">
        <is>
          <t>R0328</t>
        </is>
      </c>
      <c r="B95" s="49" t="n">
        <v>2022</v>
      </c>
      <c r="C95" s="49" t="inlineStr">
        <is>
          <t>Towards Learning-Enabled Digital Twin with Augmented Reality for Resilient Production Scheduling</t>
        </is>
      </c>
      <c r="D95" s="49" t="inlineStr">
        <is>
          <t>IFAC-PapersOnLine</t>
        </is>
      </c>
      <c r="E95" s="49" t="inlineStr">
        <is>
          <t>10.1016/j.ifacol.2022.09.678</t>
        </is>
      </c>
      <c r="F95" s="49" t="inlineStr">
        <is>
          <t>Conference paper</t>
        </is>
      </c>
      <c r="G95" s="49" t="n">
        <v>7</v>
      </c>
      <c r="H95" s="49" t="inlineStr">
        <is>
          <t>Make</t>
        </is>
      </c>
      <c r="I95" s="49" t="inlineStr">
        <is>
          <t>[Make] Gemelo cognitivo con realidad aumentada: "a framework integrating production and logistics processes that employs a machine learning-enabled digital twin to ensure adaptive production scheduling and resilient supply chain operations"; explora "the interaction of human and machine intelligence in managing disruptions". Make; relevante para HITL. | Auditoría final 2026-09-06: Trabajo relacionado: R0331 (IFIP 2021) presenta el marco base; este artículo explora realidad aumentada e interacción humano-máquina sobre ese marco. No se trata como par duplicado; ambos conservados (revisar solapamiento en texto completo).</t>
        </is>
      </c>
    </row>
    <row r="96">
      <c r="A96" s="49" t="inlineStr">
        <is>
          <t>R0331</t>
        </is>
      </c>
      <c r="B96" s="49" t="n">
        <v>2021</v>
      </c>
      <c r="C96" s="49" t="inlineStr">
        <is>
          <t>Digital Twin Framework for Machine Learning-Enabled Integrated Production and Logistics Processes</t>
        </is>
      </c>
      <c r="D96" s="49" t="inlineStr">
        <is>
          <t>IFIP Advances in Information and Communication Technology</t>
        </is>
      </c>
      <c r="E96" s="49" t="inlineStr">
        <is>
          <t>10.1007/978-3-030-85874-2_23</t>
        </is>
      </c>
      <c r="F96" s="49" t="inlineStr">
        <is>
          <t>Conference paper</t>
        </is>
      </c>
      <c r="G96" s="49" t="n">
        <v>7</v>
      </c>
      <c r="H96" s="49" t="inlineStr">
        <is>
          <t>Make</t>
        </is>
      </c>
      <c r="I96" s="49" t="inlineStr">
        <is>
          <t>[Make] "This paper offers an integrated framework bridging production and logistics processes that employs a machine learning-enabled digital twin to ensure adaptive production scheduling and resilient supply chain operations"; detección de riesgos de proveedores con motor de ML. Make; artículo compañero de R0328. | Auditoría final 2026-09-06: Trabajo relacionado: R0328 (IFAC 2022) extiende este marco con realidad aumentada e interacción humano-máquina. No se trata como par duplicado; ambos conservados (revisar solapamiento en texto completo).</t>
        </is>
      </c>
    </row>
    <row r="97">
      <c r="A97" s="49" t="inlineStr">
        <is>
          <t>R0341</t>
        </is>
      </c>
      <c r="B97" s="49" t="n">
        <v>2020</v>
      </c>
      <c r="C97" s="49" t="inlineStr">
        <is>
          <t>Supporting SMEs in the Lake Constance Region in the Implementation of Cyber-Physical-Systems: Framework and Demonstrator</t>
        </is>
      </c>
      <c r="D97" s="49" t="inlineStr">
        <is>
          <t>Proceedings - 2020 IEEE International Conference on Engineering, Technology and Innovation, ICE/ITMC 2020</t>
        </is>
      </c>
      <c r="E97" s="49" t="inlineStr">
        <is>
          <t>10.1109/ice/itmc49519.2020.9198430</t>
        </is>
      </c>
      <c r="F97" s="49" t="inlineStr">
        <is>
          <t>Conference paper</t>
        </is>
      </c>
      <c r="G97" s="49" t="n">
        <v>7</v>
      </c>
      <c r="H97" s="49" t="inlineStr">
        <is>
          <t>Make</t>
        </is>
      </c>
      <c r="I97" s="49" t="inlineStr">
        <is>
          <t>[Make] Avatares digitales equiparados a gemelos ("Digital avatars - sometimes also called Digital Twins or more broadly Cyber-Physical Systems (CPS)") con "local intelligence" asignada a trabajos y materias primas (inteligencia distribuida tipo agente, C7) para líneas de manufactura en "intelligent supply chains"; demostrador con simulación de eventos discretos. Make; verificar. | Auditoría final 2026-09-06: se mantiene I; Make conservado tras la verificación independiente: el objetivo declarado encuadra la cadena ("The goal of this paper is to describe how data from interwoven, autonomous and intelligent supply chains can be integrated into the diverse data ecosystems of the Industry 4.0") (C5) y la inteligencia local de trabajos y materias primas en el avatar digital ("assign local intelligence to jobs and raw materials") es control distribuido tipo agente (C7); verificar en texto completo el método de la inteligencia local y el alcance de cadena del demostrador.</t>
        </is>
      </c>
    </row>
    <row r="98">
      <c r="A98" s="49" t="inlineStr">
        <is>
          <t>R0347</t>
        </is>
      </c>
      <c r="B98" s="49" t="n">
        <v>2026</v>
      </c>
      <c r="C98" s="49" t="inlineStr">
        <is>
          <t>Evaluation of the efficiency of air-cushion conveyor modernization through digital monitoring and modeling</t>
        </is>
      </c>
      <c r="D98" s="49" t="inlineStr">
        <is>
          <t>Open Engineering</t>
        </is>
      </c>
      <c r="E98" s="49" t="inlineStr">
        <is>
          <t>10.1515/eng-2025-0146</t>
        </is>
      </c>
      <c r="F98" s="49" t="inlineStr">
        <is>
          <t>Article</t>
        </is>
      </c>
      <c r="G98" s="49" t="n">
        <v>14</v>
      </c>
      <c r="H98" s="49" t="inlineStr"/>
      <c r="I98" s="49" t="inlineStr">
        <is>
          <t>Modernizacion de transportadores de colchon de aire en mineria a cielo abierto con "digital modeling using artificial intelligence algorithms" y pruebas industriales, orientada a "improving energy efficiency and reliability of logistics systems" y a "the overall efficiency of production logistics"; flujo de materiales nombrado (transporte de graneles en cantera); el criterio 1 descansa en una sola clausula ("The methodology combines real-time data collection, digital modeling using artificial intelligence algorithms, and industrial testing at an operating mining facility"). Incluido por sensibilidad; el texto completo decide si existe un modelo del sistema aparte del estimador de IA. | Auditoría final 2026-09-06: se mantiene I; IA usada aunque sin método nombrado ("digital modeling using artificial intelligence algorithms, and industrial testing at an operating mining facility"), como R0201; logística de planta explícita ("production logistics", "logistics systems"); el texto completo decide qué algoritmos y si el modelo digital opera como gemelo.</t>
        </is>
      </c>
    </row>
    <row r="99">
      <c r="A99" s="49" t="inlineStr">
        <is>
          <t>R0350</t>
        </is>
      </c>
      <c r="B99" s="49" t="n">
        <v>2026</v>
      </c>
      <c r="C99" s="49" t="inlineStr">
        <is>
          <t>Causal Digital Twin-Driven Emergency Material Demand Prediction for Post-Earthquake Disaster Management</t>
        </is>
      </c>
      <c r="D99" s="49" t="inlineStr">
        <is>
          <t>7th International Conference on Inventive Research in Computing Applications, ICIRCA 2026 - Proceedings</t>
        </is>
      </c>
      <c r="E99" s="49" t="inlineStr">
        <is>
          <t>10.1109/icirca69024.2026.11570431</t>
        </is>
      </c>
      <c r="F99" s="49" t="inlineStr">
        <is>
          <t>Conference paper</t>
        </is>
      </c>
      <c r="G99" s="49" t="n">
        <v>14</v>
      </c>
      <c r="H99" s="49" t="inlineStr"/>
      <c r="I99" s="49" t="inlineStr">
        <is>
          <t>Prediccion de demanda de material de emergencia tras sismos con gemelo causal ("The simulation of a disaster scenario is conducted via digital twin, and the agent-based simulation predicts emergency material demands in an adaptive manner"), razonamiento causal y modelado bayesiano; planeacion de suministro humanitario ("Accurate prediction of emergency material demand after earthquakes is essential for effective disaster response") y agentes como IA (C7). Calidad dudosa; el texto completo decide, en particular si el gemelo modela el suministro o sólo el escenario de peligro (C6). | Auditoría final 2026-09-06: se mantiene I; verificar si el gemelo modela el suministro humanitario o sólo el escenario de peligro (C6).</t>
        </is>
      </c>
    </row>
    <row r="100">
      <c r="A100" s="49" t="inlineStr">
        <is>
          <t>R0500</t>
        </is>
      </c>
      <c r="B100" s="49" t="n">
        <v>2026</v>
      </c>
      <c r="C100" s="49" t="inlineStr">
        <is>
          <t>Integrating Large Language Models and Digital Twins in Manufacturing: Opportunities and Challenges for Production Logistics and Assembly Environments</t>
        </is>
      </c>
      <c r="D100" s="49" t="inlineStr">
        <is>
          <t>IFIP Advances in Information and Communication Technology</t>
        </is>
      </c>
      <c r="E100" s="49" t="inlineStr">
        <is>
          <t>10.1007/978-3-032-03515-8_36</t>
        </is>
      </c>
      <c r="F100" s="49" t="inlineStr">
        <is>
          <t>Conference paper</t>
        </is>
      </c>
      <c r="G100" s="49" t="n">
        <v>8</v>
      </c>
      <c r="H100" s="49" t="inlineStr">
        <is>
          <t>Make</t>
        </is>
      </c>
      <c r="I100" s="49" t="inlineStr">
        <is>
          <t>[Make] Integracion LLM-gemelo para "production logistics and assembly operations in manufacturing", con "adaptive scheduling and intra logistics coordination" como area micro y enfasis en "hybrid, explainable, and human-centered AI systems"; conceptual (metodologia cualitativa por escenarios), como R0133. Make: logistica intra-planta.</t>
        </is>
      </c>
    </row>
    <row r="101">
      <c r="A101" s="49" t="inlineStr">
        <is>
          <t>R0520</t>
        </is>
      </c>
      <c r="B101" s="49" t="n">
        <v>2026</v>
      </c>
      <c r="C101" s="49" t="inlineStr">
        <is>
          <t>A Self-Deciding Adaptive Digital Twin Framework Using Agentic AI for Fuzzy Multi-Objective Optimization of Food Logistics</t>
        </is>
      </c>
      <c r="D101" s="49" t="inlineStr">
        <is>
          <t>Algorithms</t>
        </is>
      </c>
      <c r="E101" s="49" t="inlineStr">
        <is>
          <t>10.3390/a19030218</t>
        </is>
      </c>
      <c r="F101" s="49" t="inlineStr">
        <is>
          <t>Article</t>
        </is>
      </c>
      <c r="G101" s="49" t="n">
        <v>8</v>
      </c>
      <c r="H101" s="49" t="inlineStr"/>
      <c r="I101" s="49" t="inlineStr">
        <is>
          <t>Gemelo adaptativo con IA agentica para logistica alimentaria: "an integrated decision-making architecture is presented that integrates a multi-objective fuzzy optimization model into an adaptive digital twin along with an agentic AI-based dynamic goal reset mechanism"; agentes cuentan como IA (C7). | Auditoría final 2026-09-06: Trabajo relacionado: R0511 (mismo grupo, arquitectura previa sin método de IA) está en el pool Antecedente C8.</t>
        </is>
      </c>
    </row>
    <row r="102">
      <c r="A102" s="49" t="inlineStr">
        <is>
          <t>R0521</t>
        </is>
      </c>
      <c r="B102" s="49" t="n">
        <v>2026</v>
      </c>
      <c r="C102" s="49" t="inlineStr">
        <is>
          <t>A Performance-Centric Investigation of ICT-Enabled Information Integration and Decision Support in Healthcare Supply Chain Systems</t>
        </is>
      </c>
      <c r="D102" s="49" t="inlineStr">
        <is>
          <t>IEEE International Conference on Electronic Systems and Intelligent Computing, ICESIC 2026 - Proceedings</t>
        </is>
      </c>
      <c r="E102" s="49" t="inlineStr">
        <is>
          <t>10.1109/icesic67389.2026.11496468</t>
        </is>
      </c>
      <c r="F102" s="49" t="inlineStr">
        <is>
          <t>Conference paper</t>
        </is>
      </c>
      <c r="G102" s="49" t="n">
        <v>8</v>
      </c>
      <c r="H102" s="49" t="inlineStr"/>
      <c r="I102" s="49" t="inlineStr">
        <is>
          <t>Resuelto 2026-09-06 por Rodrigo: si el modelo es el suministro, entra. Marco para "Healthcare Supply Chain Systems" con aprendizaje federado aplicado ("federated demand prediction accuracy was 92.1%") y gemelo para validar resiliencia ("Simulations of Digital Twin were also used to confirm the resilience of the system"); el objeto es la red de suministro hospitalaria, no el paciente (limita R0216).</t>
        </is>
      </c>
    </row>
    <row r="103">
      <c r="A103" s="49" t="inlineStr">
        <is>
          <t>R0525</t>
        </is>
      </c>
      <c r="B103" s="49" t="n">
        <v>2026</v>
      </c>
      <c r="C103" s="49" t="inlineStr">
        <is>
          <t>Supply chain digital twin design and implementation at scale: A case study at the Ford Motor Company and generalizations</t>
        </is>
      </c>
      <c r="D103" s="49" t="inlineStr">
        <is>
          <t>Omega (United Kingdom)</t>
        </is>
      </c>
      <c r="E103" s="49" t="inlineStr">
        <is>
          <t>10.1016/j.omega.2025.103447</t>
        </is>
      </c>
      <c r="F103" s="49" t="inlineStr">
        <is>
          <t>Article</t>
        </is>
      </c>
      <c r="G103" s="49" t="n">
        <v>8</v>
      </c>
      <c r="H103" s="49" t="inlineStr"/>
      <c r="I103" s="49" t="inlineStr">
        <is>
          <t>Caso de implementacion a escala del gemelo de cadena en Ford ("propose three industry-based frameworks for supply chain digital twin (SCDT) design and implementation at scale"), con "agentic AI integration in decision-making" y palabras clave Agentic AI y Generative AI; incluido por sensibilidad, el texto completo decide el componente de IA.</t>
        </is>
      </c>
    </row>
    <row r="104">
      <c r="A104" s="49" t="inlineStr">
        <is>
          <t>R0530</t>
        </is>
      </c>
      <c r="B104" s="49" t="n">
        <v>2026</v>
      </c>
      <c r="C104" s="49" t="inlineStr">
        <is>
          <t>Next-Generation AI‑Driven Digital Twin Framework for Market Volatility Warning and Risk Detection in Global Logistics Supply Chains</t>
        </is>
      </c>
      <c r="D104" s="49" t="inlineStr">
        <is>
          <t>IEEE Communications Standards Magazine</t>
        </is>
      </c>
      <c r="E104" s="49" t="inlineStr">
        <is>
          <t>10.1109/mcomstd.2025.3641867</t>
        </is>
      </c>
      <c r="F104" s="49" t="inlineStr">
        <is>
          <t>Article</t>
        </is>
      </c>
      <c r="G104" s="49" t="n">
        <v>8</v>
      </c>
      <c r="H104" s="49" t="inlineStr"/>
      <c r="I104" s="49" t="inlineStr">
        <is>
          <t>Marco de gemelo para cadenas logisticas globales: "the coupling of DTs with AI/ML, edge computing, and 5G/6G connectivity offers powerful capabilities for market volatility warning and risk detection", con "A case study on logistics volatility detection"; incluido por sensibilidad aunque el contenido sea de estandarizacion y seguridad. | Auditoría final 2026-09-06: se mantiene I; marco de gemelo con IA constitutiva para cadenas logísticas ("a next-generation AI-driven digital twin framework tailored for logistics supply chains") con caso ("A case study on logistics volatility detection"), C8 tercera precisión; riesgo E3 en texto completo si la IA es sólo etiqueta; interés HITL: "DT-aware AI governance" y aseguramiento en tiempo real.</t>
        </is>
      </c>
    </row>
    <row r="105">
      <c r="A105" s="49" t="inlineStr">
        <is>
          <t>R0551</t>
        </is>
      </c>
      <c r="B105" s="49" t="n">
        <v>2025</v>
      </c>
      <c r="C105" s="49" t="inlineStr">
        <is>
          <t>Digitization Methods for a Logistics Warehouse Towards Digital Twin-Driven Optimization</t>
        </is>
      </c>
      <c r="D105" s="49" t="inlineStr">
        <is>
          <t>Proceedings - 2025 IEEE International Conference on Smart Computing, SMARTCOMP 2025</t>
        </is>
      </c>
      <c r="E105" s="49" t="inlineStr">
        <is>
          <t>10.1109/smartcomp65954.2025.00035</t>
        </is>
      </c>
      <c r="F105" s="49" t="inlineStr">
        <is>
          <t>Conference paper</t>
        </is>
      </c>
      <c r="G105" s="49" t="n">
        <v>9</v>
      </c>
      <c r="H105" s="49" t="inlineStr"/>
      <c r="I105" s="49" t="inlineStr">
        <is>
          <t>Digitalizacion de un almacen logistico "Towards Digital Twin-Driven Optimization" (caso TRUSCO NAKAYAMA) con vision por computadora aplicada ("multi-camera object tracking", "cooperative annotation for improved object recognition, and synthetic data augmentation") y optimizacion de turnos y layout; el gemelo es el objetivo declarado en el titulo, como R0272, pero es la evidencia de gemelo mas debil del lote: no aparece en el resumen ni en las palabras clave de autor, sólo en el titulo y en el indice. Confirmar en texto completo. | Auditoría final 2026-09-06: se mantiene I; gemelo sólo en título e índice (excepción R0272); verificar en texto completo.</t>
        </is>
      </c>
    </row>
    <row r="106">
      <c r="A106" s="49" t="inlineStr">
        <is>
          <t>R0554</t>
        </is>
      </c>
      <c r="B106" s="49" t="n">
        <v>2025</v>
      </c>
      <c r="C106" s="49" t="inlineStr">
        <is>
          <t>Conceptual and formal models for design, adaptation, and control of digital twins in supply chain ecosystems</t>
        </is>
      </c>
      <c r="D106" s="49" t="inlineStr">
        <is>
          <t>Omega (United Kingdom)</t>
        </is>
      </c>
      <c r="E106" s="49" t="inlineStr">
        <is>
          <t>10.1016/j.omega.2025.103356</t>
        </is>
      </c>
      <c r="F106" s="49" t="inlineStr">
        <is>
          <t>Article</t>
        </is>
      </c>
      <c r="G106" s="49" t="n">
        <v>9</v>
      </c>
      <c r="H106" s="49" t="inlineStr"/>
      <c r="I106" s="49" t="inlineStr">
        <is>
          <t>Modelos conceptuales y formales del gemelo en cadenas (Omega, linea Ivanov): "A digital ecosystem is a set of digital technologies, AI-based knowledge management systems, cloud spaces, and platforms that encapsulate supply chain data enabling digital twins"; el marco generalizado incluye un "human-AI collaboration space". Muy relevante para HITL.</t>
        </is>
      </c>
    </row>
    <row r="107">
      <c r="A107" s="49" t="inlineStr">
        <is>
          <t>R0564</t>
        </is>
      </c>
      <c r="B107" s="49" t="n">
        <v>2025</v>
      </c>
      <c r="C107" s="49" t="inlineStr">
        <is>
          <t>Optimization of Operations in Solid Bulk Port Terminals Using Digital Twin</t>
        </is>
      </c>
      <c r="D107" s="49" t="inlineStr">
        <is>
          <t>Proceedings - Winter Simulation Conference</t>
        </is>
      </c>
      <c r="E107" s="49" t="inlineStr">
        <is>
          <t>10.1109/wsc68292.2025.11339094</t>
        </is>
      </c>
      <c r="F107" s="49" t="inlineStr">
        <is>
          <t>Conference paper</t>
        </is>
      </c>
      <c r="G107" s="49" t="n">
        <v>9</v>
      </c>
      <c r="H107" s="49" t="inlineStr"/>
      <c r="I107" s="49" t="inlineStr">
        <is>
          <t>Gemelo para programar operaciones en terminales portuarias de graneles solidos: "The approach integrates agent-based simulation with the Ant Colony System (ACS) metaheuristic to efficiently plan railway unloading, stockyard storage, and maritime shipping", validado con datos reales de Brasil. Criterio 3 por C7 (simulacion basada en agentes) y por una tecnica de inteligencia de enjambre nombrada, no por una mencion.</t>
        </is>
      </c>
    </row>
    <row r="108">
      <c r="A108" s="49" t="inlineStr">
        <is>
          <t>R0584</t>
        </is>
      </c>
      <c r="B108" s="49" t="n">
        <v>2025</v>
      </c>
      <c r="C108" s="49" t="inlineStr">
        <is>
          <t>Real-Time Medical Aid Delivery: A Digital Twin Approach with Dynamic Vehicle Routing Problem</t>
        </is>
      </c>
      <c r="D108" s="49" t="inlineStr">
        <is>
          <t>2025 IEEE 5th International Conference on Digital Twins and Parallel Intelligence, DTPI 2025</t>
        </is>
      </c>
      <c r="E108" s="49" t="inlineStr">
        <is>
          <t>10.1109/dtpi65196.2025.11088823</t>
        </is>
      </c>
      <c r="F108" s="49" t="inlineStr">
        <is>
          <t>Conference paper</t>
        </is>
      </c>
      <c r="G108" s="49" t="n">
        <v>9</v>
      </c>
      <c r="H108" s="49" t="inlineStr"/>
      <c r="I108" s="49" t="inlineStr">
        <is>
          <t>Gemelo con problema dinamico de ruteo para entrega de ayuda medica: "a novel framework that integrates Digital Twins (DTs) with Dynamic Vehicle Routing Problem (DVRP) models to enhance real-time medical aid delivery" donde "By integrating DTs, real-time data, and AI-driven optimization methods" describe el propio marco, con resultados de ejecucion ("request satisfaction rate, total distance, and vehicle utilization"); el modelo es el sistema de distribucion, no el paciente (regla R0521).</t>
        </is>
      </c>
    </row>
    <row r="109">
      <c r="A109" s="49" t="inlineStr">
        <is>
          <t>R0589</t>
        </is>
      </c>
      <c r="B109" s="49" t="n">
        <v>2025</v>
      </c>
      <c r="C109" s="49" t="inlineStr">
        <is>
          <t>DigiPyramid: A Multiresolution Digital Twin Framework for Reliable Logistics Management-Conceptualization, Implementation, and Intelligentization</t>
        </is>
      </c>
      <c r="D109" s="49" t="inlineStr">
        <is>
          <t>IEEE ACCESS</t>
        </is>
      </c>
      <c r="E109" s="49" t="inlineStr">
        <is>
          <t>10.1109/access.2025.3606168</t>
        </is>
      </c>
      <c r="F109" s="49" t="inlineStr">
        <is>
          <t>Article</t>
        </is>
      </c>
      <c r="G109" s="49" t="n">
        <v>9</v>
      </c>
      <c r="H109" s="49" t="inlineStr"/>
      <c r="I109" s="49" t="inlineStr">
        <is>
          <t>Gemelo multirresolucion para gestion logistica fiable con IA implementada: "The framework employs Bayesian Networks to infer and mitigate ambiguities" y "The integration of AI technologies, including Computer Vision and Bayesian Networks"; caso de una empresa logistica nacional china y decisiones por nivel organizativo (gerentes, planificadores, programadores, operadores).</t>
        </is>
      </c>
    </row>
    <row r="110">
      <c r="A110" s="49" t="inlineStr">
        <is>
          <t>R0591</t>
        </is>
      </c>
      <c r="B110" s="49" t="n">
        <v>2025</v>
      </c>
      <c r="C110" s="49" t="inlineStr">
        <is>
          <t>VerDT: A Versatile Digital Twins Framework for UAVs-Based Industrial Cyber-Physical Systems</t>
        </is>
      </c>
      <c r="D110" s="49" t="inlineStr">
        <is>
          <t>IEEE TRANSACTIONS ON MOBILE COMPUTING</t>
        </is>
      </c>
      <c r="E110" s="49" t="inlineStr">
        <is>
          <t>10.1109/tmc.2025.3567284</t>
        </is>
      </c>
      <c r="F110" s="49" t="inlineStr">
        <is>
          <t>Article</t>
        </is>
      </c>
      <c r="G110" s="49" t="n">
        <v>9</v>
      </c>
      <c r="H110" s="49" t="inlineStr"/>
      <c r="I110" s="49" t="inlineStr">
        <is>
          <t>Resuelto 2026-09-06 por Rodrigo: lo usan explicitamente, entra. Marco de gemelos en el borde para logistica con drones: "a resource scheduling model and a path planning model for real-time and accurate logistics distributions", con decisiones cooperativas de distribucion y resultados medidos ("reduces the distribution latency by 63.9%"); metodo implementado aunque no lo etiqueten como IA (C8 estricta, rama de uso).</t>
        </is>
      </c>
    </row>
    <row r="111">
      <c r="A111" s="49" t="inlineStr">
        <is>
          <t>R0614</t>
        </is>
      </c>
      <c r="B111" s="49" t="n">
        <v>2023</v>
      </c>
      <c r="C111" s="49" t="inlineStr">
        <is>
          <t>Implementing Digital Twins That Learn: AI and Simulation Are at the Core</t>
        </is>
      </c>
      <c r="D111" s="49" t="inlineStr">
        <is>
          <t>Machines</t>
        </is>
      </c>
      <c r="E111" s="49" t="inlineStr">
        <is>
          <t>10.3390/machines11040425</t>
        </is>
      </c>
      <c r="F111" s="49" t="inlineStr">
        <is>
          <t>Article</t>
        </is>
      </c>
      <c r="G111" s="49" t="n">
        <v>10</v>
      </c>
      <c r="H111" s="49" t="inlineStr"/>
      <c r="I111" s="49" t="inlineStr">
        <is>
          <t>Articulo conceptual sobre gemelos de proceso para cadenas resilientes con la IA como nucleo: "We discuss how key digital twin functions and enabling AI and simulation technologies integrate to describe, predict, and optimize supply chains for Industry 4.0 implementations"; conceptual tipo Ivanov (C3), la IA es componente definitorio del gemelo propuesto, no una mencion.</t>
        </is>
      </c>
    </row>
    <row r="112">
      <c r="A112" s="49" t="inlineStr">
        <is>
          <t>R0621</t>
        </is>
      </c>
      <c r="B112" s="49" t="n">
        <v>2022</v>
      </c>
      <c r="C112" s="49" t="inlineStr">
        <is>
          <t>Digital Twin for Inventory Planning of Fresh Produce</t>
        </is>
      </c>
      <c r="D112" s="49" t="inlineStr">
        <is>
          <t>IFAC-PapersOnLine</t>
        </is>
      </c>
      <c r="E112" s="49" t="inlineStr">
        <is>
          <t>10.1016/j.ifacol.2022.10.134</t>
        </is>
      </c>
      <c r="F112" s="49" t="inlineStr">
        <is>
          <t>Conference paper</t>
        </is>
      </c>
      <c r="G112" s="49" t="n">
        <v>10</v>
      </c>
      <c r="H112" s="49" t="inlineStr"/>
      <c r="I112" s="49" t="inlineStr">
        <is>
          <t>Resuelto 2026-09-06 por Rodrigo: el pronostico de SAP Analytics Cloud sí cuenta. Gemelo para planeacion de inventario de fruta fresca en el banco de alimentos italiano ("the use of historical time-series data to create a digital twin that can anticipate future events"), con pronostico predictivo ejecutado en la herramienta ("The SAP Analytics Cloud was used to create a solution"; palabra clave "Predictive Forecast"); analitica predictiva operando en el gemelo (C8, tercera precision).</t>
        </is>
      </c>
    </row>
    <row r="113">
      <c r="A113" s="49" t="inlineStr">
        <is>
          <t>R0629</t>
        </is>
      </c>
      <c r="B113" s="49" t="n">
        <v>2021</v>
      </c>
      <c r="C113" s="49" t="inlineStr">
        <is>
          <t>Research on Intelligent Assembly Modes of Aerospace Products Based on Digital Twin</t>
        </is>
      </c>
      <c r="D113" s="49" t="inlineStr">
        <is>
          <t>Journal of Physics: Conference Series</t>
        </is>
      </c>
      <c r="E113" s="49" t="inlineStr">
        <is>
          <t>10.1088/1742-6596/1756/1/012011</t>
        </is>
      </c>
      <c r="F113" s="49" t="inlineStr">
        <is>
          <t>Conference paper</t>
        </is>
      </c>
      <c r="G113" s="49" t="n">
        <v>10</v>
      </c>
      <c r="H113" s="49" t="inlineStr">
        <is>
          <t>Make</t>
        </is>
      </c>
      <c r="I113" s="49" t="inlineStr">
        <is>
          <t>[Make] Plataforma de ensamblaje aeroespacial basada en gemelo de taller con un metodo de decision embebido y verificado ("an intelligent control mode based on two-layer optimization"; "verify its application in aerospace product assembly") que produce "plan optimization information, logistics optimization information and quality optimization information"; rama de uso de C8 como R0591. Make: logistica intra-planta nombrada como salida del gemelo. Calidad dudosa; el texto completo decide.</t>
        </is>
      </c>
    </row>
    <row r="114">
      <c r="A114" s="49" t="inlineStr">
        <is>
          <t>R0639</t>
        </is>
      </c>
      <c r="B114" s="49" t="n">
        <v>2026</v>
      </c>
      <c r="C114" s="49" t="inlineStr">
        <is>
          <t>A Big Data-Driven Knowledge Framework for Supply Chain Risk Prediction and Performance Optimization in Multinational Corporations</t>
        </is>
      </c>
      <c r="D114" s="49" t="inlineStr">
        <is>
          <t>International Journal of Knowledge Management</t>
        </is>
      </c>
      <c r="E114" s="49" t="inlineStr">
        <is>
          <t>10.4018/ijkm.402393</t>
        </is>
      </c>
      <c r="F114" s="49" t="inlineStr">
        <is>
          <t>Article</t>
        </is>
      </c>
      <c r="G114" s="49" t="n">
        <v>13</v>
      </c>
      <c r="H114" s="49" t="inlineStr"/>
      <c r="I114" s="49" t="inlineStr">
        <is>
          <t>Marco de conocimiento para riesgo de cadena en multinacionales con ML y aprendizaje profundo ("Random Forest, XGBoost, LSTM, and Federated GCN") cuyas probabilidades de disrupcion "are translated into resilience strategies through optimization and digital-twin simulations"; gemelo enunciado como mecanismo del marco sobre datos simulados. Incluido por sensibilidad; el texto completo decide si el gemelo existe. | Auditoría final 2026-09-06: se mantiene I; gemelo enunciado como mecanismo ("translated into resilience strategies through optimization and digital-twin simulations") sobre datos simulados; el texto completo decide.</t>
        </is>
      </c>
    </row>
    <row r="115">
      <c r="A115" s="49" t="inlineStr">
        <is>
          <t>R0643</t>
        </is>
      </c>
      <c r="B115" s="49" t="n">
        <v>2026</v>
      </c>
      <c r="C115" s="49" t="inlineStr">
        <is>
          <t>Enhancing Resource Management in Dyeing Industry Supply Chain Using Artificial Intelligence</t>
        </is>
      </c>
      <c r="D115" s="49" t="inlineStr">
        <is>
          <t>Lecture Notes in Networks and Systems</t>
        </is>
      </c>
      <c r="E115" s="49" t="inlineStr">
        <is>
          <t>10.1007/978-3-032-13003-7_15</t>
        </is>
      </c>
      <c r="F115" s="49" t="inlineStr">
        <is>
          <t>Conference paper</t>
        </is>
      </c>
      <c r="G115" s="49" t="n">
        <v>13</v>
      </c>
      <c r="H115" s="49" t="inlineStr">
        <is>
          <t>Make</t>
        </is>
      </c>
      <c r="I115" s="49" t="inlineStr">
        <is>
          <t>[Make] Arquitectura borde-nube para la cadena de tenido textil con gemelo implementado ("A digital-twin simulation engine mirrors every dye bath and tank") y agentes de aprendizaje por refuerzo "trained against the twin" que generan programas "while respecting delivery constraints", con modulo de IA explicable para "operator trust" y prueba de concepto en una tintoreria. Make: produccion encuadrada en la cadena de suministro del estudio (titulo y resumen). Relevante para HITL.</t>
        </is>
      </c>
    </row>
    <row r="116">
      <c r="A116" s="49" t="inlineStr">
        <is>
          <t>R0663</t>
        </is>
      </c>
      <c r="B116" s="49" t="n">
        <v>2025</v>
      </c>
      <c r="C116" s="49" t="inlineStr">
        <is>
          <t>When Interpretability Meets Efficiency: Integrating Emulation into Supply Chain Simulation</t>
        </is>
      </c>
      <c r="D116" s="49" t="inlineStr">
        <is>
          <t>Proceedings - Winter Simulation Conference</t>
        </is>
      </c>
      <c r="E116" s="49" t="inlineStr">
        <is>
          <t>10.1109/wsc68292.2025.11339053</t>
        </is>
      </c>
      <c r="F116" s="49" t="inlineStr">
        <is>
          <t>Conference paper</t>
        </is>
      </c>
      <c r="G116" s="49" t="n">
        <v>13</v>
      </c>
      <c r="H116" s="49" t="inlineStr"/>
      <c r="I116" s="49" t="inlineStr">
        <is>
          <t>Simulador hibrido SEmulate que integra emulacion por ML en la simulacion de cadena de grandes minoristas ("Traditional digital-twin simulators, which are powered by complex optimization algorithms, are high-fidelity but can be computationally expensive"; "reduces runtime by orders of magnitude compared to the traditional digital-twin based simulator"); el objeto es el simulador gemelo de cadena acelerado con ML. Incluido por sensibilidad; verificar en texto completo si el simulador se conserva como gemelo. | Auditoría final 2026-09-06: se mantiene I; objeto = simulador gemelo de cadena acelerado con emulación por ML; verificar que el simulador se conserve como gemelo.</t>
        </is>
      </c>
    </row>
    <row r="117">
      <c r="A117" s="49" t="inlineStr">
        <is>
          <t>R0664</t>
        </is>
      </c>
      <c r="B117" s="49" t="n">
        <v>2025</v>
      </c>
      <c r="C117" s="49" t="inlineStr">
        <is>
          <t>Internet of behaviors: conceptual model, practical and theoretical implications for supply chain and operations management</t>
        </is>
      </c>
      <c r="D117" s="49" t="inlineStr">
        <is>
          <t>International Journal of Production Research</t>
        </is>
      </c>
      <c r="E117" s="49" t="inlineStr">
        <is>
          <t>10.1080/00207543.2024.2372008</t>
        </is>
      </c>
      <c r="F117" s="49" t="inlineStr">
        <is>
          <t>Article</t>
        </is>
      </c>
      <c r="G117" s="49" t="n">
        <v>13</v>
      </c>
      <c r="H117" s="49" t="inlineStr"/>
      <c r="I117" s="49" t="inlineStr">
        <is>
          <t>Modelo conceptual del Internet de los Comportamientos para gestion de cadena y operaciones (IJPR) construido sobre gemelos de cadena ("Based on a combination of the existing IoB frameworks with industrial Metaverse and digital supply chain twins, we propose a framework for IoB in SCOM"), donde el IoB se define como red "for replicating, understanding, predicting, and influencing human behaviour through data analytics"; conceptual de la linea Ivanov con la analitica predictiva como elemento constitutivo (C8, tercera precision). Limite: la IA aparece sólo como enriquecimiento ("a combination of artificial intelligence and digital technology with operations research"); alternativa E3 en el pool de antecedentes (valor medio) si consideras que la IA no es constitutiva.</t>
        </is>
      </c>
    </row>
    <row r="118">
      <c r="A118" s="49" t="inlineStr">
        <is>
          <t>R0674</t>
        </is>
      </c>
      <c r="B118" s="49" t="n">
        <v>2024</v>
      </c>
      <c r="C118" s="49" t="inlineStr">
        <is>
          <t>Disruption detection for a cognitive digital supply chain twin using hybrid deep learning</t>
        </is>
      </c>
      <c r="D118" s="49" t="inlineStr">
        <is>
          <t>Operational Research</t>
        </is>
      </c>
      <c r="E118" s="49" t="inlineStr">
        <is>
          <t>10.1007/s12351-024-00831-y</t>
        </is>
      </c>
      <c r="F118" s="49" t="inlineStr">
        <is>
          <t>Article</t>
        </is>
      </c>
      <c r="G118" s="49" t="n">
        <v>13</v>
      </c>
      <c r="H118" s="49" t="inlineStr"/>
      <c r="I118" s="49" t="inlineStr">
        <is>
          <t>Deteccion de disrupciones para un gemelo cognitivo de cadena con aprendizaje profundo hibrido: "This paper introduces a hybrid deep learning approach for disruption detection within a cognitive digital supply chain twin framework to enhance supply chain resilience", con autocodificador, SVM de una clase y LSTM para predecir "time-to-recovery". Los tres criterios explicitos.</t>
        </is>
      </c>
    </row>
  </sheetData>
  <autoFilter ref="A1:I1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3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17" min="1" max="1"/>
    <col width="28" customWidth="1" style="17" min="2" max="2"/>
    <col width="6" customWidth="1" style="17" min="3" max="3"/>
    <col width="48" customWidth="1" style="17" min="4" max="4"/>
    <col width="26" customWidth="1" style="17" min="5" max="5"/>
    <col width="12" customWidth="1" style="17" min="6" max="6"/>
    <col width="26" customWidth="1" style="17" min="7" max="7"/>
    <col width="30" customWidth="1" style="17" min="8" max="8"/>
    <col width="8" customWidth="1" style="17" min="9" max="9"/>
    <col width="40" customWidth="1" style="17" min="10" max="10"/>
    <col width="10" customWidth="1" style="17" min="11" max="11"/>
    <col width="22" customWidth="1" style="17" min="12" max="12"/>
    <col width="12" customWidth="1" style="17" min="13" max="13"/>
    <col width="30" customWidth="1" style="17" min="14" max="14"/>
    <col width="40" customWidth="1" style="17" min="15" max="15"/>
    <col width="11" customWidth="1" style="17" min="16" max="16"/>
    <col width="22" customWidth="1" style="17" min="17" max="17"/>
  </cols>
  <sheetData>
    <row r="1">
      <c r="A1" s="48" t="inlineStr">
        <is>
          <t>ID</t>
        </is>
      </c>
      <c r="B1" s="48" t="inlineStr">
        <is>
          <t>Authors</t>
        </is>
      </c>
      <c r="C1" s="48" t="inlineStr">
        <is>
          <t>Year</t>
        </is>
      </c>
      <c r="D1" s="48" t="inlineStr">
        <is>
          <t>Title</t>
        </is>
      </c>
      <c r="E1" s="48" t="inlineStr">
        <is>
          <t>Venue</t>
        </is>
      </c>
      <c r="F1" s="48" t="inlineStr">
        <is>
          <t>Doc type</t>
        </is>
      </c>
      <c r="G1" s="48" t="inlineStr">
        <is>
          <t>DOI</t>
        </is>
      </c>
      <c r="H1" s="48" t="inlineStr">
        <is>
          <t>DOI link</t>
        </is>
      </c>
      <c r="I1" s="48" t="inlineStr">
        <is>
          <t>Make (TA)</t>
        </is>
      </c>
      <c r="J1" s="48" t="inlineStr">
        <is>
          <t>TA flag</t>
        </is>
      </c>
      <c r="K1" s="48" t="inlineStr">
        <is>
          <t>Retrieved (Y/N)</t>
        </is>
      </c>
      <c r="L1" s="48" t="inlineStr">
        <is>
          <t>Source read (URL / local file)</t>
        </is>
      </c>
      <c r="M1" s="48" t="inlineStr">
        <is>
          <t>FT decision</t>
        </is>
      </c>
      <c r="N1" s="48" t="inlineStr">
        <is>
          <t>FT exclusion reason</t>
        </is>
      </c>
      <c r="O1" s="48" t="inlineStr">
        <is>
          <t>FT note (quote page/section)</t>
        </is>
      </c>
      <c r="P1" s="48" t="inlineStr">
        <is>
          <t>FT date</t>
        </is>
      </c>
      <c r="Q1" s="35" t="inlineStr">
        <is>
          <t>Confirmed by screener</t>
        </is>
      </c>
    </row>
    <row r="2">
      <c r="A2" s="49" t="inlineStr">
        <is>
          <t>R0001</t>
        </is>
      </c>
      <c r="B2" s="49" t="inlineStr">
        <is>
          <t>Guzmán E.; Andrés B.; Torres-Polo M.</t>
        </is>
      </c>
      <c r="C2" s="49" t="n">
        <v>2026</v>
      </c>
      <c r="D2" s="49" t="inlineStr">
        <is>
          <t>A cooperative digital twin–multi-agent reinforcement learning for circular supply chains: balanced control across production, logistics, and sustainability</t>
        </is>
      </c>
      <c r="E2" s="49" t="inlineStr">
        <is>
          <t>Computers and Industrial Engineering</t>
        </is>
      </c>
      <c r="F2" s="49" t="inlineStr">
        <is>
          <t>Article</t>
        </is>
      </c>
      <c r="G2" s="49" t="inlineStr">
        <is>
          <t>10.1016/j.cie.2026.112044</t>
        </is>
      </c>
      <c r="H2" s="49" t="inlineStr">
        <is>
          <t>https://doi.org/10.1016/j.cie.2026.112044</t>
        </is>
      </c>
      <c r="I2" s="49" t="inlineStr"/>
      <c r="J2" s="49" t="inlineStr"/>
      <c r="K2" s="60" t="inlineStr">
        <is>
          <t>Y</t>
        </is>
      </c>
      <c r="L2" s="60" t="inlineStr">
        <is>
          <t>local:/root/work/fulltext/R0001.txt (local PDF supplied by Rodrigo: 1-s2.0-S0360835226002457-main.pdf, pdftotext -layout; open access, Computers &amp; Industrial Engineering 218 (2026) 112044)</t>
        </is>
      </c>
      <c r="M2" s="60" t="inlineStr">
        <is>
          <t>Include</t>
        </is>
      </c>
      <c r="N2" s="60" t="n"/>
      <c r="O2" s="60" t="inlineStr">
        <is>
          <t>Incluido: gemelo digital basado en simulación (datos sintéticos, sin flujos en vivo) acoplado a MARL cooperativo de cinco agentes que ejecuta decisiones de planificación, inventario, logística, expedición y reciclaje en cadena circular de dos escalones. Dudas: ¿DT o modelo digital?; rol humano no discutido (solo fija pesos/umbrales); Source y extremo a extremo no cubiertos. [citas verificadas: 4 ok, 2 no encontradas]</t>
        </is>
      </c>
      <c r="P2" s="60" t="inlineStr">
        <is>
          <t>2026-09-06</t>
        </is>
      </c>
      <c r="Q2" s="16" t="inlineStr">
        <is>
          <t>Confirmado 2026-09-06 por Rodrigo (vibo)</t>
        </is>
      </c>
    </row>
    <row r="3">
      <c r="A3" s="49" t="inlineStr">
        <is>
          <t>R0003</t>
        </is>
      </c>
      <c r="B3" s="49" t="inlineStr">
        <is>
          <t>Dong Y.; Jin S.</t>
        </is>
      </c>
      <c r="C3" s="49" t="n">
        <v>2026</v>
      </c>
      <c r="D3" s="49" t="inlineStr">
        <is>
          <t>From Traditional to Digital: A Simulation-Based Approach on the Digital Transformation of MultiTier Automotive Parts Supply Chain Based on Cloud SCM Platform</t>
        </is>
      </c>
      <c r="E3" s="49" t="inlineStr">
        <is>
          <t>Proceedings of International Conference on Intelligent Computing, ICONIC 2026</t>
        </is>
      </c>
      <c r="F3" s="49" t="inlineStr">
        <is>
          <t>Conference paper</t>
        </is>
      </c>
      <c r="G3" s="49" t="inlineStr">
        <is>
          <t>10.1109/iconic67661.2026.11517868</t>
        </is>
      </c>
      <c r="H3" s="49" t="inlineStr">
        <is>
          <t>https://doi.org/10.1109/iconic67661.2026.11517868</t>
        </is>
      </c>
      <c r="I3" s="49" t="inlineStr"/>
      <c r="J3" s="49" t="inlineStr"/>
      <c r="K3" s="60" t="inlineStr">
        <is>
          <t>N</t>
        </is>
      </c>
      <c r="L3" s="60" t="inlineStr">
        <is>
          <t>https://ieeexplore.ieee.org/document/11517868</t>
        </is>
      </c>
      <c r="M3" s="60" t="n"/>
      <c r="N3" s="60" t="n"/>
      <c r="O3" s="60" t="inlineStr">
        <is>
          <t>NO RECUPERADO. NO RECUPERADO: IEEE Xplore muestra 'Access provided by: Tec Monterrey' pero el texto se corta tras el primer párrafo de la Introducción con 'Sign in to Continue Reading' (esperé 8 s + 6 s; secciones II-V nunca cargaron). Proxy Hull no aplica a IEEE. Semantic Scholar: isOpenAccess=false, sin PDF abierto. Requiere descarga manual del PDF (ICONIC 2026, DOI arriba).</t>
        </is>
      </c>
      <c r="P3" s="60" t="inlineStr">
        <is>
          <t>2026-09-06</t>
        </is>
      </c>
      <c r="Q3" s="16" t="inlineStr">
        <is>
          <t>Confirmado 2026-09-06 por Rodrigo (vibo)</t>
        </is>
      </c>
    </row>
    <row r="4">
      <c r="A4" s="49" t="inlineStr">
        <is>
          <t>R0004</t>
        </is>
      </c>
      <c r="B4" s="49" t="inlineStr">
        <is>
          <t>Chauhan P.; Adhana D.K.; Saxena M.</t>
        </is>
      </c>
      <c r="C4" s="49" t="n">
        <v>2026</v>
      </c>
      <c r="D4" s="49" t="inlineStr">
        <is>
          <t>An AI-Driven Optimization Framework for Sustainable E-Waste Management and Resource Utilization</t>
        </is>
      </c>
      <c r="E4" s="49" t="inlineStr">
        <is>
          <t>2026 2nd International Conference on Big Data and Machine Learning, ICBDML 2026</t>
        </is>
      </c>
      <c r="F4" s="49" t="inlineStr">
        <is>
          <t>Conference paper</t>
        </is>
      </c>
      <c r="G4" s="49" t="inlineStr">
        <is>
          <t>10.1109/icbdml68582.2026.11544180</t>
        </is>
      </c>
      <c r="H4" s="49" t="inlineStr">
        <is>
          <t>https://doi.org/10.1109/icbdml68582.2026.11544180</t>
        </is>
      </c>
      <c r="I4" s="49" t="inlineStr"/>
      <c r="J4" s="49" t="inlineStr"/>
      <c r="K4" s="60" t="inlineStr">
        <is>
          <t>N</t>
        </is>
      </c>
      <c r="L4" s="60" t="inlineStr">
        <is>
          <t>https://ieeexplore.ieee.org/document/11544180</t>
        </is>
      </c>
      <c r="M4" s="60" t="n"/>
      <c r="N4" s="60" t="n"/>
      <c r="O4" s="60" t="inlineStr">
        <is>
          <t>NO RECUPERADO. NO RECUPERADO: IEEE Xplore muestra 'Access provided by: Tec Monterrey' pero el texto se corta tras el primer párrafo de la Introducción con 'Sign in to Continue Reading' (esperé 8 s + 8 s; secciones II-V nunca cargaron). Proxy Hull no aplica a IEEE. Semantic Scholar: isOpenAccess=false, sin PDF abierto. Requiere descarga manual del PDF (ICBDML 2026, DOI arriba).</t>
        </is>
      </c>
      <c r="P4" s="60" t="inlineStr">
        <is>
          <t>2026-09-06</t>
        </is>
      </c>
      <c r="Q4" s="16" t="inlineStr">
        <is>
          <t>Confirmado 2026-09-06 por Rodrigo (vibo)</t>
        </is>
      </c>
    </row>
    <row r="5">
      <c r="A5" s="49" t="inlineStr">
        <is>
          <t>R0008</t>
        </is>
      </c>
      <c r="B5" s="49" t="inlineStr">
        <is>
          <t>Kaarlela T.; Alekseev S.; Maljamäki P.; Ikäheimo E.; Kurvinen E.</t>
        </is>
      </c>
      <c r="C5" s="49" t="n">
        <v>2026</v>
      </c>
      <c r="D5" s="49" t="inlineStr">
        <is>
          <t>Digital twin framework for electric truck route and infrastructure planning in the Nordic region</t>
        </is>
      </c>
      <c r="E5" s="49" t="inlineStr">
        <is>
          <t>Transportation Engineering</t>
        </is>
      </c>
      <c r="F5" s="49" t="inlineStr">
        <is>
          <t>Article</t>
        </is>
      </c>
      <c r="G5" s="49" t="inlineStr">
        <is>
          <t>10.1016/j.treng.2026.100426</t>
        </is>
      </c>
      <c r="H5" s="49" t="inlineStr">
        <is>
          <t>https://doi.org/10.1016/j.treng.2026.100426</t>
        </is>
      </c>
      <c r="I5" s="49" t="inlineStr"/>
      <c r="J5" s="49" t="inlineStr"/>
      <c r="K5" s="60" t="inlineStr">
        <is>
          <t>Y</t>
        </is>
      </c>
      <c r="L5" s="60" t="inlineStr">
        <is>
          <t>https://www.sciencedirect.com/science/article/pii/S2666691X26000072?via%3Dihub</t>
        </is>
      </c>
      <c r="M5" s="60" t="inlineStr">
        <is>
          <t>Include</t>
        </is>
      </c>
      <c r="N5" s="60" t="n"/>
      <c r="O5" s="60" t="inlineStr">
        <is>
          <t>Incluido: DT del camión eléctrico (TruckMaker, calibrado con datos reales, 3.3.4); entorno logístico (piloto DB Schenker, planificadores de rutas/carga); Gradient Boosting predice DoD y alimenta rutas óptimas. Dudas: DT «no es una réplica exacta»; ML acoplado al marco, no dentro del DT; HITL implícito; nivel 4 por rutas óptimas, infraestructura solo what-if (nivel 3). [citas verificadas: 6 ok, 0 no encontradas]</t>
        </is>
      </c>
      <c r="P5" s="60" t="inlineStr">
        <is>
          <t>2026-09-06</t>
        </is>
      </c>
      <c r="Q5" s="16" t="inlineStr">
        <is>
          <t>Confirmado 2026-09-06 por Rodrigo (vibo)</t>
        </is>
      </c>
    </row>
    <row r="6">
      <c r="A6" s="49" t="inlineStr">
        <is>
          <t>R0009</t>
        </is>
      </c>
      <c r="B6" s="49" t="inlineStr">
        <is>
          <t>Han F.; Liu L.; Sun J.</t>
        </is>
      </c>
      <c r="C6" s="49" t="n">
        <v>2026</v>
      </c>
      <c r="D6" s="49" t="inlineStr">
        <is>
          <t>Logistics equipment condition monitoring and prediction based on digital twin and machine learning</t>
        </is>
      </c>
      <c r="E6" s="49" t="inlineStr">
        <is>
          <t>Scientific Reports</t>
        </is>
      </c>
      <c r="F6" s="49" t="inlineStr">
        <is>
          <t>Article</t>
        </is>
      </c>
      <c r="G6" s="49" t="inlineStr">
        <is>
          <t>10.1038/s41598-026-43380-4</t>
        </is>
      </c>
      <c r="H6" s="49" t="inlineStr">
        <is>
          <t>https://doi.org/10.1038/s41598-026-43380-4</t>
        </is>
      </c>
      <c r="I6" s="49" t="inlineStr"/>
      <c r="J6" s="49" t="inlineStr"/>
      <c r="K6" s="60" t="inlineStr">
        <is>
          <t>Y</t>
        </is>
      </c>
      <c r="L6" s="60" t="inlineStr">
        <is>
          <t>https://www.nature.com/articles/s41598-026-43380-4</t>
        </is>
      </c>
      <c r="M6" s="60" t="inlineStr">
        <is>
          <t>Include</t>
        </is>
      </c>
      <c r="N6" s="60" t="n"/>
      <c r="O6" s="60" t="inlineStr">
        <is>
          <t>Incluido: gemelo de activos logísticos (montacargas, transportadores, AGV) en centro de distribución; ML ejecutado (iForest, autoencoder, LSTM, RF, CNN); HITL explícito (umbral 0,85, aprendizaje activo, XAI). Dudas: 'Data availability' afirma que todos los datos de sensores son simulados, contradiciendo el piloto de 12 meses/150 equipos (evidence_type); frases incoherentes; nivel 3 vs 4; SCOR solo Deliver (mantenimiento = Enable). [citas verificadas: 6 ok, 0 no encontradas]</t>
        </is>
      </c>
      <c r="P6" s="60" t="inlineStr">
        <is>
          <t>2026-09-06</t>
        </is>
      </c>
      <c r="Q6" s="16" t="inlineStr">
        <is>
          <t>Confirmado 2026-09-06 por Rodrigo (vibo)</t>
        </is>
      </c>
    </row>
    <row r="7">
      <c r="A7" s="49" t="inlineStr">
        <is>
          <t>R0011</t>
        </is>
      </c>
      <c r="B7" s="49" t="inlineStr">
        <is>
          <t>Ivanov D.</t>
        </is>
      </c>
      <c r="C7" s="49" t="n">
        <v>2026</v>
      </c>
      <c r="D7" s="49" t="inlineStr">
        <is>
          <t>Toward Industry 6.0: The Ecosystem Age, superintelligence, viability, and OR-AI symbiosis</t>
        </is>
      </c>
      <c r="E7" s="49" t="inlineStr">
        <is>
          <t>Computers and Operations Research</t>
        </is>
      </c>
      <c r="F7" s="49" t="inlineStr">
        <is>
          <t>Article</t>
        </is>
      </c>
      <c r="G7" s="49" t="inlineStr">
        <is>
          <t>10.1016/j.cor.2026.107563</t>
        </is>
      </c>
      <c r="H7" s="49" t="inlineStr">
        <is>
          <t>https://doi.org/10.1016/j.cor.2026.107563</t>
        </is>
      </c>
      <c r="I7" s="49" t="inlineStr"/>
      <c r="J7" s="49" t="inlineStr"/>
      <c r="K7" s="60" t="inlineStr">
        <is>
          <t>Y</t>
        </is>
      </c>
      <c r="L7" s="60" t="inlineStr">
        <is>
          <t>https://www.sciencedirect.com/science/article/pii/S0305054826001814?via%3Dihub</t>
        </is>
      </c>
      <c r="M7" s="60" t="inlineStr">
        <is>
          <t>Include</t>
        </is>
      </c>
      <c r="N7" s="60" t="n"/>
      <c r="O7" s="60" t="inlineStr">
        <is>
          <t>Incluido: viewpoint conceptual cuyo objeto es el gemelo digital agéntico con IA constitutiva (arquitectura OR-IA de 7 capas; agentes LLM; IA generativa para detectar disrupciones). Dudas: integration_extent 5 por orquestación autónoma MPS/MRP, aunque los ejemplos Microsoft/Ford son nivel 4; hitl_role Reduced (Tabla 1: la IA reemplaza el trabajo supervisorio) frente a Elevated; ai_technique podría ser Hybrid (OR+IA). [citas verificadas: 6 ok, 0 no encontradas]</t>
        </is>
      </c>
      <c r="P7" s="60" t="inlineStr">
        <is>
          <t>2026-09-06</t>
        </is>
      </c>
      <c r="Q7" s="16" t="inlineStr">
        <is>
          <t>Confirmado 2026-09-06 por Rodrigo (vibo)</t>
        </is>
      </c>
    </row>
    <row r="8">
      <c r="A8" s="49" t="inlineStr">
        <is>
          <t>R0012</t>
        </is>
      </c>
      <c r="B8" s="49" t="inlineStr">
        <is>
          <t>Geethani M.; Kulatunga A.; Dharmapriya S.</t>
        </is>
      </c>
      <c r="C8" s="49" t="n">
        <v>2026</v>
      </c>
      <c r="D8" s="49" t="inlineStr">
        <is>
          <t>Digital Twin Based Framework to Enhance the Environmental Sustainability of Supply Chains</t>
        </is>
      </c>
      <c r="E8" s="49" t="inlineStr">
        <is>
          <t>Lecture Notes in Mechanical Engineering</t>
        </is>
      </c>
      <c r="F8" s="49" t="inlineStr">
        <is>
          <t>Conference paper</t>
        </is>
      </c>
      <c r="G8" s="49" t="inlineStr">
        <is>
          <t>10.1007/978-3-032-21157-6_23</t>
        </is>
      </c>
      <c r="H8" s="49" t="inlineStr">
        <is>
          <t>https://doi.org/10.1007/978-3-032-21157-6_23</t>
        </is>
      </c>
      <c r="I8" s="49" t="inlineStr"/>
      <c r="J8" s="49" t="inlineStr">
        <is>
          <t>sensibilidad: ver nota de cribado</t>
        </is>
      </c>
      <c r="K8" s="60" t="inlineStr">
        <is>
          <t>Y</t>
        </is>
      </c>
      <c r="L8" s="60" t="inlineStr">
        <is>
          <t>https://link-springer-com.hull.idm.oclc.org/chapter/10.1007/978-3-032-21157-6_23</t>
        </is>
      </c>
      <c r="M8" s="60" t="inlineStr">
        <is>
          <t>Exclude</t>
        </is>
      </c>
      <c r="N8" s="60" t="inlineStr">
        <is>
          <t>No AI/ML component</t>
        </is>
      </c>
      <c r="O8" s="60" t="inlineStr">
        <is>
          <t>Texto completo OA (proxy Hull). Marco conceptual de gemelo de cuatro capas (ISO 23247) para LCA dinámico de la cadena; 'machine learning' aparece solo en el resumen como capacidad genérica del gemelo; el cuerpo no especifica ningún método de IA (analítica = LCI/LCIA, simulación, 'optimización de recursos' sin método). Sin implementación (validación = trabajo futuro). Excluir: sin componente IA/ML. [citas verificadas: 6 ok, 0 no encontradas]</t>
        </is>
      </c>
      <c r="P8" s="60" t="inlineStr">
        <is>
          <t>2026-09-06</t>
        </is>
      </c>
      <c r="Q8" s="16" t="inlineStr">
        <is>
          <t>Confirmado 2026-09-06 por Rodrigo (vibo)</t>
        </is>
      </c>
    </row>
    <row r="9">
      <c r="A9" s="49" t="inlineStr">
        <is>
          <t>R0013</t>
        </is>
      </c>
      <c r="B9" s="49" t="inlineStr">
        <is>
          <t>Padovano A.; Sammarco C.; Tripudio E.; Morinaga E.</t>
        </is>
      </c>
      <c r="C9" s="49" t="n">
        <v>2026</v>
      </c>
      <c r="D9" s="49" t="inlineStr">
        <is>
          <t>A surrogate-based explainability framework with semantic abstraction for human-centred supply chain intelligence</t>
        </is>
      </c>
      <c r="E9" s="49" t="inlineStr">
        <is>
          <t>Supply Chain Analytics</t>
        </is>
      </c>
      <c r="F9" s="49" t="inlineStr">
        <is>
          <t>Article</t>
        </is>
      </c>
      <c r="G9" s="49" t="inlineStr">
        <is>
          <t>10.1016/j.sca.2026.100221</t>
        </is>
      </c>
      <c r="H9" s="49" t="inlineStr">
        <is>
          <t>https://doi.org/10.1016/j.sca.2026.100221</t>
        </is>
      </c>
      <c r="I9" s="49" t="inlineStr"/>
      <c r="J9" s="49" t="inlineStr">
        <is>
          <t>sensibilidad: ver nota de cribado</t>
        </is>
      </c>
      <c r="K9" s="60" t="inlineStr">
        <is>
          <t>Y</t>
        </is>
      </c>
      <c r="L9" s="60" t="inlineStr">
        <is>
          <t>https://www.sciencedirect.com/science/article/pii/S2949863526000300?via%3Dihub</t>
        </is>
      </c>
      <c r="M9" s="60" t="inlineStr">
        <is>
          <t>Exclude</t>
        </is>
      </c>
      <c r="N9" s="60" t="inlineStr">
        <is>
          <t>No digital twin / digital model</t>
        </is>
      </c>
      <c r="O9" s="60" t="inlineStr">
        <is>
          <t>Excluir: el gemelo digital es solo contexto y despliegue prospectivo (Abstract, 1, 5.1–5.2); no se implementa, simula ni diseña con componentes/flujos. Lo construido: MILP RAS, surrogates ML (RF, Extra Trees) y SHAP sobre 7.500 instancias sintéticas de cadena cerealera. Cumple criterios 2 y 3. Duda: si Rodrigo acepta el mapeo de 5.2 como diseño, sería nivel 4, HITL mantenido (interpretar/anular). [citas verificadas: 6 ok, 0 no encontradas]</t>
        </is>
      </c>
      <c r="P9" s="60" t="inlineStr">
        <is>
          <t>2026-09-06</t>
        </is>
      </c>
      <c r="Q9" s="16" t="inlineStr">
        <is>
          <t>Confirmado 2026-09-06 por Rodrigo (vibo)</t>
        </is>
      </c>
    </row>
    <row r="10">
      <c r="A10" s="49" t="inlineStr">
        <is>
          <t>R0018</t>
        </is>
      </c>
      <c r="B10" s="49" t="inlineStr">
        <is>
          <t>Jin B.; Zhang Y.; Qiu W.; Quan H.</t>
        </is>
      </c>
      <c r="C10" s="49" t="n">
        <v>2026</v>
      </c>
      <c r="D10" s="49" t="inlineStr">
        <is>
          <t>Digital Twin-Enabled Simulation of Tobacco Logistics Distribution Networks</t>
        </is>
      </c>
      <c r="E10" s="49" t="inlineStr">
        <is>
          <t>2026 Innovations in Machine, Engineering, and Digital Conference, IMED 2026</t>
        </is>
      </c>
      <c r="F10" s="49" t="inlineStr">
        <is>
          <t>Conference paper</t>
        </is>
      </c>
      <c r="G10" s="49" t="inlineStr">
        <is>
          <t>10.1109/imed68921.2026.11484180</t>
        </is>
      </c>
      <c r="H10" s="49" t="inlineStr">
        <is>
          <t>https://doi.org/10.1109/imed68921.2026.11484180</t>
        </is>
      </c>
      <c r="I10" s="49" t="inlineStr"/>
      <c r="J10" s="49" t="inlineStr"/>
      <c r="K10" s="60" t="inlineStr">
        <is>
          <t>N</t>
        </is>
      </c>
      <c r="L10" s="60" t="inlineStr">
        <is>
          <t>https://doi.org/10.1109/imed68921.2026.11484180</t>
        </is>
      </c>
      <c r="M10" s="60" t="n"/>
      <c r="N10" s="60" t="n"/>
      <c r="O10"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10" s="60" t="inlineStr">
        <is>
          <t>2026-09-06</t>
        </is>
      </c>
      <c r="Q10" s="16" t="inlineStr">
        <is>
          <t>Confirmado 2026-09-06 por Rodrigo (vibo)</t>
        </is>
      </c>
    </row>
    <row r="11">
      <c r="A11" s="49" t="inlineStr">
        <is>
          <t>R0024</t>
        </is>
      </c>
      <c r="B11" s="49" t="inlineStr">
        <is>
          <t>Menachof D.A.; Sayeed S.A.</t>
        </is>
      </c>
      <c r="C11" s="49" t="n">
        <v>2026</v>
      </c>
      <c r="D11" s="49" t="inlineStr">
        <is>
          <t>Artificial intelligence-enabled digital twins for sustainable and carbon-neutral smart port operations</t>
        </is>
      </c>
      <c r="E11" s="49" t="inlineStr">
        <is>
          <t>WMU Journal of Maritime Affairs</t>
        </is>
      </c>
      <c r="F11" s="49" t="inlineStr">
        <is>
          <t>Article</t>
        </is>
      </c>
      <c r="G11" s="49" t="inlineStr">
        <is>
          <t>10.1007/s13437-026-00428-6</t>
        </is>
      </c>
      <c r="H11" s="49" t="inlineStr">
        <is>
          <t>https://doi.org/10.1007/s13437-026-00428-6</t>
        </is>
      </c>
      <c r="I11" s="49" t="inlineStr"/>
      <c r="J11" s="49" t="inlineStr">
        <is>
          <t>sensibilidad: ver nota de cribado</t>
        </is>
      </c>
      <c r="K11" s="60" t="inlineStr">
        <is>
          <t>Y</t>
        </is>
      </c>
      <c r="L11" s="60" t="inlineStr">
        <is>
          <t>https://link-springer-com.hull.idm.oclc.org/article/10.1007/s13437-026-00428-6</t>
        </is>
      </c>
      <c r="M11" s="60" t="inlineStr">
        <is>
          <t>Exclude</t>
        </is>
      </c>
      <c r="N11" s="60" t="inlineStr">
        <is>
          <t>Other (note reason)</t>
        </is>
      </c>
      <c r="O11" s="60" t="inlineStr">
        <is>
          <t>Texto completo vía proxy Hull (10 secciones y 7 tablas). Revisión narrativa/síntesis conceptual sin método propio: no implementa ni diseña un gemelo (Fig. 1 es solo esquema conceptual) y los métodos IA (LSTM, RF, RL) se reportan de Samaei y Ghafari 2025. Excluir: Other = review. Contiene ideas HITL de segunda mano (Industria 5.0, bucle Percepción–Decisión–Ejecución, 'augmentation'). [citas verificadas: 6 ok, 0 no encontradas]</t>
        </is>
      </c>
      <c r="P11" s="60" t="inlineStr">
        <is>
          <t>2026-09-06</t>
        </is>
      </c>
      <c r="Q11" s="16" t="inlineStr">
        <is>
          <t>Confirmado 2026-09-06 por Rodrigo (vibo)</t>
        </is>
      </c>
    </row>
    <row r="12">
      <c r="A12" s="49" t="inlineStr">
        <is>
          <t>R0025</t>
        </is>
      </c>
      <c r="B12" s="49" t="inlineStr">
        <is>
          <t>Schwede C.; Schipper L.; Cirullies J.</t>
        </is>
      </c>
      <c r="C12" s="49" t="n">
        <v>2026</v>
      </c>
      <c r="D12" s="49" t="inlineStr">
        <is>
          <t>Enabling Non-Simulation Experts to Adapt Digital Twins during Production System Redesign using Agentic AI</t>
        </is>
      </c>
      <c r="E12" s="49" t="inlineStr">
        <is>
          <t>ICCMB 2026 - Proceedings of 2026 the 9th International Conference on Computers in Management and Business</t>
        </is>
      </c>
      <c r="F12" s="49" t="inlineStr">
        <is>
          <t>Conference paper</t>
        </is>
      </c>
      <c r="G12" s="49" t="inlineStr">
        <is>
          <t>10.1145/3802463.3802479</t>
        </is>
      </c>
      <c r="H12" s="49" t="inlineStr">
        <is>
          <t>https://doi.org/10.1145/3802463.3802479</t>
        </is>
      </c>
      <c r="I12" s="49" t="inlineStr">
        <is>
          <t>Make</t>
        </is>
      </c>
      <c r="J12" s="49" t="inlineStr"/>
      <c r="K12" s="60" t="inlineStr">
        <is>
          <t>Y</t>
        </is>
      </c>
      <c r="L12" s="60" t="inlineStr">
        <is>
          <t>https://dl-acm-org.hull.idm.oclc.org/doi/10.1145/3802463.3802479 (Hull proxy; direct dl.acm.org showed a Cloudflare 'Verify you are human' check that was not solved; article is Open Access CC BY-NC-ND, full HTML read; ICCMB '26 pp. 102-106)</t>
        </is>
      </c>
      <c r="M12" s="60" t="inlineStr">
        <is>
          <t>Include</t>
        </is>
      </c>
      <c r="N12" s="60" t="n"/>
      <c r="O12" s="60" t="inlineStr">
        <is>
          <t>Incluido: SBDT de flujo de materiales (OFacT, autogenerado de event logs; IoT-Factory de laboratorio) adaptado por IA agéntica (5 agentes Smolagents, ReAct, RAG, Qwen3-32B) vía lenguaje natural del planificador no experto, que redacta prompts y valida resultados. Dudas: caso de producción con encuadre SC/logístico del paper; evidence_type (¿Simulation/synthetic?); nivel 1 (IA en capa de modelado) vs 4; Elevated vs Reduced. [citas verificadas: 6 ok, 0 no encontradas]</t>
        </is>
      </c>
      <c r="P12" s="60" t="inlineStr">
        <is>
          <t>2026-09-06</t>
        </is>
      </c>
      <c r="Q12" s="16" t="inlineStr">
        <is>
          <t>Confirmado 2026-09-06 por Rodrigo (vibo)</t>
        </is>
      </c>
    </row>
    <row r="13">
      <c r="A13" s="49" t="inlineStr">
        <is>
          <t>R0026</t>
        </is>
      </c>
      <c r="B13" s="49" t="inlineStr">
        <is>
          <t>Turgut A.</t>
        </is>
      </c>
      <c r="C13" s="49" t="n">
        <v>2026</v>
      </c>
      <c r="D13" s="49" t="inlineStr">
        <is>
          <t>Regulating uncertainty in global supply chains: a cybernetic Digital Twin framework for variety attenuation</t>
        </is>
      </c>
      <c r="E13" s="49" t="inlineStr">
        <is>
          <t>Kybernetes</t>
        </is>
      </c>
      <c r="F13" s="49" t="inlineStr">
        <is>
          <t>Article</t>
        </is>
      </c>
      <c r="G13" s="49" t="inlineStr">
        <is>
          <t>10.1108/k-01-2026-0185</t>
        </is>
      </c>
      <c r="H13" s="49" t="inlineStr">
        <is>
          <t>https://doi.org/10.1108/k-01-2026-0185</t>
        </is>
      </c>
      <c r="I13" s="49" t="inlineStr"/>
      <c r="J13" s="49" t="inlineStr"/>
      <c r="K13" s="60" t="inlineStr">
        <is>
          <t>N</t>
        </is>
      </c>
      <c r="L13" s="60" t="inlineStr">
        <is>
          <t>https://www-emerald-com.hull.idm.oclc.org/k/article-abstract/doi/10.1108/K-01-2026-0185/1390291/Regulating-uncertainty-in-global-supply-chains-a?redirectedFrom=fulltext</t>
        </is>
      </c>
      <c r="M13" s="60" t="n"/>
      <c r="N13" s="60" t="n"/>
      <c r="O13" s="60" t="inlineStr">
        <is>
          <t>NO RECUPERADO. Emerald muestra solo el resumen: "You do not currently have access to this content." El reintento por el proxy Hull (www-emerald-com.hull.idm.oclc.org) devuelve la misma pagina article-abstract sin acceso. OpenAlex: is_oa=false, oa_status="closed", sin oa_url ni PDF. Semantic Scholar dio 429. No se codifica desde el resumen; hace falta el PDF.</t>
        </is>
      </c>
      <c r="P13" s="60" t="inlineStr">
        <is>
          <t>2026-09-06</t>
        </is>
      </c>
      <c r="Q13" s="16" t="inlineStr">
        <is>
          <t>Confirmado 2026-09-06 por Rodrigo (vibo)</t>
        </is>
      </c>
    </row>
    <row r="14">
      <c r="A14" s="49" t="inlineStr">
        <is>
          <t>R0029</t>
        </is>
      </c>
      <c r="B14" s="49" t="inlineStr">
        <is>
          <t>Kheckert E.V.</t>
        </is>
      </c>
      <c r="C14" s="49" t="n">
        <v>2026</v>
      </c>
      <c r="D14" s="49" t="inlineStr">
        <is>
          <t>Digital Twin Model of Smart Transportation and Maritime Systems for Resource Efficiency and Operational Optimization</t>
        </is>
      </c>
      <c r="E14" s="49" t="inlineStr">
        <is>
          <t>2026 International Conference on Artificial Intelligence for Sustainable Engineering and Innovation, AISEI 2026</t>
        </is>
      </c>
      <c r="F14" s="49" t="inlineStr">
        <is>
          <t>Conference paper</t>
        </is>
      </c>
      <c r="G14" s="49" t="inlineStr">
        <is>
          <t>10.1109/aisei68628.2026.11572832</t>
        </is>
      </c>
      <c r="H14" s="49" t="inlineStr">
        <is>
          <t>https://doi.org/10.1109/aisei68628.2026.11572832</t>
        </is>
      </c>
      <c r="I14" s="49" t="inlineStr"/>
      <c r="J14" s="49" t="inlineStr"/>
      <c r="K14" s="60" t="inlineStr">
        <is>
          <t>N</t>
        </is>
      </c>
      <c r="L14" s="60" t="inlineStr">
        <is>
          <t>https://doi.org/10.1109/aisei68628.2026.11572832</t>
        </is>
      </c>
      <c r="M14" s="60" t="n"/>
      <c r="N14" s="60" t="n"/>
      <c r="O14"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14" s="60" t="inlineStr">
        <is>
          <t>2026-09-06</t>
        </is>
      </c>
      <c r="Q14" s="16" t="inlineStr">
        <is>
          <t>Confirmado 2026-09-06 por Rodrigo (vibo)</t>
        </is>
      </c>
    </row>
    <row r="15">
      <c r="A15" s="49" t="inlineStr">
        <is>
          <t>R0037</t>
        </is>
      </c>
      <c r="B15" s="49" t="inlineStr">
        <is>
          <t>Leong W.Y.</t>
        </is>
      </c>
      <c r="C15" s="49" t="n">
        <v>2026</v>
      </c>
      <c r="D15" s="49" t="inlineStr">
        <is>
          <t>Climate-Disruption Early Warning for Malaysian Supply Chains Using Multimodal Data</t>
        </is>
      </c>
      <c r="E15" s="49" t="inlineStr">
        <is>
          <t>ICCMB 2026 - Proceedings of 2026 the 9th International Conference on Computers in Management and Business</t>
        </is>
      </c>
      <c r="F15" s="49" t="inlineStr">
        <is>
          <t>Conference paper</t>
        </is>
      </c>
      <c r="G15" s="49" t="inlineStr">
        <is>
          <t>10.1145/3802463.3802485</t>
        </is>
      </c>
      <c r="H15" s="49" t="inlineStr">
        <is>
          <t>https://doi.org/10.1145/3802463.3802485</t>
        </is>
      </c>
      <c r="I15" s="49" t="inlineStr"/>
      <c r="J15" s="49" t="inlineStr"/>
      <c r="K15" s="60" t="inlineStr">
        <is>
          <t>Y</t>
        </is>
      </c>
      <c r="L15" s="60" t="inlineStr">
        <is>
          <t>https://dl-acm-org.hull.idm.oclc.org/doi/10.1145/3802463.3802485</t>
        </is>
      </c>
      <c r="M15" s="60" t="inlineStr">
        <is>
          <t>Include</t>
        </is>
      </c>
      <c r="N15" s="60" t="n"/>
      <c r="O15" s="60" t="inlineStr">
        <is>
          <t>Incluir: gemelo digital de la cadena (puertos, almacenes, fábricas, proveedores) diseñado en cinco capas y evaluado solo por simulación de escenarios; RNN y modelos de grafos pronostican riesgo; humanos seleccionan estrategias (nivel 4; alternativa 3). Dudas: simulación sin detalle ni datos reales (Tabla 2 parece ilustrativa), autor único, venue ACM ICPS; HITL breve; Make marginal. [citas verificadas: 6 ok, 0 no encontradas]</t>
        </is>
      </c>
      <c r="P15" s="60" t="inlineStr">
        <is>
          <t>2026-09-06</t>
        </is>
      </c>
      <c r="Q15" s="16" t="inlineStr">
        <is>
          <t>Confirmado 2026-09-06 por Rodrigo (vibo)</t>
        </is>
      </c>
    </row>
    <row r="16">
      <c r="A16" s="49" t="inlineStr">
        <is>
          <t>R0044</t>
        </is>
      </c>
      <c r="B16" s="49" t="inlineStr">
        <is>
          <t>Elmay F.; Kadadha M.; Singh S.; Mizouni R.; Otrok H.; Mourad A.</t>
        </is>
      </c>
      <c r="C16" s="49" t="n">
        <v>2026</v>
      </c>
      <c r="D16" s="49" t="inlineStr">
        <is>
          <t>Digital-twins and machine learning-assisted stable, energy-aware unmanned aerial and ground vehicles delivery in blockchain-enabled crowdsourcing framework</t>
        </is>
      </c>
      <c r="E16" s="49" t="inlineStr">
        <is>
          <t>Future Generation Computer Systems</t>
        </is>
      </c>
      <c r="F16" s="49" t="inlineStr">
        <is>
          <t>Article</t>
        </is>
      </c>
      <c r="G16" s="49" t="inlineStr">
        <is>
          <t>10.1016/j.future.2025.108004</t>
        </is>
      </c>
      <c r="H16" s="49" t="inlineStr">
        <is>
          <t>https://doi.org/10.1016/j.future.2025.108004</t>
        </is>
      </c>
      <c r="I16" s="49" t="inlineStr"/>
      <c r="J16" s="49" t="inlineStr"/>
      <c r="K16" s="60" t="inlineStr">
        <is>
          <t>Y</t>
        </is>
      </c>
      <c r="L16" s="60" t="inlineStr">
        <is>
          <t>https://www-sciencedirect-com.hull.idm.oclc.org/science/article/pii/S0167739X25002997</t>
        </is>
      </c>
      <c r="M16" s="60" t="inlineStr">
        <is>
          <t>Include</t>
        </is>
      </c>
      <c r="N16" s="60" t="n"/>
      <c r="O16" s="60" t="inlineStr">
        <is>
          <t>Incluido: gemelo digital de paquete (modelo Arrhenius) implementado y evaluado en entrega de última milla; Random Forest para energía UAV y éxito de entrega alimenta una asignación Gale-Shapley automatizada en blockchain. Dudas: nivel 5 vs 4 (operadores solo actúan ante alertas del gemelo); hitl_role 'Reduced' vs 'Not discussed' (no explícito); evidencia por simulación con datasets reales. [citas verificadas: 6 ok, 0 no encontradas]</t>
        </is>
      </c>
      <c r="P16" s="60" t="inlineStr">
        <is>
          <t>2026-09-06</t>
        </is>
      </c>
      <c r="Q16" s="16" t="inlineStr">
        <is>
          <t>Confirmado 2026-09-06 por Rodrigo (vibo)</t>
        </is>
      </c>
    </row>
    <row r="17">
      <c r="A17" s="49" t="inlineStr">
        <is>
          <t>R0045</t>
        </is>
      </c>
      <c r="B17" s="49" t="inlineStr">
        <is>
          <t>Saidi C.; Hamani N.; Benaissa M.; Rolf B.; Reggelin T.; Lang S.</t>
        </is>
      </c>
      <c r="C17" s="49" t="n">
        <v>2026</v>
      </c>
      <c r="D17" s="49" t="inlineStr">
        <is>
          <t>Towards Intelligent Supply Chain Reconfiguration: A Framework Integrating Dynamic Knowledge Graph and AI-Driven Optimization</t>
        </is>
      </c>
      <c r="E17" s="49" t="inlineStr">
        <is>
          <t>Lecture Notes in Mechanical Engineering</t>
        </is>
      </c>
      <c r="F17" s="49" t="inlineStr">
        <is>
          <t>Conference paper</t>
        </is>
      </c>
      <c r="G17" s="49" t="inlineStr">
        <is>
          <t>10.1007/978-3-032-16889-4_39</t>
        </is>
      </c>
      <c r="H17" s="49" t="inlineStr">
        <is>
          <t>https://doi.org/10.1007/978-3-032-16889-4_39</t>
        </is>
      </c>
      <c r="I17" s="49" t="inlineStr"/>
      <c r="J17" s="49" t="inlineStr">
        <is>
          <t>sensibilidad: ver nota de cribado</t>
        </is>
      </c>
      <c r="K17" s="60" t="inlineStr">
        <is>
          <t>Y</t>
        </is>
      </c>
      <c r="L17" s="60" t="inlineStr">
        <is>
          <t>https://link-springer-com.hull.idm.oclc.org/chapter/10.1007/978-3-032-16889-4_39 (Hull proxy; open access chapter CC BY 4.0, full HTML text; Lecture Notes in Mechanical Engineering, CARV 2025 proceedings, published 26 May 2026)</t>
        </is>
      </c>
      <c r="M17" s="60" t="inlineStr">
        <is>
          <t>Include</t>
        </is>
      </c>
      <c r="N17" s="60" t="n"/>
      <c r="O17" s="60" t="inlineStr">
        <is>
          <t>Incluido como Conceptual: el objeto es el marco (Sección 2 es 'Background' narrativo, sin método de revisión). DT e IA solo diseñados conceptualmente: IA por familias (metaheurísticas, predicción/completado del KG), sin algoritmo nombrado ni implementación. HITL implícito (actores evalúan escenarios; IA 'sugiere'). SCOR inferido del alcance de red. Duda: si se exige método nombrado, excluir por 'No AI/ML component'. [citas verificadas: 6 ok, 0 no encontradas]</t>
        </is>
      </c>
      <c r="P17" s="60" t="inlineStr">
        <is>
          <t>2026-09-06</t>
        </is>
      </c>
      <c r="Q17" s="16" t="inlineStr">
        <is>
          <t>Confirmado 2026-09-06 por Rodrigo (vibo)</t>
        </is>
      </c>
    </row>
    <row r="18">
      <c r="A18" s="49" t="inlineStr">
        <is>
          <t>R0048</t>
        </is>
      </c>
      <c r="B18" s="49" t="inlineStr">
        <is>
          <t>Vukšić M.; Ćelić J.; Bronzin T.; Prole B.; Adameć D.; Stipić A.; Katovic D.</t>
        </is>
      </c>
      <c r="C18" s="49" t="n">
        <v>2026</v>
      </c>
      <c r="D18" s="49" t="inlineStr">
        <is>
          <t>Hybrid Digital Twin and Deep Learning Framework for Monitoring Maritime Refrigerated Containers</t>
        </is>
      </c>
      <c r="E18" s="49" t="inlineStr">
        <is>
          <t>2026 49th MIPRO ICT and Electronics Convention, MIPRO 2026 - Proceedings</t>
        </is>
      </c>
      <c r="F18" s="49" t="inlineStr">
        <is>
          <t>Conference paper</t>
        </is>
      </c>
      <c r="G18" s="49" t="inlineStr">
        <is>
          <t>10.1109/mipro70003.2026.11591932</t>
        </is>
      </c>
      <c r="H18" s="49" t="inlineStr">
        <is>
          <t>https://doi.org/10.1109/mipro70003.2026.11591932</t>
        </is>
      </c>
      <c r="I18" s="49" t="inlineStr"/>
      <c r="J18" s="49" t="inlineStr"/>
      <c r="K18" s="60" t="inlineStr">
        <is>
          <t>N</t>
        </is>
      </c>
      <c r="L18" s="60" t="inlineStr">
        <is>
          <t>https://doi.org/10.1109/mipro70003.2026.11591932</t>
        </is>
      </c>
      <c r="M18" s="60" t="n"/>
      <c r="N18" s="60" t="n"/>
      <c r="O18"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c r="P18" s="60" t="inlineStr">
        <is>
          <t>2026-09-06</t>
        </is>
      </c>
      <c r="Q18" s="16" t="inlineStr">
        <is>
          <t>Confirmado 2026-09-06 por Rodrigo (vibo)</t>
        </is>
      </c>
    </row>
    <row r="19">
      <c r="A19" s="49" t="inlineStr">
        <is>
          <t>R0050</t>
        </is>
      </c>
      <c r="B19" s="49" t="inlineStr">
        <is>
          <t>Zhetessova G.S.; Zharkevich O.M.; Kozhanov M.G.; Khrustaleva I.N.; Buzauova T.M.</t>
        </is>
      </c>
      <c r="C19" s="49" t="n">
        <v>2026</v>
      </c>
      <c r="D19" s="49" t="inlineStr">
        <is>
          <t>A Methodology for Optimizing Material Flows in Mechanical Engineering Enterprises Based on Big Data Technologies</t>
        </is>
      </c>
      <c r="E19" s="49" t="inlineStr">
        <is>
          <t>Material and Mechanical Engineering Technology</t>
        </is>
      </c>
      <c r="F19" s="49" t="inlineStr">
        <is>
          <t>Article</t>
        </is>
      </c>
      <c r="G19" s="49" t="inlineStr">
        <is>
          <t>10.52209/2706-977x_2026_2_25</t>
        </is>
      </c>
      <c r="H19" s="49" t="inlineStr">
        <is>
          <t>https://doi.org/10.52209/2706-977x_2026_2_25</t>
        </is>
      </c>
      <c r="I19" s="49" t="inlineStr">
        <is>
          <t>Make</t>
        </is>
      </c>
      <c r="J19" s="49" t="inlineStr"/>
      <c r="K19" s="60" t="inlineStr">
        <is>
          <t>Y</t>
        </is>
      </c>
      <c r="L19" s="60" t="inlineStr">
        <is>
          <t>https://mmet.kstu.kz/download/articles/01072026094921_digest.pdf</t>
        </is>
      </c>
      <c r="M19" s="60" t="inlineStr">
        <is>
          <t>Exclude</t>
        </is>
      </c>
      <c r="N19" s="60" t="inlineStr">
        <is>
          <t>No AI/ML component</t>
        </is>
      </c>
      <c r="O19" s="60" t="inlineStr">
        <is>
          <t>Excluido: el 'modelo digital' es un modelo paramétrico (fórmulas 1-6, grafo) calculado para una brida de ejemplo; el gemelo es trabajo futuro. El ML nunca se nombra ni especifica: solo 'model.predict' en código de graficado, sin algoritmo, datos ni métricas; el mapa de carga usa datos de ejemplo. Duda: cabría 'No digital twin'. Texto: PDF del número, pp. 25-34. [citas verificadas: 6 ok, 0 no encontradas]</t>
        </is>
      </c>
      <c r="P19" s="60" t="inlineStr">
        <is>
          <t>2026-09-06</t>
        </is>
      </c>
      <c r="Q19" s="16" t="inlineStr">
        <is>
          <t>Confirmado 2026-09-06 por Rodrigo (vibo)</t>
        </is>
      </c>
    </row>
    <row r="20">
      <c r="A20" s="49" t="inlineStr">
        <is>
          <t>R0051</t>
        </is>
      </c>
      <c r="B20" s="49" t="inlineStr">
        <is>
          <t>Sayeed N.; Saha U.S.; Karim F.; Mustafizur Md.; Uddin S.M.M.; Chy M.A.R.</t>
        </is>
      </c>
      <c r="C20" s="49" t="n">
        <v>2026</v>
      </c>
      <c r="D20" s="49" t="inlineStr">
        <is>
          <t>Artificial Intelligence Models for End-to-End Supply Chain Optimization</t>
        </is>
      </c>
      <c r="E20" s="49" t="inlineStr">
        <is>
          <t>2026 IEEE International Conference for Convergence in Computing Technology, I3CTCON 2026</t>
        </is>
      </c>
      <c r="F20" s="49" t="inlineStr">
        <is>
          <t>Conference paper</t>
        </is>
      </c>
      <c r="G20" s="49" t="inlineStr">
        <is>
          <t>10.1109/i3ctcon68242.2026.11507407</t>
        </is>
      </c>
      <c r="H20" s="49" t="inlineStr">
        <is>
          <t>https://doi.org/10.1109/i3ctcon68242.2026.11507407</t>
        </is>
      </c>
      <c r="I20" s="49" t="inlineStr"/>
      <c r="J20" s="49" t="inlineStr">
        <is>
          <t>sensibilidad: ver nota de cribado</t>
        </is>
      </c>
      <c r="K20" s="60" t="inlineStr">
        <is>
          <t>N</t>
        </is>
      </c>
      <c r="L20" s="60" t="inlineStr">
        <is>
          <t>https://doi.org/10.1109/i3ctcon68242.2026.11507407</t>
        </is>
      </c>
      <c r="M20" s="60" t="n"/>
      <c r="N20" s="60" t="n"/>
      <c r="O20"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20" s="60" t="inlineStr">
        <is>
          <t>2026-09-06</t>
        </is>
      </c>
      <c r="Q20" s="16" t="inlineStr">
        <is>
          <t>Confirmado 2026-09-06 por Rodrigo (vibo)</t>
        </is>
      </c>
    </row>
    <row r="21">
      <c r="A21" s="49" t="inlineStr">
        <is>
          <t>R0054</t>
        </is>
      </c>
      <c r="B21" s="49" t="inlineStr">
        <is>
          <t>Iqbal T.</t>
        </is>
      </c>
      <c r="C21" s="49" t="n">
        <v>2026</v>
      </c>
      <c r="D21" s="49" t="inlineStr">
        <is>
          <t>MACHINE LEARNING–DRIVEN SMART SHARING PLATFORMS FOR OPTIMIZING LAST-MILE DELIVERY IN SAUDI ARABIA’S E-COMMERCE SECTOR</t>
        </is>
      </c>
      <c r="E21" s="49" t="inlineStr">
        <is>
          <t>Logforum</t>
        </is>
      </c>
      <c r="F21" s="49" t="inlineStr">
        <is>
          <t>Article</t>
        </is>
      </c>
      <c r="G21" s="49" t="inlineStr">
        <is>
          <t>10.17270/j.log.001371</t>
        </is>
      </c>
      <c r="H21" s="49" t="inlineStr">
        <is>
          <t>https://doi.org/10.17270/j.log.001371</t>
        </is>
      </c>
      <c r="I21" s="49" t="inlineStr"/>
      <c r="J21" s="49" t="inlineStr"/>
      <c r="K21" s="60" t="inlineStr">
        <is>
          <t>Y</t>
        </is>
      </c>
      <c r="L21" s="60" t="inlineStr">
        <is>
          <t>https://www.logforum.net/pdf/22_2_2_26.pdf (resolved from https://doi.org/10.17270/j.log.001371 -&gt; landing page https://www.logforum.net/volume22/issue2/abstract-2.html, which offers only the PDF; LogForum open access, no paywall; Chrome PDF mode wit</t>
        </is>
      </c>
      <c r="M21" s="60" t="inlineStr">
        <is>
          <t>Include</t>
        </is>
      </c>
      <c r="N21" s="60" t="n"/>
      <c r="O21" s="60" t="inlineStr">
        <is>
          <t>Incluido: el autor llama 'digital twin' (Level-1) a una simulación SimPy que sólo valida/estresa políticas ML+OR, sin datos en tiempo real y con clientes sintéticos: ¿basta la autodenominación? IA = gradient boosting predictivo; lo prescriptivo es OR (nivel 3 en lectura estricta). Humano sólo receptor de 'insights' (cabría 'Maintained'); despacho autónomo por RL es trabajo futuro. Inconsistencias (dataset, Tabla 5). [citas verificadas: 6 ok, 0 no encontradas]</t>
        </is>
      </c>
      <c r="P21" s="60" t="inlineStr">
        <is>
          <t>2026-09-06</t>
        </is>
      </c>
      <c r="Q21" s="16" t="inlineStr">
        <is>
          <t>Confirmado 2026-09-06 por Rodrigo (vibo)</t>
        </is>
      </c>
    </row>
    <row r="22">
      <c r="A22" s="49" t="inlineStr">
        <is>
          <t>R0057</t>
        </is>
      </c>
      <c r="B22" s="49" t="inlineStr">
        <is>
          <t>Sahu D.P.; Rathore B.; Iqbal R.S.; Jiang W.; Prakash S.; Singh V.K.</t>
        </is>
      </c>
      <c r="C22" s="49" t="n">
        <v>2026</v>
      </c>
      <c r="D22" s="49" t="inlineStr">
        <is>
          <t>A Hybrid Genetic Algorithm and Multi-Agent Reinforcement Learning Framework for Optimized Supply Chain Management Using Edge-Enabled Digital Twins</t>
        </is>
      </c>
      <c r="E22" s="49" t="inlineStr">
        <is>
          <t>IEEE Open Journal of the Communications Society</t>
        </is>
      </c>
      <c r="F22" s="49" t="inlineStr">
        <is>
          <t>Article</t>
        </is>
      </c>
      <c r="G22" s="49" t="inlineStr">
        <is>
          <t>10.1109/ojcoms.2026.3714979</t>
        </is>
      </c>
      <c r="H22" s="49" t="inlineStr">
        <is>
          <t>https://doi.org/10.1109/ojcoms.2026.3714979</t>
        </is>
      </c>
      <c r="I22" s="49" t="inlineStr"/>
      <c r="J22" s="49" t="inlineStr"/>
      <c r="K22" s="60" t="inlineStr">
        <is>
          <t>Y</t>
        </is>
      </c>
      <c r="L22" s="60" t="inlineStr">
        <is>
          <t>https://ieeexplore.ieee.org/document/11614525 (reached via https://doi.org/10.1109/ojcoms.2026.3714979; IEEE Xplore HTML full text, open access CC BY, sections I-VII loaded; text saved to /root/work/fulltext/R0057.txt)</t>
        </is>
      </c>
      <c r="M22" s="60" t="inlineStr">
        <is>
          <t>Include</t>
        </is>
      </c>
      <c r="N22" s="60" t="n"/>
      <c r="O22" s="60" t="inlineStr">
        <is>
          <t>Incluido: EEDT (réplica virtual de almacenes, centros de distribución y minoristas con datos IoT en el borde) acoplado a GA + MARL Q-learning en lazo cerrado, simulado en Python con datos sintéticos y públicos (UCI). Dudas: el gemelo equivale al entorno de simulación; sin despliegue real; ningún humano mencionado; Source solo por 'supplier selection' y reorder; nivel 5 vs 4. [citas verificadas: 6 ok, 0 no encontradas]</t>
        </is>
      </c>
      <c r="P22" s="60" t="inlineStr">
        <is>
          <t>2026-09-06</t>
        </is>
      </c>
      <c r="Q22" s="16" t="inlineStr">
        <is>
          <t>Confirmado 2026-09-06 por Rodrigo (vibo)</t>
        </is>
      </c>
    </row>
    <row r="23">
      <c r="A23" s="49" t="inlineStr">
        <is>
          <t>R0064</t>
        </is>
      </c>
      <c r="B23" s="49" t="inlineStr">
        <is>
          <t>Yang L.</t>
        </is>
      </c>
      <c r="C23" s="49" t="n">
        <v>2026</v>
      </c>
      <c r="D23" s="49" t="inlineStr">
        <is>
          <t>Research on the application of digital twin technology in collaborative management of international trade supply chain</t>
        </is>
      </c>
      <c r="E23" s="49" t="inlineStr">
        <is>
          <t>Proceedings of SPIE - The International Society for Optical Engineering</t>
        </is>
      </c>
      <c r="F23" s="49" t="inlineStr">
        <is>
          <t>Conference paper</t>
        </is>
      </c>
      <c r="G23" s="49" t="inlineStr">
        <is>
          <t>10.1117/12.3107986</t>
        </is>
      </c>
      <c r="H23" s="49" t="inlineStr">
        <is>
          <t>https://doi.org/10.1117/12.3107986</t>
        </is>
      </c>
      <c r="I23" s="49" t="inlineStr"/>
      <c r="J23" s="49" t="inlineStr"/>
      <c r="K23" s="60" t="inlineStr">
        <is>
          <t>N</t>
        </is>
      </c>
      <c r="L23" s="60" t="inlineStr">
        <is>
          <t>https://www.spiedigitallibrary.org/conference-proceedings-of-spie/14161/3107986/Research-on-the-application-of-digital-twin-technology-in-collaborative/10.1117/12.3107986.full</t>
        </is>
      </c>
      <c r="M23" s="60" t="n"/>
      <c r="N23" s="60" t="n"/>
      <c r="O23" s="60" t="inlineStr">
        <is>
          <t>NO RECUPERADO. NO RECUPERADO: SPIE solo muestra el resumen ('Get Access', 'Access through your institution', 'Purchase with a subscription'). Proxy Hull redirige al host sin proxy (SPIE no configurado) y SPIE devolvió muro CAPTCHA, no resuelto. Semantic Scholar y OpenAlex: cerrado, sin PDF abierto. Descarga manual del PDF (Proc. SPIE 14161, 141611A). Resumen sugiere twin + GNN/RL; verificar rol humano.</t>
        </is>
      </c>
      <c r="P23" s="60" t="inlineStr">
        <is>
          <t>2026-09-06</t>
        </is>
      </c>
      <c r="Q23" s="16" t="inlineStr">
        <is>
          <t>Confirmado 2026-09-06 por Rodrigo (vibo)</t>
        </is>
      </c>
    </row>
    <row r="24">
      <c r="A24" s="49" t="inlineStr">
        <is>
          <t>R0066</t>
        </is>
      </c>
      <c r="B24" s="49" t="inlineStr">
        <is>
          <t>Pramanik M.T.; Reza S.A.; Kamal M.M.; Gomes S.S.; Faysal A.H.M.; Minto A.; Debnath P.; Hasan M.R.</t>
        </is>
      </c>
      <c r="C24" s="49" t="n">
        <v>2026</v>
      </c>
      <c r="D24" s="49" t="inlineStr">
        <is>
          <t>Modeling Resilient and Sustainable Supply Chain Networks with AI: A Comprehensive Approach to Designing Robust Supply Systems in the USA</t>
        </is>
      </c>
      <c r="E24" s="49" t="inlineStr">
        <is>
          <t>International Journal of Computer Information Systems and Industrial Management Applications</t>
        </is>
      </c>
      <c r="F24" s="49" t="inlineStr">
        <is>
          <t>Article</t>
        </is>
      </c>
      <c r="G24" s="49" t="inlineStr">
        <is>
          <t>10.70917/ijcisim-2026-2645</t>
        </is>
      </c>
      <c r="H24" s="49" t="inlineStr">
        <is>
          <t>https://doi.org/10.70917/ijcisim-2026-2645</t>
        </is>
      </c>
      <c r="I24" s="49" t="inlineStr"/>
      <c r="J24" s="49" t="inlineStr">
        <is>
          <t>sensibilidad: ver nota de cribado</t>
        </is>
      </c>
      <c r="K24" s="60" t="inlineStr">
        <is>
          <t>Y</t>
        </is>
      </c>
      <c r="L24" s="60" t="inlineStr">
        <is>
          <t>https://cspub-ijcisim.org/index.php/ijcisim/article/download/2645/2132?inline=1 (PDF, 14 pp., read with pdf.js in Chrome; landing page https://cspub-ijcisim.org/index.php/ijcisim/article/view/2645, published 2026-07-02, Vol. 18 No. 4s, pp. 1396-1409)</t>
        </is>
      </c>
      <c r="M24" s="60" t="inlineStr">
        <is>
          <t>Exclude</t>
        </is>
      </c>
      <c r="N24" s="60" t="inlineStr">
        <is>
          <t>No digital twin / digital model</t>
        </is>
      </c>
      <c r="O24" s="60" t="inlineStr">
        <is>
          <t>Excluir (criterio 1): autores declaran NO construir gemelo digital; simulador 'inspirado en DT' sobre red sintética (14,800 enlaces y 31 escenarios simulados, no despliegues). Cifras del resumen (87.3%, ROI 3.7x, NLP 18.3 días) ausentes del cuerpo. Alternativa: venue de baja calidad (DOI no registrado; prefijo de Cerebration Science Publishing, no MIR Labs; APC 1,500 USD; ~1,990 artículos fuera de alcance). [citas verificadas: 6 ok, 0 no encontradas]</t>
        </is>
      </c>
      <c r="P24" s="60" t="inlineStr">
        <is>
          <t>2026-09-06</t>
        </is>
      </c>
      <c r="Q24" s="16" t="inlineStr">
        <is>
          <t>Confirmado 2026-09-06 por Rodrigo (vibo)</t>
        </is>
      </c>
    </row>
    <row r="25">
      <c r="A25" s="49" t="inlineStr">
        <is>
          <t>R0068</t>
        </is>
      </c>
      <c r="B25" s="49" t="inlineStr">
        <is>
          <t>Sharma M.; Pundeer S.</t>
        </is>
      </c>
      <c r="C25" s="49" t="n">
        <v>2026</v>
      </c>
      <c r="D25" s="49" t="inlineStr">
        <is>
          <t>AI Driven Multi-Stage Modeling and Simulation Framework for Optimizing Healthcare Supply Chains</t>
        </is>
      </c>
      <c r="E25" s="49" t="inlineStr">
        <is>
          <t>Proceedings - 4th IEEE International Conference on Device Intelligence, Computing and Communication Technologies, DICCT 2026</t>
        </is>
      </c>
      <c r="F25" s="49" t="inlineStr">
        <is>
          <t>Conference paper</t>
        </is>
      </c>
      <c r="G25" s="49" t="inlineStr">
        <is>
          <t>10.1109/dicct69099.2026.11535970</t>
        </is>
      </c>
      <c r="H25" s="49" t="inlineStr">
        <is>
          <t>https://doi.org/10.1109/dicct69099.2026.11535970</t>
        </is>
      </c>
      <c r="I25" s="49" t="inlineStr"/>
      <c r="J25" s="49" t="inlineStr"/>
      <c r="K25" s="60" t="inlineStr">
        <is>
          <t>N</t>
        </is>
      </c>
      <c r="L25" s="60" t="inlineStr">
        <is>
          <t>https://doi.org/10.1109/dicct69099.2026.11535970</t>
        </is>
      </c>
      <c r="M25" s="60" t="n"/>
      <c r="N25" s="60" t="n"/>
      <c r="O25"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25" s="60" t="inlineStr">
        <is>
          <t>2026-09-06</t>
        </is>
      </c>
      <c r="Q25" s="16" t="inlineStr">
        <is>
          <t>Confirmado 2026-09-06 por Rodrigo (vibo)</t>
        </is>
      </c>
    </row>
    <row r="26">
      <c r="A26" s="49" t="inlineStr">
        <is>
          <t>R0076</t>
        </is>
      </c>
      <c r="B26" s="49" t="inlineStr">
        <is>
          <t>Fervorari M.; Gentilini L.; Marzano M.G.; Picone N.; Colledani M.; Marguglio A.; Rubattino C.; Rossi E.</t>
        </is>
      </c>
      <c r="C26" s="49" t="n">
        <v>2026</v>
      </c>
      <c r="D26" s="49" t="inlineStr">
        <is>
          <t>Convergence of AI, Data, and Robotics in Circular Manufacturing: The Circular TwAIn Platform for the Li-Ion Traction Batteries Value Chain</t>
        </is>
      </c>
      <c r="E26" s="49" t="inlineStr">
        <is>
          <t>Springer Proceedings in Mathematics and Statistics</t>
        </is>
      </c>
      <c r="F26" s="49" t="inlineStr">
        <is>
          <t>Conference paper</t>
        </is>
      </c>
      <c r="G26" s="49" t="inlineStr">
        <is>
          <t>10.1007/978-3-032-19167-0_15</t>
        </is>
      </c>
      <c r="H26" s="49" t="inlineStr">
        <is>
          <t>https://doi.org/10.1007/978-3-032-19167-0_15</t>
        </is>
      </c>
      <c r="I26" s="49" t="inlineStr"/>
      <c r="J26" s="49" t="inlineStr"/>
      <c r="K26" s="60" t="inlineStr">
        <is>
          <t>N</t>
        </is>
      </c>
      <c r="L26" s="60" t="inlineStr">
        <is>
          <t>https://link-springer-com.hull.idm.oclc.org/chapter/10.1007/978-3-032-19167-0_15</t>
        </is>
      </c>
      <c r="M26" s="60" t="n"/>
      <c r="N26" s="60" t="n"/>
      <c r="O26" s="60" t="inlineStr">
        <is>
          <t>NO RECUPERADO. NO RECUPERADO: vía proxy Hull (8 s) Springer sigue mostrando 'This is a preview of subscription content' (paquete Mathematics and Statistics sin suscripción). Semantic Scholar: DOI no encontrado, sin copia OA. Requiere PDF manual. Pendiente verificar el FLAG: el resumen solo menciona 'digital twin simulations' genéricamente; confirmar si hay un gemelo digital propio y método de IA.</t>
        </is>
      </c>
      <c r="P26" s="60" t="inlineStr">
        <is>
          <t>2026-09-06</t>
        </is>
      </c>
      <c r="Q26" s="16" t="inlineStr">
        <is>
          <t>Confirmado 2026-09-06 por Rodrigo (vibo)</t>
        </is>
      </c>
    </row>
    <row r="27">
      <c r="A27" s="49" t="inlineStr">
        <is>
          <t>R0077</t>
        </is>
      </c>
      <c r="B27" s="49" t="inlineStr">
        <is>
          <t>Dogančić B.; Rožić J.; Jokić M.; Čeredar M.</t>
        </is>
      </c>
      <c r="C27" s="49" t="n">
        <v>2026</v>
      </c>
      <c r="D27" s="49" t="inlineStr">
        <is>
          <t>Decentralised Manufacturing as a Networked Cyber–Physical System: Formalising Free and Open-Source Software Governance and ML Adaptation for Distributed Robustness</t>
        </is>
      </c>
      <c r="E27" s="49" t="inlineStr">
        <is>
          <t>Systems</t>
        </is>
      </c>
      <c r="F27" s="49" t="inlineStr">
        <is>
          <t>Article</t>
        </is>
      </c>
      <c r="G27" s="49" t="inlineStr">
        <is>
          <t>10.3390/systems14050469</t>
        </is>
      </c>
      <c r="H27" s="49" t="inlineStr">
        <is>
          <t>https://doi.org/10.3390/systems14050469</t>
        </is>
      </c>
      <c r="I27" s="49" t="inlineStr">
        <is>
          <t>Make</t>
        </is>
      </c>
      <c r="J27" s="49" t="inlineStr"/>
      <c r="K27" s="60" t="inlineStr">
        <is>
          <t>Y</t>
        </is>
      </c>
      <c r="L27" s="60" t="inlineStr">
        <is>
          <t>https://www.mdpi.com/2079-8954/14/5/469 (opened via https://doi.org/10.3390/systems14050469; MDPI open-access HTML, full text)</t>
        </is>
      </c>
      <c r="M27" s="60" t="inlineStr">
        <is>
          <t>Include</t>
        </is>
      </c>
      <c r="N27" s="60" t="n"/>
      <c r="O27" s="60" t="inlineStr">
        <is>
          <t>Propuesta de inclusión con dudas. Gemelo digital nodal (máquina) diseñado con componentes y flujos (Fig. 2, Ecs. 6–8); estimador GP/red neuronal y aprendizaje federado especificados, no implementados (marco analítico, sin simulación). Duda principal: el 'supply chain' es dependencia de proveedor (firmware, hardware, filamento), sin flujos de material ni inventario; verificar alcance logístico. HITL: admisión configurable manual↔autónoma; rol Reducido (alternativa: Reemplazado). [citas verificadas: 6 ok, 0 no encontradas]</t>
        </is>
      </c>
      <c r="P27" s="60" t="inlineStr">
        <is>
          <t>2026-09-06</t>
        </is>
      </c>
      <c r="Q27" s="16" t="inlineStr">
        <is>
          <t>Confirmado 2026-09-06 por Rodrigo (vibo)</t>
        </is>
      </c>
    </row>
    <row r="28">
      <c r="A28" s="49" t="inlineStr">
        <is>
          <t>R0078</t>
        </is>
      </c>
      <c r="B28" s="49" t="inlineStr">
        <is>
          <t>Zhang W.; Yu C.; Newman S.T.; Cheung Ho Kin D.; Zhong R.Y.</t>
        </is>
      </c>
      <c r="C28" s="49" t="n">
        <v>2026</v>
      </c>
      <c r="D28" s="49" t="inlineStr">
        <is>
          <t>A machine learning approach for forecasting resilient material delivery in the construction industry</t>
        </is>
      </c>
      <c r="E28" s="49" t="inlineStr">
        <is>
          <t>International Journal of Production Research</t>
        </is>
      </c>
      <c r="F28" s="49" t="inlineStr">
        <is>
          <t>Article</t>
        </is>
      </c>
      <c r="G28" s="49" t="inlineStr">
        <is>
          <t>10.1080/00207543.2025.2482733</t>
        </is>
      </c>
      <c r="H28" s="49" t="inlineStr">
        <is>
          <t>https://doi.org/10.1080/00207543.2025.2482733</t>
        </is>
      </c>
      <c r="I28" s="49" t="inlineStr"/>
      <c r="J28" s="49" t="inlineStr"/>
      <c r="K28" s="60" t="inlineStr">
        <is>
          <t>Y</t>
        </is>
      </c>
      <c r="L28" s="60" t="inlineStr">
        <is>
          <t>https://www-tandfonline-com.hull.idm.oclc.org/doi/full/10.1080/00207543.2025.2482733</t>
        </is>
      </c>
      <c r="M28" s="60" t="inlineStr">
        <is>
          <t>Include</t>
        </is>
      </c>
      <c r="N28" s="60" t="n"/>
      <c r="O28" s="60" t="inlineStr">
        <is>
          <t>Incluido: gemelo de cadena de suministro digital (Fig. 4: capa física, capa digital con Kanban, capa de IA) que integra el M3HMM para pronosticar retrasos de entrega en construcción (7 proyectos reales, Hong Kong). Duda: el gemelo es un marco descrito brevemente sin validación propia; los datos validan solo el modelo ML. HITL implícito: contratistas deciden ante alertas. [citas verificadas: 6 ok, 0 no encontradas]</t>
        </is>
      </c>
      <c r="P28" s="60" t="inlineStr">
        <is>
          <t>2026-09-06</t>
        </is>
      </c>
      <c r="Q28" s="16" t="inlineStr">
        <is>
          <t>Confirmado 2026-09-06 por Rodrigo (vibo)</t>
        </is>
      </c>
    </row>
    <row r="29">
      <c r="A29" s="49" t="inlineStr">
        <is>
          <t>R0080</t>
        </is>
      </c>
      <c r="B29" s="49" t="inlineStr">
        <is>
          <t>Genetti S.; Scarton G.; Formentini M.; Iacca G.</t>
        </is>
      </c>
      <c r="C29" s="49" t="n">
        <v>2026</v>
      </c>
      <c r="D29" s="49" t="inlineStr">
        <is>
          <t>An intelligent Digital Twin based on machine learning for interpretable decision-making in manufacturing</t>
        </is>
      </c>
      <c r="E29" s="49" t="inlineStr">
        <is>
          <t>International Journal of Production Economics</t>
        </is>
      </c>
      <c r="F29" s="49" t="inlineStr">
        <is>
          <t>Article</t>
        </is>
      </c>
      <c r="G29" s="49" t="inlineStr">
        <is>
          <t>10.1016/j.ijpe.2025.109841</t>
        </is>
      </c>
      <c r="H29" s="49" t="inlineStr">
        <is>
          <t>https://doi.org/10.1016/j.ijpe.2025.109841</t>
        </is>
      </c>
      <c r="I29" s="49" t="inlineStr">
        <is>
          <t>Make</t>
        </is>
      </c>
      <c r="J29" s="49" t="inlineStr">
        <is>
          <t>Make más débil (C5): encuadre de cadena por palabra clave y una frase de gestión de operaciones y cadena ("adoption of iDTs in operations and supply chain management"); conservado por su relevancia HITL directa ("keeping humans at the core of the process", ML interpretable y LLM); veto posible.</t>
        </is>
      </c>
      <c r="K29" s="60" t="inlineStr">
        <is>
          <t>Y</t>
        </is>
      </c>
      <c r="L29" s="60" t="inlineStr">
        <is>
          <t>https://www.sciencedirect.com/science/article/pii/S0925527325003263?via%3Dihub (open access, Creative Commons; International Journal of Production Economics, January 2026, article 109841)</t>
        </is>
      </c>
      <c r="M29" s="60" t="inlineStr">
        <is>
          <t>Include</t>
        </is>
      </c>
      <c r="N29" s="60" t="n"/>
      <c r="O29" s="60" t="inlineStr">
        <is>
          <t>Incluir. Bandera resuelta: el artículo enmarca el gemelo como DT de cadena de suministro (componentes externos c1/c2, camiones a centros logísticos, intercambio con proveedores), aunque la optimización es programación HFS por makespan. IA: evolución gramatical + Q-learning (árboles de decisión) y LLM explicativos. HITL: voto del experto guía la optimización. Dudas: Source/Deliver solo como fechas de llegada/transporte; hitl_role quizá 'Maintained'. [citas verificadas: 6 ok, 0 no encontradas]</t>
        </is>
      </c>
      <c r="P29" s="60" t="inlineStr">
        <is>
          <t>2026-09-06</t>
        </is>
      </c>
      <c r="Q29" s="16" t="inlineStr">
        <is>
          <t>Confirmado 2026-09-06 por Rodrigo (vibo)</t>
        </is>
      </c>
    </row>
    <row r="30">
      <c r="A30" s="49" t="inlineStr">
        <is>
          <t>R0081</t>
        </is>
      </c>
      <c r="B30" s="49" t="inlineStr">
        <is>
          <t>Luo Y.; Ball P.</t>
        </is>
      </c>
      <c r="C30" s="49" t="n">
        <v>2026</v>
      </c>
      <c r="D30" s="49" t="inlineStr">
        <is>
          <t>Digital Twin-Enabled Conversion of Spent Mushroom Substrate for Circular Manufacturing</t>
        </is>
      </c>
      <c r="E30" s="49" t="inlineStr">
        <is>
          <t>Lecture Notes in Mechanical Engineering</t>
        </is>
      </c>
      <c r="F30" s="49" t="inlineStr">
        <is>
          <t>Conference paper</t>
        </is>
      </c>
      <c r="G30" s="49" t="inlineStr">
        <is>
          <t>10.1007/978-3-032-21157-6_47</t>
        </is>
      </c>
      <c r="H30" s="49" t="inlineStr">
        <is>
          <t>https://doi.org/10.1007/978-3-032-21157-6_47</t>
        </is>
      </c>
      <c r="I30" s="49" t="inlineStr">
        <is>
          <t>Make</t>
        </is>
      </c>
      <c r="J30" s="49" t="inlineStr">
        <is>
          <t>Make conservado tras la verificación independiente: el encuadre de cadena es una pregunta de investigación del propio estudio ("By addressing research questions on optimizing SMS conversion and enhancing supply chain management"), no una frase de cierre (C5), con gemelo piloto y ML ("Leveraging sensor networks and machine learning algorithms, the study presents a pilot implementation using historical data"); verificar en texto completo que el gemelo cubra el flujo de suministro del sustrato y no sólo la conversión.</t>
        </is>
      </c>
      <c r="K30" s="60" t="inlineStr">
        <is>
          <t>Y</t>
        </is>
      </c>
      <c r="L30" s="60" t="inlineStr">
        <is>
          <t>https://link-springer-com.hull.idm.oclc.org/chapter/10.1007/978-3-032-21157-6_47</t>
        </is>
      </c>
      <c r="M30" s="60" t="inlineStr">
        <is>
          <t>Exclude</t>
        </is>
      </c>
      <c r="N30" s="60" t="inlineStr">
        <is>
          <t>No AI/ML component</t>
        </is>
      </c>
      <c r="O30" s="60" t="inlineStr">
        <is>
          <t>Excluir por IA: solo 'machine learning algorithms' genéricos, sin método nombrado; la optimización 'remains at the conceptual level' (futuro, 3.2). FLAG: sí hay contenido de cadena de suministro (recolección y transporte de SMS, 'supply chain partners' en el modelo conceptual, Tabla 1), aunque la simulación cubre solo la conversión. Duda: 'energy optimization algorithms minimized power use' (3.2). [citas verificadas: 6 ok, 0 no encontradas]</t>
        </is>
      </c>
      <c r="P30" s="60" t="inlineStr">
        <is>
          <t>2026-09-06</t>
        </is>
      </c>
      <c r="Q30" s="16" t="inlineStr">
        <is>
          <t>Confirmado 2026-09-06 por Rodrigo (vibo)</t>
        </is>
      </c>
    </row>
    <row r="31">
      <c r="A31" s="49" t="inlineStr">
        <is>
          <t>R0082</t>
        </is>
      </c>
      <c r="B31" s="49" t="inlineStr">
        <is>
          <t>Dhanalakshmi R.; Onkar S.; Vijayaraghavan N.; Baskar M.</t>
        </is>
      </c>
      <c r="C31" s="49" t="n">
        <v>2026</v>
      </c>
      <c r="D31" s="49" t="inlineStr">
        <is>
          <t>Digital Twin Framework for Supermarket Supply Chain Management Using Predictive Analytics</t>
        </is>
      </c>
      <c r="E31" s="49" t="inlineStr">
        <is>
          <t>2026 International Conference on System, Computation, Automation and Networking, ICSCAN 2026</t>
        </is>
      </c>
      <c r="F31" s="49" t="inlineStr">
        <is>
          <t>Conference paper</t>
        </is>
      </c>
      <c r="G31" s="49" t="inlineStr">
        <is>
          <t>10.1109/icscan66520.2026.11588493</t>
        </is>
      </c>
      <c r="H31" s="49" t="inlineStr">
        <is>
          <t>https://doi.org/10.1109/icscan66520.2026.11588493</t>
        </is>
      </c>
      <c r="I31" s="49" t="inlineStr"/>
      <c r="J31" s="49" t="inlineStr"/>
      <c r="K31" s="60" t="inlineStr">
        <is>
          <t>N</t>
        </is>
      </c>
      <c r="L31" s="60" t="inlineStr">
        <is>
          <t>https://doi.org/10.1109/icscan66520.2026.11588493</t>
        </is>
      </c>
      <c r="M31" s="60" t="n"/>
      <c r="N31" s="60" t="n"/>
      <c r="O31"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31" s="60" t="inlineStr">
        <is>
          <t>2026-09-06</t>
        </is>
      </c>
      <c r="Q31" s="16" t="inlineStr">
        <is>
          <t>Confirmado 2026-09-06 por Rodrigo (vibo)</t>
        </is>
      </c>
    </row>
    <row r="32">
      <c r="A32" s="49" t="inlineStr">
        <is>
          <t>R0084</t>
        </is>
      </c>
      <c r="B32" s="49" t="inlineStr">
        <is>
          <t>Ivanov D.</t>
        </is>
      </c>
      <c r="C32" s="49" t="n">
        <v>2026</v>
      </c>
      <c r="D32" s="49" t="inlineStr">
        <is>
          <t>Agentic digital twins: bridging model-based and AI-driven decision-making support for a new era of supply chain and operations management</t>
        </is>
      </c>
      <c r="E32" s="49" t="inlineStr">
        <is>
          <t>International Journal of Production Research</t>
        </is>
      </c>
      <c r="F32" s="49" t="inlineStr">
        <is>
          <t>Article</t>
        </is>
      </c>
      <c r="G32" s="49" t="inlineStr">
        <is>
          <t>10.1080/00207543.2026.2630277</t>
        </is>
      </c>
      <c r="H32" s="49" t="inlineStr">
        <is>
          <t>https://doi.org/10.1080/00207543.2026.2630277</t>
        </is>
      </c>
      <c r="I32" s="49" t="inlineStr"/>
      <c r="J32" s="49" t="inlineStr"/>
      <c r="K32" s="60" t="inlineStr">
        <is>
          <t>Y</t>
        </is>
      </c>
      <c r="L32" s="60" t="inlineStr">
        <is>
          <t>https://www.tandfonline.com/doi/full/10.1080/00207543.2026.2630277</t>
        </is>
      </c>
      <c r="M32" s="60" t="inlineStr">
        <is>
          <t>Include</t>
        </is>
      </c>
      <c r="N32" s="60" t="n"/>
      <c r="O32" s="60" t="inlineStr">
        <is>
          <t>Incluido como conceptual: el objeto es el concepto de gemelo agéntico (A-SCDT) con arquitectura (Fig. 4) y casos Microsoft/Ford tomados de la literatura; sin experimento ni datos propios. Integración mixta: apoyo consultivo centrado en el planificador (4) pero prevé agentes operativos que ejecutan decisiones rutinarias (5). Técnica LLM/agente; ML/RL sólo complementarios (¿Hybrid?). Return no cubierto. [citas verificadas: 6 ok, 0 no encontradas]</t>
        </is>
      </c>
      <c r="P32" s="60" t="inlineStr">
        <is>
          <t>2026-09-06</t>
        </is>
      </c>
      <c r="Q32" s="16" t="inlineStr">
        <is>
          <t>Confirmado 2026-09-06 por Rodrigo (vibo)</t>
        </is>
      </c>
    </row>
    <row r="33">
      <c r="A33" s="49" t="inlineStr">
        <is>
          <t>R0089</t>
        </is>
      </c>
      <c r="B33" s="49" t="inlineStr">
        <is>
          <t>Zhenzhen X.</t>
        </is>
      </c>
      <c r="C33" s="49" t="n">
        <v>2026</v>
      </c>
      <c r="D33" s="49" t="inlineStr">
        <is>
          <t>Research on Coordinated Scheduling Optimization of Urban Transportation and Logistics Driven by Digital Twin</t>
        </is>
      </c>
      <c r="E33" s="49" t="inlineStr">
        <is>
          <t>Lecture Notes in Electrical Engineering</t>
        </is>
      </c>
      <c r="F33" s="49" t="inlineStr">
        <is>
          <t>Conference paper</t>
        </is>
      </c>
      <c r="G33" s="49" t="inlineStr">
        <is>
          <t>10.1007/978-981-95-8056-9_35</t>
        </is>
      </c>
      <c r="H33" s="49" t="inlineStr">
        <is>
          <t>https://doi.org/10.1007/978-981-95-8056-9_35</t>
        </is>
      </c>
      <c r="I33" s="49" t="inlineStr"/>
      <c r="J33" s="49" t="inlineStr"/>
      <c r="K33" s="60" t="inlineStr">
        <is>
          <t>N</t>
        </is>
      </c>
      <c r="L33" s="60" t="inlineStr">
        <is>
          <t>https://link-springer-com.hull.idm.oclc.org/chapter/10.1007/978-981-95-8056-9_35</t>
        </is>
      </c>
      <c r="M33" s="60" t="n"/>
      <c r="N33" s="60" t="n"/>
      <c r="O33" s="60" t="inlineStr">
        <is>
          <t>NO RECUPERADO. Paywall Springer (LNEE vol. 1595, paquete 'Springer Nature Proceedings excluding Computer Science'): el proxy de Hull sigue mostrando solo el resumen ('preview of subscription content'). Semantic Scholar no indexa el DOI (sin copia OA). Se requiere PDF manual (Tec/compra) antes de codificar; por resumen parece candidato a inclusión (gemelo + ABM/RL + logística urbana).</t>
        </is>
      </c>
      <c r="P33" s="60" t="inlineStr">
        <is>
          <t>2026-09-06</t>
        </is>
      </c>
      <c r="Q33" s="16" t="inlineStr">
        <is>
          <t>Confirmado 2026-09-06 por Rodrigo (vibo)</t>
        </is>
      </c>
    </row>
    <row r="34">
      <c r="A34" s="49" t="inlineStr">
        <is>
          <t>R0094</t>
        </is>
      </c>
      <c r="B34" s="49" t="inlineStr">
        <is>
          <t>Ozturk, C; O'Sullivan, B</t>
        </is>
      </c>
      <c r="C34" s="49" t="n">
        <v>2026</v>
      </c>
      <c r="D34" s="49" t="inlineStr">
        <is>
          <t>An Adaptive Supply Chain Stress Testing Framework with Deep Learning</t>
        </is>
      </c>
      <c r="E34" s="49" t="inlineStr">
        <is>
          <t>TRANSPORT TRANSITIONS: ADVANCING SUSTAINABLE AND INCLUSIVE MOBILITY, TRA CONFERENCE 2024, VOL 5</t>
        </is>
      </c>
      <c r="F34" s="49" t="inlineStr">
        <is>
          <t>Proceedings Paper</t>
        </is>
      </c>
      <c r="G34" s="49" t="inlineStr">
        <is>
          <t>10.1007/978-3-032-04774-8_75</t>
        </is>
      </c>
      <c r="H34" s="49" t="inlineStr">
        <is>
          <t>https://doi.org/10.1007/978-3-032-04774-8_75</t>
        </is>
      </c>
      <c r="I34" s="49" t="inlineStr"/>
      <c r="J34" s="49" t="inlineStr"/>
      <c r="K34" s="60" t="inlineStr">
        <is>
          <t>Y</t>
        </is>
      </c>
      <c r="L34" s="60" t="inlineStr">
        <is>
          <t>https://link-springer-com.hull.idm.oclc.org/chapter/10.1007/978-3-032-04774-8_75 (Hull proxy; page states 'You have full access to this open access chapter', CC BY 4.0; full HTML sections 1-4 read)</t>
        </is>
      </c>
      <c r="M34" s="60" t="inlineStr">
        <is>
          <t>Include</t>
        </is>
      </c>
      <c r="N34" s="60" t="n"/>
      <c r="O34" s="60" t="inlineStr">
        <is>
          <t>Incluido con dudas: marco conceptual (nada implementado) de gemelo digital de cadena multi-nivel con predicción ML de disrupciones, modelo de decisión, simulación DES y metamodelo ANN como sustituto. Dudas: ¿arquitectura (Sección 3 + Fig. 1) suficientemente concreta o «puramente conceptual»? Sección 3 no dice «gemelo digital»; método ML de predicción sin nombrar; HITL solo implícito (apoyo a practicantes). [citas verificadas: 6 ok, 0 no encontradas]</t>
        </is>
      </c>
      <c r="P34" s="60" t="inlineStr">
        <is>
          <t>2026-09-06</t>
        </is>
      </c>
      <c r="Q34" s="16" t="inlineStr">
        <is>
          <t>Confirmado 2026-09-06 por Rodrigo (vibo)</t>
        </is>
      </c>
    </row>
    <row r="35">
      <c r="A35" s="49" t="inlineStr">
        <is>
          <t>R0097</t>
        </is>
      </c>
      <c r="B35" s="49" t="inlineStr">
        <is>
          <t>Keshvarinia M.; MacKenzie C.A.; Zhao Z.</t>
        </is>
      </c>
      <c r="C35" s="49" t="n">
        <v>2025</v>
      </c>
      <c r="D35" s="49" t="inlineStr">
        <is>
          <t>A simulation-based digital twin model for data-driven decision optimization</t>
        </is>
      </c>
      <c r="E35" s="49" t="inlineStr">
        <is>
          <t>Decision Analytics Journal</t>
        </is>
      </c>
      <c r="F35" s="49" t="inlineStr">
        <is>
          <t>Article</t>
        </is>
      </c>
      <c r="G35" s="49" t="inlineStr">
        <is>
          <t>10.1016/j.dajour.2025.100646</t>
        </is>
      </c>
      <c r="H35" s="49" t="inlineStr">
        <is>
          <t>https://doi.org/10.1016/j.dajour.2025.100646</t>
        </is>
      </c>
      <c r="I35" s="49" t="inlineStr">
        <is>
          <t>Make</t>
        </is>
      </c>
      <c r="J35" s="49" t="inlineStr"/>
      <c r="K35" s="60" t="inlineStr">
        <is>
          <t>Y</t>
        </is>
      </c>
      <c r="L35" s="60" t="inlineStr">
        <is>
          <t>https://www.sciencedirect.com/science/article/pii/S277266222500102X?via%3Dihub</t>
        </is>
      </c>
      <c r="M35" s="60" t="inlineStr">
        <is>
          <t>Include</t>
        </is>
      </c>
      <c r="N35" s="60" t="n"/>
      <c r="O35" s="60" t="inlineStr">
        <is>
          <t>Incluir: DES en Simio que los autores llaman DT (marco Figs. 1-2), con cinco proveedores, lead times, política (Q,r), disrupción de suministro y montacargas; seis regresores ML entrenados con la simulación eligen la mitigación; HITL explícito (asesor, no control). Dudas: sistema hipotético sin datos reales y actualización en tiempo real emulada; OptQuest (metaheurística) solo fija umbrales de mantenimiento. [citas verificadas: 6 ok, 0 no encontradas]</t>
        </is>
      </c>
      <c r="P35" s="60" t="inlineStr">
        <is>
          <t>2026-09-06</t>
        </is>
      </c>
      <c r="Q35" s="16" t="inlineStr">
        <is>
          <t>Confirmado 2026-09-06 por Rodrigo (vibo)</t>
        </is>
      </c>
    </row>
    <row r="36">
      <c r="A36" s="49" t="inlineStr">
        <is>
          <t>R0105</t>
        </is>
      </c>
      <c r="B36" s="49" t="inlineStr">
        <is>
          <t>Rizkia I.; Yulianto H.D.</t>
        </is>
      </c>
      <c r="C36" s="49" t="n">
        <v>2025</v>
      </c>
      <c r="D36" s="49" t="inlineStr">
        <is>
          <t>Smart Supply Chain Management with Artificial Intelligence: Toward Resilient and Sustainable Industrial Automation in Industry 4.0</t>
        </is>
      </c>
      <c r="E36" s="49" t="inlineStr">
        <is>
          <t>2025 International Conference on ICT for Smart Society, ICISS 2025</t>
        </is>
      </c>
      <c r="F36" s="49" t="inlineStr">
        <is>
          <t>Conference paper</t>
        </is>
      </c>
      <c r="G36" s="49" t="inlineStr">
        <is>
          <t>10.1109/iciss66954.2025.11389384</t>
        </is>
      </c>
      <c r="H36" s="49" t="inlineStr">
        <is>
          <t>https://doi.org/10.1109/iciss66954.2025.11389384</t>
        </is>
      </c>
      <c r="I36" s="49" t="inlineStr"/>
      <c r="J36" s="49" t="inlineStr"/>
      <c r="K36" s="60" t="inlineStr">
        <is>
          <t>N</t>
        </is>
      </c>
      <c r="L36" s="60" t="inlineStr">
        <is>
          <t>https://doi.org/10.1109/iciss66954.2025.11389384</t>
        </is>
      </c>
      <c r="M36" s="60" t="n"/>
      <c r="N36" s="60" t="n"/>
      <c r="O36"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36" s="60" t="inlineStr">
        <is>
          <t>2026-09-06</t>
        </is>
      </c>
      <c r="Q36" s="16" t="inlineStr">
        <is>
          <t>Confirmado 2026-09-06 por Rodrigo (vibo)</t>
        </is>
      </c>
    </row>
    <row r="37">
      <c r="A37" s="49" t="inlineStr">
        <is>
          <t>R0107</t>
        </is>
      </c>
      <c r="B37" s="49" t="inlineStr">
        <is>
          <t>Jacha H.R.B.; Acuña E.H.A.; Acosta A.K.N.; Becerra Felipe J.L.; Rivas J.R.R.; Carrizales Navarro J.A.</t>
        </is>
      </c>
      <c r="C37" s="49" t="n">
        <v>2025</v>
      </c>
      <c r="D37" s="49" t="inlineStr">
        <is>
          <t>Digital Twin-Enabled IoT Architecture for Early Fault Detection and Integrated Forklift Monitoring Using an ESP32 Platform</t>
        </is>
      </c>
      <c r="E37" s="49" t="inlineStr">
        <is>
          <t>Proceedings of the 2025 IEEE 32nd International Conference on Electronics, Electrical Engineering and Computing, INTERCON 2025</t>
        </is>
      </c>
      <c r="F37" s="49" t="inlineStr">
        <is>
          <t>Conference paper</t>
        </is>
      </c>
      <c r="G37" s="49" t="inlineStr">
        <is>
          <t>10.1109/intercon67304.2025.11244693</t>
        </is>
      </c>
      <c r="H37" s="49" t="inlineStr">
        <is>
          <t>https://doi.org/10.1109/intercon67304.2025.11244693</t>
        </is>
      </c>
      <c r="I37" s="49" t="inlineStr"/>
      <c r="J37" s="49" t="inlineStr">
        <is>
          <t>gemelo implementado ("implementation of a low-cost Digital Twin using an ESP32 microcontroller") en contexto logístico ("fleet management in heavy equipment rental companies"), con el ML como componente propuesto de la arquitectura ("integration with machine learning algorithms is proposed for failure prediction"); se mantiene bajo la tercera precisión de C8 (el Codebook registra que R0107 se sostiene); el texto completo decide si el ML se implementa.</t>
        </is>
      </c>
      <c r="K37" s="60" t="inlineStr">
        <is>
          <t>N</t>
        </is>
      </c>
      <c r="L37" s="60" t="inlineStr">
        <is>
          <t>https://doi.org/10.1109/intercon67304.2025.11244693</t>
        </is>
      </c>
      <c r="M37" s="60" t="n"/>
      <c r="N37" s="60" t="n"/>
      <c r="O37"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37" s="60" t="inlineStr">
        <is>
          <t>2026-09-06</t>
        </is>
      </c>
      <c r="Q37" s="16" t="inlineStr">
        <is>
          <t>Confirmado 2026-09-06 por Rodrigo (vibo)</t>
        </is>
      </c>
    </row>
    <row r="38">
      <c r="A38" s="49" t="inlineStr">
        <is>
          <t>R0108</t>
        </is>
      </c>
      <c r="B38" s="49" t="inlineStr">
        <is>
          <t>Rathnavel P.</t>
        </is>
      </c>
      <c r="C38" s="49" t="n">
        <v>2025</v>
      </c>
      <c r="D38" s="49" t="inlineStr">
        <is>
          <t>Symbiotic Artificial Intelligence Twin Framework for Circular Manufacturing: A Sustainability-Led Industry 5.0 Framework</t>
        </is>
      </c>
      <c r="E38" s="49" t="inlineStr">
        <is>
          <t>2025 IEEE 7th International Conference on Computing, Communication and Automation, ICCCA 2025</t>
        </is>
      </c>
      <c r="F38" s="49" t="inlineStr">
        <is>
          <t>Conference paper</t>
        </is>
      </c>
      <c r="G38" s="49" t="inlineStr">
        <is>
          <t>10.1109/iccca66364.2025.11325651</t>
        </is>
      </c>
      <c r="H38" s="49" t="inlineStr">
        <is>
          <t>https://doi.org/10.1109/iccca66364.2025.11325651</t>
        </is>
      </c>
      <c r="I38" s="49" t="inlineStr">
        <is>
          <t>Make</t>
        </is>
      </c>
      <c r="J38" s="49" t="inlineStr"/>
      <c r="K38" s="60" t="inlineStr">
        <is>
          <t>N</t>
        </is>
      </c>
      <c r="L38" s="60" t="inlineStr">
        <is>
          <t>https://doi.org/10.1109/iccca66364.2025.11325651</t>
        </is>
      </c>
      <c r="M38" s="60" t="n"/>
      <c r="N38" s="60" t="n"/>
      <c r="O38"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38" s="60" t="inlineStr">
        <is>
          <t>2026-09-06</t>
        </is>
      </c>
      <c r="Q38" s="16" t="inlineStr">
        <is>
          <t>Confirmado 2026-09-06 por Rodrigo (vibo)</t>
        </is>
      </c>
    </row>
    <row r="39">
      <c r="A39" s="49" t="inlineStr">
        <is>
          <t>R0113</t>
        </is>
      </c>
      <c r="B39" s="49" t="inlineStr">
        <is>
          <t>Fatorachian H.; Kazemi H.; Pawar K.</t>
        </is>
      </c>
      <c r="C39" s="49" t="n">
        <v>2025</v>
      </c>
      <c r="D39" s="49" t="inlineStr">
        <is>
          <t>Enhancing Smart City Logistics Through IoT-Enabled Predictive Analytics: A Digital Twin and Cybernetic Feedback Approach</t>
        </is>
      </c>
      <c r="E39" s="49" t="inlineStr">
        <is>
          <t>Smart Cities</t>
        </is>
      </c>
      <c r="F39" s="49" t="inlineStr">
        <is>
          <t>Article</t>
        </is>
      </c>
      <c r="G39" s="49" t="inlineStr">
        <is>
          <t>10.3390/smartcities8020056</t>
        </is>
      </c>
      <c r="H39" s="49" t="inlineStr">
        <is>
          <t>https://doi.org/10.3390/smartcities8020056</t>
        </is>
      </c>
      <c r="I39" s="49" t="inlineStr"/>
      <c r="J39" s="49" t="inlineStr"/>
      <c r="K39" s="60" t="inlineStr">
        <is>
          <t>Y</t>
        </is>
      </c>
      <c r="L39" s="60" t="inlineStr">
        <is>
          <t>https://doi.org/10.3390/smartcities8020056 (resolved to www.mdpi.com, Smart Cities 2025, 8(2), 56, open-access HTML full text)</t>
        </is>
      </c>
      <c r="M39" s="60" t="inlineStr">
        <is>
          <t>Include</t>
        </is>
      </c>
      <c r="N39" s="60" t="n"/>
      <c r="O39" s="60" t="inlineStr">
        <is>
          <t>Incluir: gemelo digital diseñado (arquitectura Fig. 1, tres capas) con XGBoost/MLP ejecutados sobre datos reales de un operador logístico de Yorkshire; última milla. Dudas: el gemelo solo se describe, los resultados son del clasificador (AUC 0,45 base); autonomía operativa declarada (nivel 5) vs. rutas «sugeridas» (nivel 4); evidencia: datos empíricos vs. caso; técnica híbrida (XGBoost+MLP). [citas verificadas: 6 ok, 0 no encontradas]</t>
        </is>
      </c>
      <c r="P39" s="60" t="inlineStr">
        <is>
          <t>2026-09-06</t>
        </is>
      </c>
      <c r="Q39" s="16" t="inlineStr">
        <is>
          <t>Confirmado 2026-09-06 por Rodrigo (vibo)</t>
        </is>
      </c>
    </row>
    <row r="40">
      <c r="A40" s="49" t="inlineStr">
        <is>
          <t>R0116</t>
        </is>
      </c>
      <c r="B40" s="49" t="inlineStr">
        <is>
          <t>Fedorin D.V.; Nastenko S.K.; Polyanichenko D.S.; Sukhanov A.V.; Grishaev S.Y.; Butakova M.A.</t>
        </is>
      </c>
      <c r="C40" s="49" t="n">
        <v>2025</v>
      </c>
      <c r="D40" s="49" t="inlineStr">
        <is>
          <t>Method for Rrecognizing and Generating Three-Dimensional Objects to Create Digital Twins</t>
        </is>
      </c>
      <c r="E40" s="49" t="inlineStr">
        <is>
          <t>International Journal of Fuzzy Logic and Intelligent Systems</t>
        </is>
      </c>
      <c r="F40" s="49" t="inlineStr">
        <is>
          <t>Article</t>
        </is>
      </c>
      <c r="G40" s="49" t="inlineStr">
        <is>
          <t>10.5391/ijfis.2025.25.1.97</t>
        </is>
      </c>
      <c r="H40" s="49" t="inlineStr">
        <is>
          <t>https://doi.org/10.5391/ijfis.2025.25.1.97</t>
        </is>
      </c>
      <c r="I40" s="49" t="inlineStr"/>
      <c r="J40" s="49" t="inlineStr"/>
      <c r="K40" s="60" t="inlineStr">
        <is>
          <t>Y</t>
        </is>
      </c>
      <c r="L40" s="60" t="inlineStr">
        <is>
          <t>https://www.ijfis.org/journal/view.html?uid=1108&amp;vmd=Full</t>
        </is>
      </c>
      <c r="M40" s="60" t="inlineStr">
        <is>
          <t>Include</t>
        </is>
      </c>
      <c r="N40" s="60" t="n"/>
      <c r="O40" s="60" t="inlineStr">
        <is>
          <t>Incluido con reservas: el gemelo operativo no se implementa; un editor reconstruye en 3D patios de contenedores y exporta la topología a un gemelo externo. Nivel 1; ai_role=Other (visión por computador construye la geometría); Deliver solo por el patio, sin datos de proceso. Si una topología 3D estática no es gemelo, excluir: 'No digital twin / digital model'. [citas verificadas: 6 ok, 0 no encontradas]</t>
        </is>
      </c>
      <c r="P40" s="60" t="inlineStr">
        <is>
          <t>2026-09-06</t>
        </is>
      </c>
      <c r="Q40" s="16" t="inlineStr">
        <is>
          <t>Confirmado 2026-09-06 por Rodrigo (vibo)</t>
        </is>
      </c>
    </row>
    <row r="41">
      <c r="A41" s="49" t="inlineStr">
        <is>
          <t>R0118</t>
        </is>
      </c>
      <c r="B41" s="49" t="inlineStr">
        <is>
          <t>Bhoite T.D.; Buktar R.B.; Mahalle P.N.; Khond M.P.; Pise G.S.; More Y.</t>
        </is>
      </c>
      <c r="C41" s="49" t="n">
        <v>2025</v>
      </c>
      <c r="D41" s="49" t="inlineStr">
        <is>
          <t>Productivity Enhancement in the Indian Auto Component Manufacturing Supply Chain Through IoT, Digital Twins with Generative AI, and Stacked Encoder-Enhanced Neural Networks</t>
        </is>
      </c>
      <c r="E41" s="49" t="inlineStr">
        <is>
          <t>Operations Research Forum</t>
        </is>
      </c>
      <c r="F41" s="49" t="inlineStr">
        <is>
          <t>Article</t>
        </is>
      </c>
      <c r="G41" s="49" t="inlineStr">
        <is>
          <t>10.1007/s43069-025-00522-0</t>
        </is>
      </c>
      <c r="H41" s="49" t="inlineStr">
        <is>
          <t>https://doi.org/10.1007/s43069-025-00522-0</t>
        </is>
      </c>
      <c r="I41" s="49" t="inlineStr">
        <is>
          <t>Make</t>
        </is>
      </c>
      <c r="J41" s="49" t="inlineStr">
        <is>
          <t>modelo de IA nombrado ("Bayesian Network-Stacked Encoder-Puma Optimizer (BN-SE-PO) model") y cadena en el título; confirmar en texto completo que el gemelo exista más allá de la descripción genérica.</t>
        </is>
      </c>
      <c r="K41" s="60" t="inlineStr">
        <is>
          <t>Y</t>
        </is>
      </c>
      <c r="L41" s="60" t="inlineStr">
        <is>
          <t>https://link-springer-com.hull.idm.oclc.org/article/10.1007/s43069-025-00522-0</t>
        </is>
      </c>
      <c r="M41" s="60" t="inlineStr">
        <is>
          <t>Include</t>
        </is>
      </c>
      <c r="N41" s="60" t="n"/>
      <c r="O41" s="60" t="inlineStr">
        <is>
          <t>Inclusión dudosa. Gemelo solo afirmado: 'digital twin model of a CNC machining cell' para simular antes/después de IoT (3.1) y 'digital twin modeling layer' en arquitectura (Fig. 6), sin descripción, datos ni validación ('no datasets were generated'). Resultados atribuidos a IoT/redes neuronales; HITL ambiguo ('operators or autonomous systems'). Si se exige gemelo documentado, excluir: No digital twin / digital model. [citas verificadas: 6 ok, 0 no encontradas]</t>
        </is>
      </c>
      <c r="P41" s="60" t="inlineStr">
        <is>
          <t>2026-09-06</t>
        </is>
      </c>
      <c r="Q41" s="16" t="inlineStr">
        <is>
          <t>Confirmado 2026-09-06 por Rodrigo (vibo)</t>
        </is>
      </c>
    </row>
    <row r="42">
      <c r="A42" s="49" t="inlineStr">
        <is>
          <t>R0119</t>
        </is>
      </c>
      <c r="B42" s="49" t="inlineStr">
        <is>
          <t>Zou Y.; Wu J.; Meng X.; Wang X.; Manzardo A.</t>
        </is>
      </c>
      <c r="C42" s="49" t="n">
        <v>2025</v>
      </c>
      <c r="D42" s="49" t="inlineStr">
        <is>
          <t>Digital twin integration for dynamic quality loss control in fruit supply chains</t>
        </is>
      </c>
      <c r="E42" s="49" t="inlineStr">
        <is>
          <t>Journal of Food Engineering</t>
        </is>
      </c>
      <c r="F42" s="49" t="inlineStr">
        <is>
          <t>Article</t>
        </is>
      </c>
      <c r="G42" s="49" t="inlineStr">
        <is>
          <t>10.1016/j.jfoodeng.2025.112577</t>
        </is>
      </c>
      <c r="H42" s="49" t="inlineStr">
        <is>
          <t>https://doi.org/10.1016/j.jfoodeng.2025.112577</t>
        </is>
      </c>
      <c r="I42" s="49" t="inlineStr"/>
      <c r="J42" s="49" t="inlineStr"/>
      <c r="K42" s="60" t="inlineStr">
        <is>
          <t>Y</t>
        </is>
      </c>
      <c r="L42" s="60" t="inlineStr">
        <is>
          <t>https://www.sciencedirect.com/science/article/pii/S0260877425001128?via%3Dihub</t>
        </is>
      </c>
      <c r="M42" s="60" t="inlineStr">
        <is>
          <t>Include</t>
        </is>
      </c>
      <c r="N42" s="60" t="n"/>
      <c r="O42" s="60" t="inlineStr">
        <is>
          <t>Incluir: gemelo digital de cadena de frío (modelo de cinco dimensiones; gemelos a nivel caja/palé/contenedor) implementado con BiLSTM+atención en PyTorch sobre datos experimentales reales; cadena de fruta (procesado, almacenamiento, carga/descarga, transporte). Dudas: reducción de pérdidas es simulada (¿Empirical data o Simulation?); 'processing' podría contarse como Make; HITL solo implícito (usuarios monitorizan y deciden vía servicios de aplicación). [citas verificadas: 6 ok, 0 no encontradas]</t>
        </is>
      </c>
      <c r="P42" s="60" t="inlineStr">
        <is>
          <t>2026-09-06</t>
        </is>
      </c>
      <c r="Q42" s="16" t="inlineStr">
        <is>
          <t>Confirmado 2026-09-06 por Rodrigo (vibo)</t>
        </is>
      </c>
    </row>
    <row r="43">
      <c r="A43" s="49" t="inlineStr">
        <is>
          <t>R0127</t>
        </is>
      </c>
      <c r="B43" s="49" t="inlineStr">
        <is>
          <t>Dubey A.</t>
        </is>
      </c>
      <c r="C43" s="49" t="n">
        <v>2025</v>
      </c>
      <c r="D43" s="49" t="inlineStr">
        <is>
          <t>Generative AI-Powered Digital Twins in Aviation: A Framework for Intelligent Simulation and Decision Making</t>
        </is>
      </c>
      <c r="E43" s="49" t="inlineStr">
        <is>
          <t>Proceedings - 2025 IEEE International Symposium on Emerging Metaverse, ISEMV 2025</t>
        </is>
      </c>
      <c r="F43" s="49" t="inlineStr">
        <is>
          <t>Conference paper</t>
        </is>
      </c>
      <c r="G43" s="49" t="inlineStr">
        <is>
          <t>10.1109/isemv67326.2025.00034</t>
        </is>
      </c>
      <c r="H43" s="49" t="inlineStr">
        <is>
          <t>https://doi.org/10.1109/isemv67326.2025.00034</t>
        </is>
      </c>
      <c r="I43" s="49" t="inlineStr">
        <is>
          <t>Make</t>
        </is>
      </c>
      <c r="J43" s="49" t="inlineStr">
        <is>
          <t>Make añadido: gemelos de manufactura aeronáutica con encuadre logístico explícito ("across aviation manufacturing and logistics domains", "logistics inventory optimization", "supply chain networks").</t>
        </is>
      </c>
      <c r="K43" s="60" t="inlineStr">
        <is>
          <t>N</t>
        </is>
      </c>
      <c r="L43" s="60" t="inlineStr">
        <is>
          <t>https://doi.org/10.1109/isemv67326.2025.00034</t>
        </is>
      </c>
      <c r="M43" s="60" t="n"/>
      <c r="N43" s="60" t="n"/>
      <c r="O43"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43" s="60" t="inlineStr">
        <is>
          <t>2026-09-06</t>
        </is>
      </c>
      <c r="Q43" s="16" t="inlineStr">
        <is>
          <t>Confirmado 2026-09-06 por Rodrigo (vibo)</t>
        </is>
      </c>
    </row>
    <row r="44">
      <c r="A44" s="49" t="inlineStr">
        <is>
          <t>R0129</t>
        </is>
      </c>
      <c r="B44" s="49" t="inlineStr">
        <is>
          <t>Badakhshan E.; Ivanov D.</t>
        </is>
      </c>
      <c r="C44" s="49" t="n">
        <v>2025</v>
      </c>
      <c r="D44" s="49" t="inlineStr">
        <is>
          <t>Integrating digital twin and blockchain for responsive working capital management in supply chains facing financial disruptions</t>
        </is>
      </c>
      <c r="E44" s="49" t="inlineStr">
        <is>
          <t>International Journal of Production Research</t>
        </is>
      </c>
      <c r="F44" s="49" t="inlineStr">
        <is>
          <t>Article</t>
        </is>
      </c>
      <c r="G44" s="49" t="inlineStr">
        <is>
          <t>10.1080/00207543.2025.2507112</t>
        </is>
      </c>
      <c r="H44" s="49" t="inlineStr">
        <is>
          <t>https://doi.org/10.1080/00207543.2025.2507112</t>
        </is>
      </c>
      <c r="I44" s="49" t="inlineStr"/>
      <c r="J44" s="49" t="inlineStr"/>
      <c r="K44" s="60" t="inlineStr">
        <is>
          <t>Y</t>
        </is>
      </c>
      <c r="L44" s="60" t="inlineStr">
        <is>
          <t>https://www-tandfonline-com.hull.idm.oclc.org/doi/full/10.1080/00207543.2025.2507112</t>
        </is>
      </c>
      <c r="M44" s="60" t="inlineStr">
        <is>
          <t>Include</t>
        </is>
      </c>
      <c r="N44" s="60" t="n"/>
      <c r="O44" s="60" t="inlineStr">
        <is>
          <t>Incluir: gemelo digital de cadena de suministro (DES en SimPy + ML) con arquitectura de 4 pasos alimentada por blockchain; ML ejecutado (8 clasificadores; árboles de decisión generan reglas de política). Dudas: Make sólo como capacidad del fabricante; HITL implícito (reglas para decisores, sin discusión explícita); extensión 4 vs 5 según 'recomendaciones' o 'ajuste dinámico'. Texto vía proxy Hull. [citas verificadas: 6 ok, 0 no encontradas]</t>
        </is>
      </c>
      <c r="P44" s="60" t="inlineStr">
        <is>
          <t>2026-09-06</t>
        </is>
      </c>
      <c r="Q44" s="16" t="inlineStr">
        <is>
          <t>Confirmado 2026-09-06 por Rodrigo (vibo)</t>
        </is>
      </c>
    </row>
    <row r="45">
      <c r="A45" s="49" t="inlineStr">
        <is>
          <t>R0137</t>
        </is>
      </c>
      <c r="B45" s="49" t="inlineStr">
        <is>
          <t>Ivanov D.</t>
        </is>
      </c>
      <c r="C45" s="49" t="n">
        <v>2025</v>
      </c>
      <c r="D45" s="49" t="inlineStr">
        <is>
          <t>From digital twins to supply chain ecosystems</t>
        </is>
      </c>
      <c r="E45" s="49" t="inlineStr">
        <is>
          <t>IFAC-PapersOnLine</t>
        </is>
      </c>
      <c r="F45" s="49" t="inlineStr">
        <is>
          <t>Conference paper</t>
        </is>
      </c>
      <c r="G45" s="49" t="inlineStr">
        <is>
          <t>10.1016/j.ifacol.2025.09.014</t>
        </is>
      </c>
      <c r="H45" s="49" t="inlineStr">
        <is>
          <t>https://doi.org/10.1016/j.ifacol.2025.09.014</t>
        </is>
      </c>
      <c r="I45" s="49" t="inlineStr"/>
      <c r="J45" s="49" t="inlineStr"/>
      <c r="K45" s="60" t="inlineStr">
        <is>
          <t>Y</t>
        </is>
      </c>
      <c r="L45" s="60" t="inlineStr">
        <is>
          <t>https://www.sciencedirect.com/science/article/pii/S240589632500775X/pdf (main.pdf served from pdf.sciencedirectassets.com, read with pdf.js in Chrome tab 44724038; open access CC BY-NC-ND; 5 pages, IFAC-PapersOnLine 59-10 (2025) 72-76; saved to /root</t>
        </is>
      </c>
      <c r="M45" s="60" t="inlineStr">
        <is>
          <t>Include</t>
        </is>
      </c>
      <c r="N45" s="60" t="n"/>
      <c r="O45" s="60" t="inlineStr">
        <is>
          <t>Incluido como conceptual (línea Ivanov): extiende el iDT a ecosistemas digitales de cadena; IA generativa con ontologías genera y adapta modelos de simulación y escenarios de disrupción, con colaboración humano-IA y delegación bidireccional (HITL explícito, 'no automatización total'). Dudas: sin implementación ni caso; nivel 4 vs 5 por la delegación; hitl_role Elevated vs Maintained; ai_technique LLM/agent vs Hybrid. [citas verificadas: 6 ok, 0 no encontradas]</t>
        </is>
      </c>
      <c r="P45" s="60" t="inlineStr">
        <is>
          <t>2026-09-06</t>
        </is>
      </c>
      <c r="Q45" s="16" t="inlineStr">
        <is>
          <t>Confirmado 2026-09-06 por Rodrigo (vibo)</t>
        </is>
      </c>
    </row>
    <row r="46">
      <c r="A46" s="49" t="inlineStr">
        <is>
          <t>R0142</t>
        </is>
      </c>
      <c r="B46" s="49" t="inlineStr">
        <is>
          <t>Kandsi L.; Jabir A.; Jawab F.</t>
        </is>
      </c>
      <c r="C46" s="49" t="n">
        <v>2025</v>
      </c>
      <c r="D46" s="49" t="inlineStr">
        <is>
          <t>Optimizing the Supply Chain through Instanteneous Synchronization of Logistics Interfaces: A Supply Chain 4.0 Framework</t>
        </is>
      </c>
      <c r="E46" s="49" t="inlineStr">
        <is>
          <t>2025 IEEE International Conference on Advanced Technologies in Supply Chain Management, ATSCM 2025</t>
        </is>
      </c>
      <c r="F46" s="49" t="inlineStr">
        <is>
          <t>Conference paper</t>
        </is>
      </c>
      <c r="G46" s="49" t="inlineStr">
        <is>
          <t>10.1109/atscm67505.2025.11473850</t>
        </is>
      </c>
      <c r="H46" s="49" t="inlineStr">
        <is>
          <t>https://doi.org/10.1109/atscm67505.2025.11473850</t>
        </is>
      </c>
      <c r="I46" s="49" t="inlineStr"/>
      <c r="J46" s="49" t="inlineStr">
        <is>
          <t>el gemelo es método de validación ("Agent Based Modeling (ABM) and Digital Twin simulations"), no el objeto; el texto completo decide si el gemelo se describe.</t>
        </is>
      </c>
      <c r="K46" s="60" t="inlineStr">
        <is>
          <t>N</t>
        </is>
      </c>
      <c r="L46" s="60" t="inlineStr">
        <is>
          <t>https://doi.org/10.1109/atscm67505.2025.11473850</t>
        </is>
      </c>
      <c r="M46" s="60" t="n"/>
      <c r="N46" s="60" t="n"/>
      <c r="O46"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46" s="60" t="inlineStr">
        <is>
          <t>2026-09-06</t>
        </is>
      </c>
      <c r="Q46" s="16" t="inlineStr">
        <is>
          <t>Confirmado 2026-09-06 por Rodrigo (vibo)</t>
        </is>
      </c>
    </row>
    <row r="47">
      <c r="A47" s="49" t="inlineStr">
        <is>
          <t>R0146</t>
        </is>
      </c>
      <c r="B47" s="49" t="inlineStr">
        <is>
          <t>Sampath B.; Kumar P.S.; Sirisha U.; Mahesh A.V.</t>
        </is>
      </c>
      <c r="C47" s="49" t="n">
        <v>2025</v>
      </c>
      <c r="D47" s="49" t="inlineStr">
        <is>
          <t>Design of an Iterative Model with Quantum Contextual Supply Chain Optimization under Uncertainty Scenarios</t>
        </is>
      </c>
      <c r="E47" s="49" t="inlineStr">
        <is>
          <t>EPJ Web of Conferences</t>
        </is>
      </c>
      <c r="F47" s="49" t="inlineStr">
        <is>
          <t>Conference paper</t>
        </is>
      </c>
      <c r="G47" s="49" t="inlineStr">
        <is>
          <t>10.1051/epjconf/202534101055</t>
        </is>
      </c>
      <c r="H47" s="49" t="inlineStr">
        <is>
          <t>https://doi.org/10.1051/epjconf/202534101055</t>
        </is>
      </c>
      <c r="I47" s="49" t="inlineStr"/>
      <c r="J47" s="49" t="inlineStr"/>
      <c r="K47" s="60" t="inlineStr">
        <is>
          <t>Y</t>
        </is>
      </c>
      <c r="L47" s="60" t="inlineStr">
        <is>
          <t>https://www.epj-conferences.org/articles/epjconf/pdf/2025/26/epjconf_icatcict2025_01055.pdf (open access PDF, EPJ Web of Conferences 341, 01055, ICATCICT 2025; landing page https://www.epj-conferences.org/articles/epjconf/abs/2025/26/epjconf_icatcict</t>
        </is>
      </c>
      <c r="M47" s="60" t="inlineStr">
        <is>
          <t>Exclude</t>
        </is>
      </c>
      <c r="N47" s="60" t="inlineStr">
        <is>
          <t>Other (note reason)</t>
        </is>
      </c>
      <c r="O47" s="60" t="inlineStr">
        <is>
          <t>OA. Gemelo (QIDTO) y RL cuántico sólo afirmados: el gemelo es un bloque de Fig. 1 más una ecuación de conservación; experimentos sin datos, simulador ni código; baselines [3,8,15] son pricing, diseño de red y selección de proveedores, no optimizadores de rutas; anuncia ocho ecuaciones, da siete. Bucle cerrado sin humano. Alternativa: incluir como conceptual (nivel 5, sin HITL). [citas verificadas: 4 ok, 2 no encontradas]</t>
        </is>
      </c>
      <c r="P47" s="60" t="inlineStr">
        <is>
          <t>2026-09-06</t>
        </is>
      </c>
      <c r="Q47" s="16" t="inlineStr">
        <is>
          <t>Confirmado 2026-09-06 por Rodrigo (vibo)</t>
        </is>
      </c>
    </row>
    <row r="48">
      <c r="A48" s="49" t="inlineStr">
        <is>
          <t>R0148</t>
        </is>
      </c>
      <c r="B48" s="49" t="inlineStr">
        <is>
          <t>Nagpal M.; Ghale B.; Baxi P.; Pattnaik S.C.; Aroul Canessane R.; Chaudhary P.</t>
        </is>
      </c>
      <c r="C48" s="49" t="n">
        <v>2025</v>
      </c>
      <c r="D48" s="49" t="inlineStr">
        <is>
          <t>AI Based Advanced Green Supply Chain Through Sustainable Finance Strategies</t>
        </is>
      </c>
      <c r="E48" s="49" t="inlineStr">
        <is>
          <t>Proceedings - 2025 IEEE 1st International Conference on Smart Innovations in Systems, Infrastructure, Mechanical, Power, AI and Computing Technologies, SISIMPACT 2025</t>
        </is>
      </c>
      <c r="F48" s="49" t="inlineStr">
        <is>
          <t>Conference paper</t>
        </is>
      </c>
      <c r="G48" s="49" t="inlineStr">
        <is>
          <t>10.1109/sisimpact67725.2025.11439853</t>
        </is>
      </c>
      <c r="H48" s="49" t="inlineStr">
        <is>
          <t>https://doi.org/10.1109/sisimpact67725.2025.11439853</t>
        </is>
      </c>
      <c r="I48" s="49" t="inlineStr"/>
      <c r="J48" s="49" t="inlineStr"/>
      <c r="K48" s="60" t="inlineStr">
        <is>
          <t>N</t>
        </is>
      </c>
      <c r="L48" s="60" t="inlineStr">
        <is>
          <t>https://doi.org/10.1109/sisimpact67725.2025.11439853</t>
        </is>
      </c>
      <c r="M48" s="60" t="n"/>
      <c r="N48" s="60" t="n"/>
      <c r="O48"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Two same-titled IEEE papers; target (SISIMPACT) is 1st hit; no badge</t>
        </is>
      </c>
      <c r="P48" s="60" t="inlineStr">
        <is>
          <t>2026-09-06</t>
        </is>
      </c>
      <c r="Q48" s="16" t="inlineStr">
        <is>
          <t>Confirmado 2026-09-06 por Rodrigo (vibo)</t>
        </is>
      </c>
    </row>
    <row r="49">
      <c r="A49" s="49" t="inlineStr">
        <is>
          <t>R0150</t>
        </is>
      </c>
      <c r="B49" s="49" t="inlineStr">
        <is>
          <t>Mustafa M.A.S.</t>
        </is>
      </c>
      <c r="C49" s="49" t="n">
        <v>2025</v>
      </c>
      <c r="D49" s="49" t="inlineStr">
        <is>
          <t>Predictive Reliability-Driven Optimization of Spare Parts Management in Aircraft Fleets Using AI, IoT, and Digital Twin Technologies</t>
        </is>
      </c>
      <c r="E49" s="49" t="inlineStr">
        <is>
          <t>Journal of Engineering Management and Systems Engineering</t>
        </is>
      </c>
      <c r="F49" s="49" t="inlineStr">
        <is>
          <t>Article</t>
        </is>
      </c>
      <c r="G49" s="49" t="inlineStr">
        <is>
          <t>10.56578/jemse040305</t>
        </is>
      </c>
      <c r="H49" s="49" t="inlineStr">
        <is>
          <t>https://doi.org/10.56578/jemse040305</t>
        </is>
      </c>
      <c r="I49" s="49" t="inlineStr"/>
      <c r="J49" s="49" t="inlineStr"/>
      <c r="K49" s="60" t="inlineStr">
        <is>
          <t>Y</t>
        </is>
      </c>
      <c r="L49" s="60" t="inlineStr">
        <is>
          <t>https://www.acadlore.com/article/JEMSE/2025_4_3/jemse040305</t>
        </is>
      </c>
      <c r="M49" s="60" t="inlineStr">
        <is>
          <t>Exclude</t>
        </is>
      </c>
      <c r="N49" s="60" t="inlineStr">
        <is>
          <t>No digital twin / digital model</t>
        </is>
      </c>
      <c r="O49" s="60" t="inlineStr">
        <is>
          <t>Excluir: el gemelo digital solo se afirma (resumen, introducción); la implementación (§1.3) describe sensores IoT + LSTM/RF sin gemelo ni arquitectura; §8–10 lo tratan genéricamente. Además es 'Review article' autodeclarado, con cifras inconsistentes (18/20%, 15/25%) y tablas copiadas de [22]. Rol humano solo genérico: supervisión humana, técnico decide casos complejos (§10.2). [citas verificadas: 6 ok, 0 no encontradas]</t>
        </is>
      </c>
      <c r="P49" s="60" t="inlineStr">
        <is>
          <t>2026-09-06</t>
        </is>
      </c>
      <c r="Q49" s="16" t="inlineStr">
        <is>
          <t>Confirmado 2026-09-06 por Rodrigo (vibo)</t>
        </is>
      </c>
    </row>
    <row r="50">
      <c r="A50" s="49" t="inlineStr">
        <is>
          <t>R0152</t>
        </is>
      </c>
      <c r="B50" s="49" t="inlineStr">
        <is>
          <t>Mhiri M.; Mkacher H.; Al-Khatib M.; Kharbeche M.; AlNouss A.; Haouari M.</t>
        </is>
      </c>
      <c r="C50" s="49" t="n">
        <v>2025</v>
      </c>
      <c r="D50" s="49" t="inlineStr">
        <is>
          <t>Enhancing Liquefied Natural Gas supply chain robustness through digital twin-driven machine learning models: A special case of cryogenic heat exchanger</t>
        </is>
      </c>
      <c r="E50" s="49" t="inlineStr">
        <is>
          <t>Gas Science and Engineering</t>
        </is>
      </c>
      <c r="F50" s="49" t="inlineStr">
        <is>
          <t>Article</t>
        </is>
      </c>
      <c r="G50" s="49" t="inlineStr">
        <is>
          <t>10.1016/j.jgsce.2025.205714</t>
        </is>
      </c>
      <c r="H50" s="49" t="inlineStr">
        <is>
          <t>https://doi.org/10.1016/j.jgsce.2025.205714</t>
        </is>
      </c>
      <c r="I50" s="49" t="inlineStr">
        <is>
          <t>Make</t>
        </is>
      </c>
      <c r="J50" s="49" t="inlineStr"/>
      <c r="K50" s="60" t="inlineStr">
        <is>
          <t>Y</t>
        </is>
      </c>
      <c r="L50" s="60" t="inlineStr">
        <is>
          <t>https://www.sciencedirect.com/science/article/pii/S2949908925001785</t>
        </is>
      </c>
      <c r="M50" s="60" t="inlineStr">
        <is>
          <t>Include</t>
        </is>
      </c>
      <c r="N50" s="60" t="n"/>
      <c r="O50" s="60" t="inlineStr">
        <is>
          <t>Incluir. Gemelo HYSYS+ML del intercambiador criogénico (etapa Make). Marco de cadena de suministro explícito (objetivo, Fig. 2, efecto dominó) pero no modela flujos aguas abajo; KPIs de equipo (detección temprana, downtime): caso límite para criterio 2. Datos sintéticos; VAR es estadístico. Sin humano en el lazo (corrección automática); rol humano no discutido: experto valida datos, reparación solo como respaldo. [citas verificadas: 6 ok, 0 no encontradas]</t>
        </is>
      </c>
      <c r="P50" s="60" t="inlineStr">
        <is>
          <t>2026-09-06</t>
        </is>
      </c>
      <c r="Q50" s="16" t="inlineStr">
        <is>
          <t>Confirmado 2026-09-06 por Rodrigo (vibo)</t>
        </is>
      </c>
    </row>
    <row r="51">
      <c r="A51" s="49" t="inlineStr">
        <is>
          <t>R0157</t>
        </is>
      </c>
      <c r="B51" s="49" t="inlineStr">
        <is>
          <t>Xiros V.; Gonzalez Castro J.M.; Fernandez-Pelaez F.; Magoutas B.; Christidis K.</t>
        </is>
      </c>
      <c r="C51" s="49" t="n">
        <v>2025</v>
      </c>
      <c r="D51" s="49" t="inlineStr">
        <is>
          <t>Supply Chain Data Analytics for Digital Twins: A Comprehensive Framework</t>
        </is>
      </c>
      <c r="E51" s="49" t="inlineStr">
        <is>
          <t>Applied Sciences (Switzerland)</t>
        </is>
      </c>
      <c r="F51" s="49" t="inlineStr">
        <is>
          <t>Article</t>
        </is>
      </c>
      <c r="G51" s="49" t="inlineStr">
        <is>
          <t>10.3390/app15126939</t>
        </is>
      </c>
      <c r="H51" s="49" t="inlineStr">
        <is>
          <t>https://doi.org/10.3390/app15126939</t>
        </is>
      </c>
      <c r="I51" s="49" t="inlineStr"/>
      <c r="J51" s="49" t="inlineStr">
        <is>
          <t>el ML se sostiene en "utilizing machine learning to propose sustainability initiatives" y en la palabra clave de autor; confirmar el componente ML de la capa inteligente en texto completo.</t>
        </is>
      </c>
      <c r="K51" s="60" t="inlineStr">
        <is>
          <t>Y</t>
        </is>
      </c>
      <c r="L51" s="60" t="inlineStr">
        <is>
          <t>https://doi.org/10.3390/app15126939 -&gt; mdpi.com (Appl. Sci. 2025, 15(12), 6939, open-access HTML, full article read)</t>
        </is>
      </c>
      <c r="M51" s="60" t="inlineStr">
        <is>
          <t>Include</t>
        </is>
      </c>
      <c r="N51" s="60" t="n"/>
      <c r="O51" s="60" t="inlineStr">
        <is>
          <t>Incluido: servicio analítico contenedorizado acoplado a gemelos digitales existentes, desplegado en dos pilotos (zumo, Grecia; reciclaje de imanes WEEE en cadena de tres actores, España). ML real: regresores entrenados para propiedades magnéticas, más detección de anomalías y forecasting. Dudas: algoritmos no nombrados ni evaluados; piloto griego intra-planta; Plan y Return codificados débilmente (rutas por lote; cadena inversa EOL). [citas verificadas: 6 ok, 0 no encontradas]</t>
        </is>
      </c>
      <c r="P51" s="60" t="inlineStr">
        <is>
          <t>2026-09-06</t>
        </is>
      </c>
      <c r="Q51" s="16" t="inlineStr">
        <is>
          <t>Confirmado 2026-09-06 por Rodrigo (vibo)</t>
        </is>
      </c>
    </row>
    <row r="52">
      <c r="A52" s="49" t="inlineStr">
        <is>
          <t>R0158</t>
        </is>
      </c>
      <c r="B52" s="49" t="inlineStr">
        <is>
          <t>Pandey S.; Kandhari H.; Anwar S.R.; Manju Bargavi S.K.; Das Adhikary D.R.; Jegan Antony Marcilin L.</t>
        </is>
      </c>
      <c r="C52" s="49" t="n">
        <v>2025</v>
      </c>
      <c r="D52" s="49" t="inlineStr">
        <is>
          <t>Supply Chain Resilient Security for Industrial 4.0 Using AI-Based and Digital Twin Anomaly Detection</t>
        </is>
      </c>
      <c r="E52" s="49" t="inlineStr">
        <is>
          <t>Proceedings of the 2025 International Conference on Computational Intelligence, Security, and Artificial Intelligence, IntelliSecAI 2025</t>
        </is>
      </c>
      <c r="F52" s="49" t="inlineStr">
        <is>
          <t>Conference paper</t>
        </is>
      </c>
      <c r="G52" s="49" t="inlineStr">
        <is>
          <t>10.1109/intellisecai66368.2025.11472943</t>
        </is>
      </c>
      <c r="H52" s="49" t="inlineStr">
        <is>
          <t>https://doi.org/10.1109/intellisecai66368.2025.11472943</t>
        </is>
      </c>
      <c r="I52" s="49" t="inlineStr"/>
      <c r="J52" s="49" t="inlineStr"/>
      <c r="K52" s="60" t="inlineStr">
        <is>
          <t>N</t>
        </is>
      </c>
      <c r="L52" s="60" t="inlineStr">
        <is>
          <t>https://doi.org/10.1109/intellisecai66368.2025.11472943</t>
        </is>
      </c>
      <c r="M52" s="60" t="n"/>
      <c r="N52" s="60" t="n"/>
      <c r="O52"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52" s="60" t="inlineStr">
        <is>
          <t>2026-09-06</t>
        </is>
      </c>
      <c r="Q52" s="16" t="inlineStr">
        <is>
          <t>Confirmado 2026-09-06 por Rodrigo (vibo)</t>
        </is>
      </c>
    </row>
    <row r="53">
      <c r="A53" s="49" t="inlineStr">
        <is>
          <t>R0162</t>
        </is>
      </c>
      <c r="B53" s="49" t="inlineStr">
        <is>
          <t>Croft B.L.</t>
        </is>
      </c>
      <c r="C53" s="49" t="n">
        <v>2025</v>
      </c>
      <c r="D53" s="49" t="inlineStr">
        <is>
          <t>Plan Future Graph Visualization and Improvement</t>
        </is>
      </c>
      <c r="E53" s="49" t="inlineStr">
        <is>
          <t>Communications in Computer and Information Science</t>
        </is>
      </c>
      <c r="F53" s="49" t="inlineStr">
        <is>
          <t>Conference paper</t>
        </is>
      </c>
      <c r="G53" s="49" t="inlineStr">
        <is>
          <t>10.1007/978-3-031-78531-3_20</t>
        </is>
      </c>
      <c r="H53" s="49" t="inlineStr">
        <is>
          <t>https://doi.org/10.1007/978-3-031-78531-3_20</t>
        </is>
      </c>
      <c r="I53" s="49" t="inlineStr"/>
      <c r="J53" s="49" t="inlineStr"/>
      <c r="K53" s="60" t="inlineStr">
        <is>
          <t>N</t>
        </is>
      </c>
      <c r="L53" s="60" t="inlineStr">
        <is>
          <t>https://link-springer-com.hull.idm.oclc.org/chapter/10.1007/978-3-031-78531-3_20</t>
        </is>
      </c>
      <c r="M53" s="60" t="n"/>
      <c r="N53" s="60" t="n"/>
      <c r="O53" s="60" t="inlineStr">
        <is>
          <t>NO RECUPERADO. NO RECUPERADO: la página Springer vía proxy Hull muestra solo el resumen y 'This is a preview of subscription content' (esperé 8 s). Semantic Scholar: DOI no indexado; sin copia abierta. Requiere PDF manual (CCIS 2320, HCII 2024 poster). Ojo: el gemelo con GOAP es 'Phase Two' en futuro; escenario de entrega terrestre logística de origen militar (NIWC Pacific).</t>
        </is>
      </c>
      <c r="P53" s="60" t="inlineStr">
        <is>
          <t>2026-09-06</t>
        </is>
      </c>
      <c r="Q53" s="16" t="inlineStr">
        <is>
          <t>Confirmado 2026-09-06 por Rodrigo (vibo)</t>
        </is>
      </c>
    </row>
    <row r="54">
      <c r="A54" s="49" t="inlineStr">
        <is>
          <t>R0164</t>
        </is>
      </c>
      <c r="B54" s="49" t="inlineStr">
        <is>
          <t>Luo B.; Chen H.</t>
        </is>
      </c>
      <c r="C54" s="49" t="n">
        <v>2025</v>
      </c>
      <c r="D54" s="49" t="inlineStr">
        <is>
          <t>Design of a Geographic Path Model for Dongguan Export Based on Multi-Agent Reinforcement Learning and Supply Chain Simulation</t>
        </is>
      </c>
      <c r="E54" s="49" t="inlineStr">
        <is>
          <t>Proceedings of the 2025 5th International Conference on Internet of Things and Machine Learning, IoTML 2025</t>
        </is>
      </c>
      <c r="F54" s="49" t="inlineStr">
        <is>
          <t>Conference paper</t>
        </is>
      </c>
      <c r="G54" s="49" t="inlineStr">
        <is>
          <t>10.1145/3749566.3749610</t>
        </is>
      </c>
      <c r="H54" s="49" t="inlineStr">
        <is>
          <t>https://doi.org/10.1145/3749566.3749610</t>
        </is>
      </c>
      <c r="I54" s="49" t="inlineStr"/>
      <c r="J54" s="49" t="inlineStr"/>
      <c r="K54" s="60" t="inlineStr">
        <is>
          <t>Y</t>
        </is>
      </c>
      <c r="L54" s="60" t="inlineStr">
        <is>
          <t>https://dl-acm-org.hull.idm.oclc.org/doi/10.1145/3749566.3749610 (Hull proxy, loaded directly; article marked FREE ACCESS, CC BY 4.0; full HTML read, PDF mode not needed; IoTML '25 pp. 209-215; equations linearised in the saved text)</t>
        </is>
      </c>
      <c r="M54" s="60" t="inlineStr">
        <is>
          <t>Include</t>
        </is>
      </c>
      <c r="N54" s="60" t="n"/>
      <c r="O54" s="60" t="inlineStr">
        <is>
          <t>Incluido: cumple los tres criterios (gemelo digital de simulación del corredor exportador, MARL Double Dueling DQN, logística de exportación). Dudas serias de calidad: ACM ICPS; cifras contradictorias (300 vs 17 empresas; 22,1%/22,6%/18,7%); datos «de 2025» en congreso de mayo 2025; referencia [9] citada como Syntetos. Considerar «Not peer-reviewed / low-quality venue». HITL implícito; alternativas: nivel 4, Not discussed. [citas verificadas: 6 ok, 0 no encontradas]</t>
        </is>
      </c>
      <c r="P54" s="60" t="inlineStr">
        <is>
          <t>2026-09-06</t>
        </is>
      </c>
      <c r="Q54" s="16" t="inlineStr">
        <is>
          <t>Confirmado 2026-09-06 por Rodrigo (vibo)</t>
        </is>
      </c>
    </row>
    <row r="55">
      <c r="A55" s="49" t="inlineStr">
        <is>
          <t>R0166</t>
        </is>
      </c>
      <c r="B55" s="49" t="inlineStr">
        <is>
          <t>William P.; Singh T.P.; Ayasrah F.T.; Sivaperumal S.; Aluvalu R.; Kavitha Rani P.</t>
        </is>
      </c>
      <c r="C55" s="49" t="n">
        <v>2025</v>
      </c>
      <c r="D55" s="49" t="inlineStr">
        <is>
          <t>Federated Learning-Driven Digital Twins for Adaptive Optimization in Industrial IoT Systems</t>
        </is>
      </c>
      <c r="E55" s="49" t="inlineStr">
        <is>
          <t>2025 3rd International Conference on Foundation and Large Language Models, FLLM 2025</t>
        </is>
      </c>
      <c r="F55" s="49" t="inlineStr">
        <is>
          <t>Conference paper</t>
        </is>
      </c>
      <c r="G55" s="49" t="inlineStr">
        <is>
          <t>10.1109/fllm67465.2025.11391005</t>
        </is>
      </c>
      <c r="H55" s="49" t="inlineStr">
        <is>
          <t>https://doi.org/10.1109/fllm67465.2025.11391005</t>
        </is>
      </c>
      <c r="I55" s="49" t="inlineStr"/>
      <c r="J55" s="49" t="inlineStr">
        <is>
          <t>encuadre logístico débil ("simulated environments like factories, power grids, and logistics networks"), precedente R0077; el texto completo decide.</t>
        </is>
      </c>
      <c r="K55" s="60" t="inlineStr">
        <is>
          <t>N</t>
        </is>
      </c>
      <c r="L55" s="60" t="inlineStr">
        <is>
          <t>https://doi.org/10.1109/fllm67465.2025.11391005</t>
        </is>
      </c>
      <c r="M55" s="60" t="n"/>
      <c r="N55" s="60" t="n"/>
      <c r="O55"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55" s="60" t="inlineStr">
        <is>
          <t>2026-09-06</t>
        </is>
      </c>
      <c r="Q55" s="16" t="inlineStr">
        <is>
          <t>Confirmado 2026-09-06 por Rodrigo (vibo)</t>
        </is>
      </c>
    </row>
    <row r="56">
      <c r="A56" s="49" t="inlineStr">
        <is>
          <t>R0167</t>
        </is>
      </c>
      <c r="B56" s="49" t="inlineStr">
        <is>
          <t>Gottimukkala S.R.; Bhuram S.K.</t>
        </is>
      </c>
      <c r="C56" s="49" t="n">
        <v>2025</v>
      </c>
      <c r="D56" s="49" t="inlineStr">
        <is>
          <t>Prescriptive Analytics for Next-Gen Supply Chains: Integrating Causal AI with Digital Twin Technologies</t>
        </is>
      </c>
      <c r="E56" s="49" t="inlineStr">
        <is>
          <t>2025 IEEE International Conference on Pattern Recognition, Machine Vision and Artificial Intelligence, PRMVAI 2025</t>
        </is>
      </c>
      <c r="F56" s="49" t="inlineStr">
        <is>
          <t>Conference paper</t>
        </is>
      </c>
      <c r="G56" s="49" t="inlineStr">
        <is>
          <t>10.1109/prmvai65741.2025.11108465</t>
        </is>
      </c>
      <c r="H56" s="49" t="inlineStr">
        <is>
          <t>https://doi.org/10.1109/prmvai65741.2025.11108465</t>
        </is>
      </c>
      <c r="I56" s="49" t="inlineStr"/>
      <c r="J56" s="49" t="inlineStr"/>
      <c r="K56" s="60" t="inlineStr">
        <is>
          <t>N</t>
        </is>
      </c>
      <c r="L56" s="60" t="inlineStr">
        <is>
          <t>https://doi.org/10.1109/prmvai65741.2025.11108465</t>
        </is>
      </c>
      <c r="M56" s="60" t="n"/>
      <c r="N56" s="60" t="n"/>
      <c r="O56"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56" s="60" t="inlineStr">
        <is>
          <t>2026-09-06</t>
        </is>
      </c>
      <c r="Q56" s="16" t="inlineStr">
        <is>
          <t>Confirmado 2026-09-06 por Rodrigo (vibo)</t>
        </is>
      </c>
    </row>
    <row r="57">
      <c r="A57" s="49" t="inlineStr">
        <is>
          <t>R0172</t>
        </is>
      </c>
      <c r="B57" s="49" t="inlineStr">
        <is>
          <t>Lad M.; Singla L.</t>
        </is>
      </c>
      <c r="C57" s="49" t="n">
        <v>2025</v>
      </c>
      <c r="D57" s="49" t="inlineStr">
        <is>
          <t>Development of a Digital Twin for Global Sourcing Strategy Simulation</t>
        </is>
      </c>
      <c r="E57" s="49" t="inlineStr">
        <is>
          <t>Proceedings - 2025 3rd International Conference on Logistics Engineering, Supply Chain and Digital Transformation, LESCDT 2025</t>
        </is>
      </c>
      <c r="F57" s="49" t="inlineStr">
        <is>
          <t>Conference paper</t>
        </is>
      </c>
      <c r="G57" s="49" t="inlineStr">
        <is>
          <t>10.1109/lescdt66758.2025.00026</t>
        </is>
      </c>
      <c r="H57" s="49" t="inlineStr">
        <is>
          <t>https://doi.org/10.1109/lescdt66758.2025.00026</t>
        </is>
      </c>
      <c r="I57" s="49" t="inlineStr"/>
      <c r="J57" s="49" t="inlineStr"/>
      <c r="K57" s="60" t="inlineStr">
        <is>
          <t>N</t>
        </is>
      </c>
      <c r="L57" s="60" t="inlineStr">
        <is>
          <t>https://doi.org/10.1109/lescdt66758.2025.00026</t>
        </is>
      </c>
      <c r="M57" s="60" t="n"/>
      <c r="N57" s="60" t="n"/>
      <c r="O57"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57" s="60" t="inlineStr">
        <is>
          <t>2026-09-06</t>
        </is>
      </c>
      <c r="Q57" s="16" t="inlineStr">
        <is>
          <t>Confirmado 2026-09-06 por Rodrigo (vibo)</t>
        </is>
      </c>
    </row>
    <row r="58">
      <c r="A58" s="49" t="inlineStr">
        <is>
          <t>R0173</t>
        </is>
      </c>
      <c r="B58" s="49" t="inlineStr">
        <is>
          <t>Paul S.</t>
        </is>
      </c>
      <c r="C58" s="49" t="n">
        <v>2025</v>
      </c>
      <c r="D58" s="49" t="inlineStr">
        <is>
          <t>Integration of Digital Twin and AI-enabled ERP Systems: A Conceptual Framework for Intelligent Electronics Manufacturing Services</t>
        </is>
      </c>
      <c r="E58" s="49" t="inlineStr">
        <is>
          <t>2025 6th International Conference on Communications, Information, Electronic and Energy Systems, CIEES 2025 - Conference Proceedings</t>
        </is>
      </c>
      <c r="F58" s="49" t="inlineStr">
        <is>
          <t>Conference paper</t>
        </is>
      </c>
      <c r="G58" s="49" t="inlineStr">
        <is>
          <t>10.1109/ciees66347.2025.11300246</t>
        </is>
      </c>
      <c r="H58" s="49" t="inlineStr">
        <is>
          <t>https://doi.org/10.1109/ciees66347.2025.11300246</t>
        </is>
      </c>
      <c r="I58" s="49" t="inlineStr">
        <is>
          <t>Make</t>
        </is>
      </c>
      <c r="J58" s="49" t="inlineStr"/>
      <c r="K58" s="60" t="inlineStr">
        <is>
          <t>Y</t>
        </is>
      </c>
      <c r="L58" s="60" t="inlineStr">
        <is>
          <t>https://www.researchgate.net/profile/Subhajit-Paul-19/publication/399077906_Integration_of_Digital_Twin_and_AI-enabled_ERP_Systems_A_Conceptual_Framework_for_Intelligent_Electronics_Manufacturing_Services/links/69ab8e94940e2d5e03ce0e7f/Integration-of</t>
        </is>
      </c>
      <c r="M58" s="60" t="inlineStr">
        <is>
          <t>Include</t>
        </is>
      </c>
      <c r="N58" s="60" t="n"/>
      <c r="O58" s="60" t="inlineStr">
        <is>
          <t>Marco conceptual DT+ERP-IA para EMS: arquitectura de cinco capas con flujos de datos; encaje Make y tambien Plan/Source/Deliver (compras, 3PL, OEM). Dudas para Rodrigo: la IA solo se nombra por familias (ML, vision, NLP, GenAI, agentes), sin algoritmo ni validacion; el gemelo es de planta, el alcance extremo a extremo es del ERP; humano solo como interfaz AR/VR. [citas verificadas: 6 ok, 0 no encontradas]</t>
        </is>
      </c>
      <c r="P58" s="60" t="inlineStr">
        <is>
          <t>2026-09-06</t>
        </is>
      </c>
      <c r="Q58" s="16" t="inlineStr">
        <is>
          <t>Confirmado 2026-09-06 por Rodrigo (vibo)</t>
        </is>
      </c>
    </row>
    <row r="59">
      <c r="A59" s="49" t="inlineStr">
        <is>
          <t>R0174</t>
        </is>
      </c>
      <c r="B59" s="49" t="inlineStr">
        <is>
          <t>Manoharan G.; Gharat A.; Banu R.N.; Soni A.; Sudhakar K.; Dhanke J.A.</t>
        </is>
      </c>
      <c r="C59" s="49" t="n">
        <v>2025</v>
      </c>
      <c r="D59" s="49" t="inlineStr">
        <is>
          <t>Digital Twin-Enabled Supply Chain Management in Cloud-based Smart Enterprises</t>
        </is>
      </c>
      <c r="E59" s="49" t="inlineStr">
        <is>
          <t>Proceedings of the 6th International Conference on Smart Electronics and Communication, ICOSEC 2025</t>
        </is>
      </c>
      <c r="F59" s="49" t="inlineStr">
        <is>
          <t>Conference paper</t>
        </is>
      </c>
      <c r="G59" s="49" t="inlineStr">
        <is>
          <t>10.1109/icosec67334.2025.11459761</t>
        </is>
      </c>
      <c r="H59" s="49" t="inlineStr">
        <is>
          <t>https://doi.org/10.1109/icosec67334.2025.11459761</t>
        </is>
      </c>
      <c r="I59" s="49" t="inlineStr"/>
      <c r="J59" s="49" t="inlineStr">
        <is>
          <t>sensibilidad: ver nota de cribado</t>
        </is>
      </c>
      <c r="K59" s="60" t="inlineStr">
        <is>
          <t>Y</t>
        </is>
      </c>
      <c r="L59" s="60" t="inlineStr">
        <is>
          <t>https://www.researchgate.net/profile/Jyoti_Dhanke2/publication/403602539_Digital_Twin-Enabled_Supply_Chain_Management_in_Cloud-based_Smart_Enterprises/links/69da6f0500864436152c14f8/Digital-Twin-Enabled-Supply-Chain-Management-in-Cloud-based-Smart-En</t>
        </is>
      </c>
      <c r="M59" s="60" t="inlineStr">
        <is>
          <t>Include</t>
        </is>
      </c>
      <c r="N59" s="60" t="n"/>
      <c r="O59" s="60" t="inlineStr">
        <is>
          <t>Incluido: gemelo por activo con degradacion (ec.3-4), ambito logistico claro y FL+MAS sobre dataset sintetico de Kaggle; agentes deciden y ejecutan sin humano. DUDAS: F1 98,9 imposible con P96,5/R98,7 y choca con el ~90% de Fig.4; refs [10],[12],[14],[16] no corresponden al texto; URL con utm_source=chatgpt.com. Sugiero baja calidad en sensibilidad. Make dudoso: solo mantenimiento de activos fabriles. [citas verificadas: 6 ok, 0 no encontradas]</t>
        </is>
      </c>
      <c r="P59" s="60" t="inlineStr">
        <is>
          <t>2026-09-06</t>
        </is>
      </c>
      <c r="Q59" s="16" t="inlineStr">
        <is>
          <t>Confirmado 2026-09-06 por Rodrigo (vibo)</t>
        </is>
      </c>
    </row>
    <row r="60">
      <c r="A60" s="49" t="inlineStr">
        <is>
          <t>R0178</t>
        </is>
      </c>
      <c r="B60" s="49" t="inlineStr">
        <is>
          <t>Abdullahi I.; Larijani H.; Liarokapis D.; Paterson J.; Jones D.; Murray S.</t>
        </is>
      </c>
      <c r="C60" s="49" t="n">
        <v>2025</v>
      </c>
      <c r="D60" s="49" t="inlineStr">
        <is>
          <t>A Data-Intelligence-Driven Digital Twin Framework for Improving Sustainability in Logistics</t>
        </is>
      </c>
      <c r="E60" s="49" t="inlineStr">
        <is>
          <t>Applied Sciences (Switzerland)</t>
        </is>
      </c>
      <c r="F60" s="49" t="inlineStr">
        <is>
          <t>Article</t>
        </is>
      </c>
      <c r="G60" s="49" t="inlineStr">
        <is>
          <t>10.3390/app15020601</t>
        </is>
      </c>
      <c r="H60" s="49" t="inlineStr">
        <is>
          <t>https://doi.org/10.3390/app15020601</t>
        </is>
      </c>
      <c r="I60" s="49" t="inlineStr"/>
      <c r="J60" s="49" t="inlineStr"/>
      <c r="K60" s="60" t="inlineStr">
        <is>
          <t>Y</t>
        </is>
      </c>
      <c r="L60" s="60" t="inlineStr">
        <is>
          <t>https://doi.org/10.3390/app15020601 (resolved to the MDPI open-access article page; tool reported https://mdpi.com)</t>
        </is>
      </c>
      <c r="M60" s="60" t="inlineStr">
        <is>
          <t>Include</t>
        </is>
      </c>
      <c r="N60" s="60" t="n"/>
      <c r="O60" s="60" t="inlineStr">
        <is>
          <t>Incluido: gemelo logístico implementado (Azure Digital Twins + Databricks, flujo bidireccional) en John G Russell Transport, con RL (MDP+TSP) que recomienda asignaciones/rutas y planificadores que aceptan/rechazan (feedback como recompensa). Dudas: resultados preliminares (escenarios what-if sobre datos reales 2023, no despliegue en vivo) → ¿Empirical case vs Simulation? Plan=Y por planificación de trabajos (sP4); hitl_role podría ser Elevated. [citas verificadas: 6 ok, 0 no encontradas]</t>
        </is>
      </c>
      <c r="P60" s="60" t="inlineStr">
        <is>
          <t>2026-09-06</t>
        </is>
      </c>
      <c r="Q60" s="16" t="inlineStr">
        <is>
          <t>Confirmado 2026-09-06 por Rodrigo (vibo)</t>
        </is>
      </c>
    </row>
    <row r="61">
      <c r="A61" s="49" t="inlineStr">
        <is>
          <t>R0183</t>
        </is>
      </c>
      <c r="B61" s="49" t="inlineStr">
        <is>
          <t>Velmurugadass P.; Anusha P.; Sri T.N.; Lakshmi K.C.; Charvitha Y.</t>
        </is>
      </c>
      <c r="C61" s="49" t="n">
        <v>2025</v>
      </c>
      <c r="D61" s="49" t="inlineStr">
        <is>
          <t>Quantum-Edge AI Framework for Real-Time Vehicle-Cargo Matching in Intelligent Transportation Systems</t>
        </is>
      </c>
      <c r="E61" s="49" t="inlineStr">
        <is>
          <t>2025 IEEE 1st International Conference on Recent Trends in Computing and Smart Mobility, RCSM 2025</t>
        </is>
      </c>
      <c r="F61" s="49" t="inlineStr">
        <is>
          <t>Conference paper</t>
        </is>
      </c>
      <c r="G61" s="49" t="inlineStr">
        <is>
          <t>10.1109/rcsm67767.2025.11507641</t>
        </is>
      </c>
      <c r="H61" s="49" t="inlineStr">
        <is>
          <t>https://doi.org/10.1109/rcsm67767.2025.11507641</t>
        </is>
      </c>
      <c r="I61" s="49" t="inlineStr"/>
      <c r="J61" s="49" t="inlineStr"/>
      <c r="K61" s="60" t="inlineStr">
        <is>
          <t>N</t>
        </is>
      </c>
      <c r="L61" s="60" t="inlineStr">
        <is>
          <t>https://doi.org/10.1109/rcsm67767.2025.11507641</t>
        </is>
      </c>
      <c r="M61" s="60" t="n"/>
      <c r="N61" s="60" t="n"/>
      <c r="O61"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61" s="60" t="inlineStr">
        <is>
          <t>2026-09-06</t>
        </is>
      </c>
      <c r="Q61" s="16" t="inlineStr">
        <is>
          <t>Confirmado 2026-09-06 por Rodrigo (vibo)</t>
        </is>
      </c>
    </row>
    <row r="62">
      <c r="A62" s="49" t="inlineStr">
        <is>
          <t>R0184</t>
        </is>
      </c>
      <c r="B62" s="49" t="inlineStr">
        <is>
          <t>Benahmed S.; Benkhira M.; hansal A.</t>
        </is>
      </c>
      <c r="C62" s="49" t="n">
        <v>2025</v>
      </c>
      <c r="D62" s="49" t="inlineStr">
        <is>
          <t>The smart supply chain management: Huawei's innovative approach</t>
        </is>
      </c>
      <c r="E62" s="49" t="inlineStr">
        <is>
          <t>European Journal of Management Studies</t>
        </is>
      </c>
      <c r="F62" s="49" t="inlineStr">
        <is>
          <t>Article</t>
        </is>
      </c>
      <c r="G62" s="49" t="inlineStr">
        <is>
          <t>10.1108/ejms-03-2025-0028</t>
        </is>
      </c>
      <c r="H62" s="49" t="inlineStr">
        <is>
          <t>https://doi.org/10.1108/ejms-03-2025-0028</t>
        </is>
      </c>
      <c r="I62" s="49" t="inlineStr"/>
      <c r="J62" s="49" t="inlineStr">
        <is>
          <t>sensibilidad: ver nota de cribado</t>
        </is>
      </c>
      <c r="K62" s="60" t="inlineStr">
        <is>
          <t>Y</t>
        </is>
      </c>
      <c r="L62" s="60" t="inlineStr">
        <is>
          <t>https://www.emerald.com/ejms/article/31/2/87/1334433/The-smart-supply-chain-management-Huawei-s</t>
        </is>
      </c>
      <c r="M62" s="60" t="inlineStr">
        <is>
          <t>Exclude</t>
        </is>
      </c>
      <c r="N62" s="60" t="inlineStr">
        <is>
          <t>No AI/ML component</t>
        </is>
      </c>
      <c r="O62" s="60" t="inlineStr">
        <is>
          <t>Propongo excluir (límite): caso único con datos secundarios corporativos; el gemelo y los 'self-learning algorithms' solo se afirman, sin arquitectura/método; lo único especificado es optimización MOCO/LP/MIP (IO clásica). Rol humano: flujo manual 'using experience' sustituido por recomendación y ejecución automáticas 'with minimal human intervention'; validación humana solo normativa. Si se acepta LP/MIP como IA: incluir, nivel 4-5, HITL reducido. [citas verificadas: 6 ok, 0 no encontradas]</t>
        </is>
      </c>
      <c r="P62" s="60" t="inlineStr">
        <is>
          <t>2026-09-06</t>
        </is>
      </c>
      <c r="Q62" s="16" t="inlineStr">
        <is>
          <t>Confirmado 2026-09-06 por Rodrigo (vibo)</t>
        </is>
      </c>
    </row>
    <row r="63">
      <c r="A63" s="49" t="inlineStr">
        <is>
          <t>R0192</t>
        </is>
      </c>
      <c r="B63" s="49" t="inlineStr">
        <is>
          <t>Ma C.; Tobias G.R.</t>
        </is>
      </c>
      <c r="C63" s="49" t="n">
        <v>2025</v>
      </c>
      <c r="D63" s="49" t="inlineStr">
        <is>
          <t>Research on Intelligent Strategy and Digital Operation of Automobile Industry Based on Artificial Intelligence</t>
        </is>
      </c>
      <c r="E63" s="49" t="inlineStr">
        <is>
          <t>Proceedings - 2025 International Conference on Low-Altitude Airspace and Artificial Intelligence, LAAI 2025</t>
        </is>
      </c>
      <c r="F63" s="49" t="inlineStr">
        <is>
          <t>Conference paper</t>
        </is>
      </c>
      <c r="G63" s="49" t="inlineStr">
        <is>
          <t>10.1109/laai69202.2025.00066</t>
        </is>
      </c>
      <c r="H63" s="49" t="inlineStr">
        <is>
          <t>https://doi.org/10.1109/laai69202.2025.00066</t>
        </is>
      </c>
      <c r="I63" s="49" t="inlineStr">
        <is>
          <t>Make</t>
        </is>
      </c>
      <c r="J63" s="49" t="inlineStr">
        <is>
          <t>ML y RL implementados con gemelo de retroalimentación; confirmar el encuadre de cadena ("supply chain forecasting" como escenario analizado) en texto completo.</t>
        </is>
      </c>
      <c r="K63" s="60" t="inlineStr">
        <is>
          <t>N</t>
        </is>
      </c>
      <c r="L63" s="60" t="inlineStr">
        <is>
          <t>https://doi.org/10.1109/laai69202.2025.00066</t>
        </is>
      </c>
      <c r="M63" s="60" t="n"/>
      <c r="N63" s="60" t="n"/>
      <c r="O63"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63" s="60" t="inlineStr">
        <is>
          <t>2026-09-06</t>
        </is>
      </c>
      <c r="Q63" s="16" t="inlineStr">
        <is>
          <t>Confirmado 2026-09-06 por Rodrigo (vibo)</t>
        </is>
      </c>
    </row>
    <row r="64">
      <c r="A64" s="49" t="inlineStr">
        <is>
          <t>R0194</t>
        </is>
      </c>
      <c r="B64" s="49" t="inlineStr">
        <is>
          <t>Ogunsoto O.V.; Olivares-Aguila J.; ElMaraghy W.</t>
        </is>
      </c>
      <c r="C64" s="49" t="n">
        <v>2025</v>
      </c>
      <c r="D64" s="49" t="inlineStr">
        <is>
          <t>A conceptual digital twin framework for supply chain recovery and resilience</t>
        </is>
      </c>
      <c r="E64" s="49" t="inlineStr">
        <is>
          <t>Supply Chain Analytics</t>
        </is>
      </c>
      <c r="F64" s="49" t="inlineStr">
        <is>
          <t>Article</t>
        </is>
      </c>
      <c r="G64" s="49" t="inlineStr">
        <is>
          <t>10.1016/j.sca.2024.100091</t>
        </is>
      </c>
      <c r="H64" s="49" t="inlineStr">
        <is>
          <t>https://doi.org/10.1016/j.sca.2024.100091</t>
        </is>
      </c>
      <c r="I64" s="49" t="inlineStr"/>
      <c r="J64" s="49" t="inlineStr"/>
      <c r="K64" s="60" t="inlineStr">
        <is>
          <t>Y</t>
        </is>
      </c>
      <c r="L64" s="60" t="inlineStr">
        <is>
          <t>https://www.sciencedirect.com/science/article/pii/S2949863524000347</t>
        </is>
      </c>
      <c r="M64" s="60" t="inlineStr">
        <is>
          <t>Include</t>
        </is>
      </c>
      <c r="N64" s="60" t="n"/>
      <c r="O64" s="60" t="inlineStr">
        <is>
          <t>Incluido: DSCT conceptual con arquitectura implementada (IoT→LSTM inundación, DES FlexSim de red real de 4 escalones, MLPNN indicador de recuperación, ERP+nube). Humano decide; el gemelo solo predice. Dudas: evidence_type podría ser 'Conceptual'; hitl_role podría leerse 'Elevated' (planificador pasa de reactivo a proactivo); scor_source=Y aunque proveedores se asumen con suministro infinito. [citas verificadas: 6 ok, 0 no encontradas]</t>
        </is>
      </c>
      <c r="P64" s="60" t="inlineStr">
        <is>
          <t>2026-09-06</t>
        </is>
      </c>
      <c r="Q64" s="16" t="inlineStr">
        <is>
          <t>Confirmado 2026-09-06 por Rodrigo (vibo)</t>
        </is>
      </c>
    </row>
    <row r="65">
      <c r="A65" s="49" t="inlineStr">
        <is>
          <t>R0201</t>
        </is>
      </c>
      <c r="B65" s="49" t="inlineStr">
        <is>
          <t>Pilutti Namer T.; Tornielli M.</t>
        </is>
      </c>
      <c r="C65" s="49" t="n">
        <v>2025</v>
      </c>
      <c r="D65" s="49" t="inlineStr">
        <is>
          <t>Fincantieri Shipyards Digital Twin Model</t>
        </is>
      </c>
      <c r="E65" s="49" t="inlineStr">
        <is>
          <t>Progress in Marine Science and Technology</t>
        </is>
      </c>
      <c r="F65" s="49" t="inlineStr">
        <is>
          <t>Conference paper</t>
        </is>
      </c>
      <c r="G65" s="49" t="inlineStr">
        <is>
          <t>10.3233/pmst250135</t>
        </is>
      </c>
      <c r="H65" s="49" t="inlineStr">
        <is>
          <t>https://doi.org/10.3233/pmst250135</t>
        </is>
      </c>
      <c r="I65" s="49" t="inlineStr">
        <is>
          <t>Make</t>
        </is>
      </c>
      <c r="J65" s="49" t="inlineStr">
        <is>
          <t>sensibilidad: ver nota de cribado</t>
        </is>
      </c>
      <c r="K65" s="60" t="inlineStr">
        <is>
          <t>Y</t>
        </is>
      </c>
      <c r="L65" s="60" t="inlineStr">
        <is>
          <t>https://ebooks.iospress.nl/doi/10.3233/PMST250135 (open-access PDF, 9 pages, fetched in-browser via POST https://ebooks.iospress.nl/Download/Pdf id=74533 and parsed with pdf.js; no login needed)</t>
        </is>
      </c>
      <c r="M65" s="60" t="inlineStr">
        <is>
          <t>Include</t>
        </is>
      </c>
      <c r="N65" s="60" t="n"/>
      <c r="O65" s="60" t="inlineStr">
        <is>
          <t>Incluir con reserva: caso industrial (Fincantieri) del gemelo de astillero con área explícita de logística/cadena de suministro (proveedores, camiones, reorden, almacén) e IA constitutiva (simulación IA, visión, algoritmos de programación, RL para robots, agentes GenAI). Dudas: nivel divulgativo, métodos sin nombrar ni evaluar; agentes GenAI en desarrollo; posible 'Other: descripción práctica sin detalle metodológico'. [citas verificadas: 6 ok, 0 no encontradas]</t>
        </is>
      </c>
      <c r="P65" s="60" t="inlineStr">
        <is>
          <t>2026-09-06</t>
        </is>
      </c>
      <c r="Q65" s="16" t="inlineStr">
        <is>
          <t>Confirmado 2026-09-06 por Rodrigo (vibo)</t>
        </is>
      </c>
    </row>
    <row r="66">
      <c r="A66" s="49" t="inlineStr">
        <is>
          <t>R0203</t>
        </is>
      </c>
      <c r="B66" s="49" t="inlineStr">
        <is>
          <t>Kochnev A.</t>
        </is>
      </c>
      <c r="C66" s="49" t="n">
        <v>2025</v>
      </c>
      <c r="D66" s="49" t="inlineStr">
        <is>
          <t>HOW AUTONOMOUS ROBOTS AND INDOOR MAPPING IMPROVE WAREHOUSE SAFETY</t>
        </is>
      </c>
      <c r="E66" s="49" t="inlineStr">
        <is>
          <t>International Multidisciplinary Scientific GeoConference Surveying Geology and Mining Ecology Management, SGEM</t>
        </is>
      </c>
      <c r="F66" s="49" t="inlineStr">
        <is>
          <t>Conference paper</t>
        </is>
      </c>
      <c r="G66" s="49" t="inlineStr">
        <is>
          <t>10.5593/sgem2025/2.1/s10.25</t>
        </is>
      </c>
      <c r="H66" s="49" t="inlineStr">
        <is>
          <t>https://doi.org/10.5593/sgem2025/2.1/s10.25</t>
        </is>
      </c>
      <c r="I66" s="49" t="inlineStr"/>
      <c r="J66" s="49" t="inlineStr"/>
      <c r="K66" s="60" t="inlineStr">
        <is>
          <t>Y</t>
        </is>
      </c>
      <c r="L66" s="60" t="inlineStr">
        <is>
          <t>https://www.sgem.org/___SGEM_UPLOADS/23226_Aleksandr_Kochnev/SGEM2025_Papers/23226_Aleksandr_Kochnev_2.pdf</t>
        </is>
      </c>
      <c r="M66" s="60" t="inlineStr">
        <is>
          <t>Include</t>
        </is>
      </c>
      <c r="N66" s="60" t="n"/>
      <c r="O66" s="60" t="inlineStr">
        <is>
          <t>Incluido: gemelo digital GIS/CAD del almacen construido y simulado (Metodos I y IV.2), logistica interna, y algoritmos AI nombrados (A*, D*, VDO-SLAM, DynaSLAM, GroundSLAM, coordinacion de flota). Dudas: 'full AMR deployment has not yet been realized'; el 'machine learning' se afirma sin modelo, datos ni entrenamiento; resultados 100% simulados; SGEM = venue debil. Confirmar inclusion. [citas verificadas: 6 ok, 0 no encontradas]</t>
        </is>
      </c>
      <c r="P66" s="60" t="inlineStr">
        <is>
          <t>2026-09-06</t>
        </is>
      </c>
      <c r="Q66" s="16" t="inlineStr">
        <is>
          <t>Confirmado 2026-09-06 por Rodrigo (vibo)</t>
        </is>
      </c>
    </row>
    <row r="67">
      <c r="A67" s="49" t="inlineStr">
        <is>
          <t>R0221</t>
        </is>
      </c>
      <c r="B67" s="49" t="inlineStr">
        <is>
          <t>Nicoletti B.; Appolloni A.</t>
        </is>
      </c>
      <c r="C67" s="49" t="n">
        <v>2025</v>
      </c>
      <c r="D67" s="49" t="inlineStr">
        <is>
          <t>The Impact of AI Foundation models on the future of digital engineering for logistics and supply Chain</t>
        </is>
      </c>
      <c r="E67" s="49" t="inlineStr">
        <is>
          <t>Digital Engineering</t>
        </is>
      </c>
      <c r="F67" s="49" t="inlineStr">
        <is>
          <t>Article</t>
        </is>
      </c>
      <c r="G67" s="49" t="inlineStr">
        <is>
          <t>10.1016/j.dte.2025.100058</t>
        </is>
      </c>
      <c r="H67" s="49" t="inlineStr">
        <is>
          <t>https://doi.org/10.1016/j.dte.2025.100058</t>
        </is>
      </c>
      <c r="I67" s="49" t="inlineStr"/>
      <c r="J67" s="49" t="inlineStr"/>
      <c r="K67" s="60" t="inlineStr">
        <is>
          <t>Y</t>
        </is>
      </c>
      <c r="L67" s="60" t="inlineStr">
        <is>
          <t>https://www.sciencedirect.com/science/article/pii/S2950550X2500024X (resolved from https://doi.org/10.1016/j.dte.2025.100058; Elsevier ScienceDirect, open access under Creative Commons license, full HTML text, sections 1-10 plus declarations)</t>
        </is>
      </c>
      <c r="M67" s="60" t="inlineStr">
        <is>
          <t>Include</t>
        </is>
      </c>
      <c r="N67" s="60" t="n"/>
      <c r="O67" s="60" t="inlineStr">
        <is>
          <t>Incluido: arquitectura CPPS/5C con gemelos FM por máquina (AI kernel LLM+RAG, agentes, KBS) y caso astillero. Dudas: gemelo solo diseñado (nivel arquitectura); caso descriptivo por entrevistas sin resultados medidos (¿Conceptual?); FMs mapeados a los seis procesos SCOR (Tabla 1, Fig. 3) pero el DT solo en Make/Enable; nivel 4 vs 5; residuo de ChatGPT en Sección 8 (calidad). [citas verificadas: 6 ok, 0 no encontradas]</t>
        </is>
      </c>
      <c r="P67" s="60" t="inlineStr">
        <is>
          <t>2026-09-06</t>
        </is>
      </c>
      <c r="Q67" s="16" t="inlineStr">
        <is>
          <t>Confirmado 2026-09-06 por Rodrigo (vibo)</t>
        </is>
      </c>
    </row>
    <row r="68">
      <c r="A68" s="49" t="inlineStr">
        <is>
          <t>R0223</t>
        </is>
      </c>
      <c r="B68" s="49" t="inlineStr">
        <is>
          <t>Ziari M.; Taleizadeh A.A.</t>
        </is>
      </c>
      <c r="C68" s="49" t="n">
        <v>2025</v>
      </c>
      <c r="D68" s="49" t="inlineStr">
        <is>
          <t>Integrated data-driven and artificial intelligence framework to develop digital twins in distribution system of supply chains: A real industrial case</t>
        </is>
      </c>
      <c r="E68" s="49" t="inlineStr">
        <is>
          <t>International Journal of Production Economics</t>
        </is>
      </c>
      <c r="F68" s="49" t="inlineStr">
        <is>
          <t>Article</t>
        </is>
      </c>
      <c r="G68" s="49" t="inlineStr">
        <is>
          <t>10.1016/j.ijpe.2025.109743</t>
        </is>
      </c>
      <c r="H68" s="49" t="inlineStr">
        <is>
          <t>https://doi.org/10.1016/j.ijpe.2025.109743</t>
        </is>
      </c>
      <c r="I68" s="49" t="inlineStr"/>
      <c r="J68" s="49" t="inlineStr"/>
      <c r="K68" s="60" t="inlineStr">
        <is>
          <t>Y</t>
        </is>
      </c>
      <c r="L68" s="60" t="inlineStr">
        <is>
          <t>https://www-sciencedirect-com.hull.idm.oclc.org/science/article/pii/S0925527325002282</t>
        </is>
      </c>
      <c r="M68" s="60" t="inlineStr">
        <is>
          <t>Include</t>
        </is>
      </c>
      <c r="N68" s="60" t="n"/>
      <c r="O68" s="60" t="inlineStr">
        <is>
          <t>Incluido: gemelo del sistema de distribución (3 capas, ERP/IoT) con regresión Elastic Net como núcleo predictivo y DSS simulación-optimización, caso real (envases vidrio/plástico). Dudas: nivel 4 vs 5 (pasajes con disparos automáticos y políticas actualizadas cada 6 h); HITL poco discutido; inconsistencias (XGBoost vs Elastic Net, 22 vs 52 variables); Make/Source por producción y compras; end_to_end N (proveedores no modelados). [citas verificadas: 6 ok, 0 no encontradas]</t>
        </is>
      </c>
      <c r="P68" s="60" t="inlineStr">
        <is>
          <t>2026-09-06</t>
        </is>
      </c>
      <c r="Q68" s="16" t="inlineStr">
        <is>
          <t>Confirmado 2026-09-06 por Rodrigo (vibo)</t>
        </is>
      </c>
    </row>
    <row r="69">
      <c r="A69" s="49" t="inlineStr">
        <is>
          <t>R0226</t>
        </is>
      </c>
      <c r="B69" s="49" t="inlineStr">
        <is>
          <t>Enugala V.K.; Goel G.</t>
        </is>
      </c>
      <c r="C69" s="49" t="n">
        <v>2025</v>
      </c>
      <c r="D69" s="49" t="inlineStr">
        <is>
          <t>AI-Driven Sustainable Infrastructure and EV Supply Chain Optimization Using BIM, LiDAR, and SAP-Based Automation</t>
        </is>
      </c>
      <c r="E69" s="49" t="inlineStr">
        <is>
          <t>Proceedings of 2025 10th International Conference on Science Technology, Engineering and Mathematics, ICONSTEM 2025</t>
        </is>
      </c>
      <c r="F69" s="49" t="inlineStr">
        <is>
          <t>Conference paper</t>
        </is>
      </c>
      <c r="G69" s="49" t="inlineStr">
        <is>
          <t>10.1109/iconstem65670.2025.11374619</t>
        </is>
      </c>
      <c r="H69" s="49" t="inlineStr">
        <is>
          <t>https://doi.org/10.1109/iconstem65670.2025.11374619</t>
        </is>
      </c>
      <c r="I69" s="49" t="inlineStr"/>
      <c r="J69" s="49" t="inlineStr">
        <is>
          <t>sensibilidad: ver nota de cribado</t>
        </is>
      </c>
      <c r="K69" s="60" t="inlineStr">
        <is>
          <t>N</t>
        </is>
      </c>
      <c r="L69" s="60" t="inlineStr">
        <is>
          <t>https://doi.org/10.1109/iconstem65670.2025.11374619</t>
        </is>
      </c>
      <c r="M69" s="60" t="n"/>
      <c r="N69" s="60" t="n"/>
      <c r="O69"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69" s="60" t="inlineStr">
        <is>
          <t>2026-09-06</t>
        </is>
      </c>
      <c r="Q69" s="16" t="inlineStr">
        <is>
          <t>Confirmado 2026-09-06 por Rodrigo (vibo)</t>
        </is>
      </c>
    </row>
    <row r="70">
      <c r="A70" s="49" t="inlineStr">
        <is>
          <t>R0233</t>
        </is>
      </c>
      <c r="B70" s="49" t="inlineStr">
        <is>
          <t>Lee D.; Kang Y.-S.; Do Noh S.; Kim J.; Kim H.</t>
        </is>
      </c>
      <c r="C70" s="49" t="n">
        <v>2024</v>
      </c>
      <c r="D70" s="49" t="inlineStr">
        <is>
          <t>Digital Twin-Driven Reinforcement Learning for Dynamic Path Planning of AGV Systems</t>
        </is>
      </c>
      <c r="E70" s="49" t="inlineStr">
        <is>
          <t>IFIP Advances in Information and Communication Technology</t>
        </is>
      </c>
      <c r="F70" s="49" t="inlineStr">
        <is>
          <t>Conference paper</t>
        </is>
      </c>
      <c r="G70" s="49" t="inlineStr">
        <is>
          <t>10.1007/978-3-031-71633-1_25</t>
        </is>
      </c>
      <c r="H70" s="49" t="inlineStr">
        <is>
          <t>https://doi.org/10.1007/978-3-031-71633-1_25</t>
        </is>
      </c>
      <c r="I70" s="49" t="inlineStr">
        <is>
          <t>Make</t>
        </is>
      </c>
      <c r="J70" s="49" t="inlineStr"/>
      <c r="K70" s="60" t="inlineStr">
        <is>
          <t>N</t>
        </is>
      </c>
      <c r="L70" s="60" t="inlineStr">
        <is>
          <t>https://link-springer-com.hull.idm.oclc.org/chapter/10.1007/978-3-031-71633-1_25</t>
        </is>
      </c>
      <c r="M70" s="60" t="n"/>
      <c r="N70" s="60" t="n"/>
      <c r="O70" s="60" t="inlineStr">
        <is>
          <t>NO RECUPERADO. NO RECUPERADO: Springer vía proxy Hull muestra solo el resumen + 'preview of subscription content' (IFIP AICT 731, sin suscripción). Única copia OA (Semantic Scholar/OpenAlex/API HAL): hal-05283256, PDF 560959_1_En_25_Chapter.pdf bajo embargo hasta 2027-01-01 (CC BY). Requiere PDF manual. Resumen sugiere candidato fuerte: DT + Q-learning para AGV en logística de producción, sitio real.</t>
        </is>
      </c>
      <c r="P70" s="60" t="inlineStr">
        <is>
          <t>2026-09-06</t>
        </is>
      </c>
      <c r="Q70" s="16" t="inlineStr">
        <is>
          <t>Confirmado 2026-09-06 por Rodrigo (vibo)</t>
        </is>
      </c>
    </row>
    <row r="71">
      <c r="A71" s="49" t="inlineStr">
        <is>
          <t>R0237</t>
        </is>
      </c>
      <c r="B71" s="49" t="inlineStr">
        <is>
          <t>Monizza G.P.; Mozaffari M.; Fabbrizzi S.; Gamper J.; Lanz O.; Matt D.T.</t>
        </is>
      </c>
      <c r="C71" s="49" t="n">
        <v>2024</v>
      </c>
      <c r="D71" s="49" t="inlineStr">
        <is>
          <t>Defining a Cognitive Digital Twin architecture in food supply chains: the early outcomes of DSS4LCO initiative</t>
        </is>
      </c>
      <c r="E71" s="49" t="inlineStr">
        <is>
          <t>Proceedings of the International Food Operations and Processing Simulation Workshop, FOODOPS</t>
        </is>
      </c>
      <c r="F71" s="49" t="inlineStr">
        <is>
          <t>Conference paper</t>
        </is>
      </c>
      <c r="G71" s="49" t="inlineStr">
        <is>
          <t>10.46354/i3m.2024.foodops.010</t>
        </is>
      </c>
      <c r="H71" s="49" t="inlineStr">
        <is>
          <t>https://doi.org/10.46354/i3m.2024.foodops.010</t>
        </is>
      </c>
      <c r="I71" s="49" t="inlineStr"/>
      <c r="J71" s="49" t="inlineStr"/>
      <c r="K71" s="60" t="inlineStr">
        <is>
          <t>Y</t>
        </is>
      </c>
      <c r="L71" s="60" t="inlineStr">
        <is>
          <t>https://www.cal-tek.eu/proceedings/i3m/2024/foodops/010/pdf.pdf (open-access PDF, CC BY-NC-ND, linked as 'Download PDF' from the doi.org landing page https://www.cal-tek.eu/proceedings/i3m/2024/foodops/010/; read in Chrome, PDF MODE, 13 pages)</t>
        </is>
      </c>
      <c r="M71" s="60" t="inlineStr">
        <is>
          <t>Include</t>
        </is>
      </c>
      <c r="N71" s="60" t="n"/>
      <c r="O71" s="60" t="inlineStr">
        <is>
          <t>Incluido con dudas: artículo conceptual (DSR pasos 1-3) cuyo objeto es la arquitectura CDT (Fig. 3: dominio DT con IIoT, VSM, LARG y optimización multiobjetivo; dominio CDT con ontología OWL y motor ML). IA solo por paradigmas (clasificación selectiva con abstención, aprendizaje activo), sin algoritmo ni prototipo. Alternativas: excluir 'No AI/ML component'; nivel 4; hitl_role Maintained; SCOR inferido del alcance. [citas verificadas: 6 ok, 0 no encontradas]</t>
        </is>
      </c>
      <c r="P71" s="60" t="inlineStr">
        <is>
          <t>2026-09-06</t>
        </is>
      </c>
      <c r="Q71" s="16" t="inlineStr">
        <is>
          <t>Confirmado 2026-09-06 por Rodrigo (vibo)</t>
        </is>
      </c>
    </row>
    <row r="72">
      <c r="A72" s="49" t="inlineStr">
        <is>
          <t>R0249</t>
        </is>
      </c>
      <c r="B72" s="49" t="inlineStr">
        <is>
          <t>Campos M.G.G.; van Beurden P.</t>
        </is>
      </c>
      <c r="C72" s="49" t="n">
        <v>2024</v>
      </c>
      <c r="D72" s="49" t="inlineStr">
        <is>
          <t>Potential of Applying Artificial Intelligence to Hot Metal Logistics Management</t>
        </is>
      </c>
      <c r="E72" s="49" t="inlineStr">
        <is>
          <t>China's Refractories</t>
        </is>
      </c>
      <c r="F72" s="49" t="inlineStr">
        <is>
          <t>Article</t>
        </is>
      </c>
      <c r="G72" s="49" t="inlineStr">
        <is>
          <t>10.19691/j.cnki.1004-4493.2024.03.006</t>
        </is>
      </c>
      <c r="H72" s="49" t="inlineStr">
        <is>
          <t>https://doi.org/10.19691/j.cnki.1004-4493.2024.03.006</t>
        </is>
      </c>
      <c r="I72" s="49" t="inlineStr">
        <is>
          <t>Make</t>
        </is>
      </c>
      <c r="J72" s="49" t="inlineStr"/>
      <c r="K72" s="60" t="inlineStr">
        <is>
          <t>Y</t>
        </is>
      </c>
      <c r="L72" s="60" t="inlineStr">
        <is>
          <t>http://www.cnref.cn/EN/article/downloadArticleFile.do?attachType=PDF&amp;id=3294 (via http://www.cnref.cn/EN/10.19691/j.cnki.1004-4493.2024.03.006)</t>
        </is>
      </c>
      <c r="M72" s="60" t="inlineStr">
        <is>
          <t>Include</t>
        </is>
      </c>
      <c r="N72" s="60" t="n"/>
      <c r="O72" s="60" t="inlineStr">
        <is>
          <t>Incluido: gemelo digital implementado y validado con datos reales de Tata Steel IJmuiden (desviacion 5% y 8 min) para logistica intraplanta de torpedos y cucharas; RL optimiza la ruta del arrabio (-15 grados C, Tabla 1). Dudas: no nombran el algoritmo RL concreto ni recompensa; el rol humano solo se infiere (decision support + explicabilidad); paper corto de 5 paginas. [citas verificadas: 6 ok, 0 no encontradas]</t>
        </is>
      </c>
      <c r="P72" s="60" t="inlineStr">
        <is>
          <t>2026-09-06</t>
        </is>
      </c>
      <c r="Q72" s="16" t="inlineStr">
        <is>
          <t>Confirmado 2026-09-06 por Rodrigo (vibo)</t>
        </is>
      </c>
    </row>
    <row r="73">
      <c r="A73" s="49" t="inlineStr">
        <is>
          <t>R0252</t>
        </is>
      </c>
      <c r="B73" s="49" t="inlineStr">
        <is>
          <t>Corsini R.R.; Costa A.; Fichera S.; Framinan J.M.</t>
        </is>
      </c>
      <c r="C73" s="49" t="n">
        <v>2024</v>
      </c>
      <c r="D73" s="49" t="inlineStr">
        <is>
          <t>Digital twin model with machine learning and optimization for resilient production–distribution systems under disruptions</t>
        </is>
      </c>
      <c r="E73" s="49" t="inlineStr">
        <is>
          <t>Computers and Industrial Engineering</t>
        </is>
      </c>
      <c r="F73" s="49" t="inlineStr">
        <is>
          <t>Article</t>
        </is>
      </c>
      <c r="G73" s="49" t="inlineStr">
        <is>
          <t>10.1016/j.cie.2024.110145</t>
        </is>
      </c>
      <c r="H73" s="49" t="inlineStr">
        <is>
          <t>https://doi.org/10.1016/j.cie.2024.110145</t>
        </is>
      </c>
      <c r="I73" s="49" t="inlineStr"/>
      <c r="J73" s="49" t="inlineStr"/>
      <c r="K73" s="60" t="inlineStr">
        <is>
          <t>Y</t>
        </is>
      </c>
      <c r="L73" s="60" t="inlineStr">
        <is>
          <t>https://www.sciencedirect.com/science/article/pii/S0360835224002663</t>
        </is>
      </c>
      <c r="M73" s="60" t="inlineStr">
        <is>
          <t>Include</t>
        </is>
      </c>
      <c r="N73" s="60" t="n"/>
      <c r="O73" s="60" t="inlineStr">
        <is>
          <t>Incluido: DT explícito (PS/CS, Fig. 3) con ANN surrogate + PSO que reoptimiza parámetros SOUT del almacén de materias primas frente al proveedor. Evaluación solo por simulación (sistema físico emulado; empresa de semiconductores como inspiración). Lazo cerrado sin humano descrito: propongo nivel 5 y HITL 'Not discussed'; dudas: Deliver (entrega interna almacén→planta) y si prefieres 'Replaced'. [citas verificadas: 6 ok, 0 no encontradas]</t>
        </is>
      </c>
      <c r="P73" s="60" t="inlineStr">
        <is>
          <t>2026-09-06</t>
        </is>
      </c>
      <c r="Q73" s="16" t="inlineStr">
        <is>
          <t>Confirmado 2026-09-06 por Rodrigo (vibo)</t>
        </is>
      </c>
    </row>
    <row r="74">
      <c r="A74" s="49" t="inlineStr">
        <is>
          <t>R0253</t>
        </is>
      </c>
      <c r="B74" s="49" t="inlineStr">
        <is>
          <t>Choi J.W.; Patil S.; Lee C.; Park J.-H.</t>
        </is>
      </c>
      <c r="C74" s="49" t="n">
        <v>2024</v>
      </c>
      <c r="D74" s="49" t="inlineStr">
        <is>
          <t>Instance Segmentation and Digital Twin Use Case for WIP Tracking in Heavy Industry</t>
        </is>
      </c>
      <c r="E74" s="49" t="inlineStr">
        <is>
          <t>IFIP Advances in Information and Communication Technology</t>
        </is>
      </c>
      <c r="F74" s="49" t="inlineStr">
        <is>
          <t>Conference paper</t>
        </is>
      </c>
      <c r="G74" s="49" t="inlineStr">
        <is>
          <t>10.1007/978-3-031-71633-1_26</t>
        </is>
      </c>
      <c r="H74" s="49" t="inlineStr">
        <is>
          <t>https://doi.org/10.1007/978-3-031-71633-1_26</t>
        </is>
      </c>
      <c r="I74" s="49" t="inlineStr">
        <is>
          <t>Make</t>
        </is>
      </c>
      <c r="J74" s="49" t="inlineStr"/>
      <c r="K74" s="60" t="inlineStr">
        <is>
          <t>N</t>
        </is>
      </c>
      <c r="L74" s="60" t="inlineStr">
        <is>
          <t>https://link-springer-com.hull.idm.oclc.org/chapter/10.1007/978-3-031-71633-1_26</t>
        </is>
      </c>
      <c r="M74" s="60" t="n"/>
      <c r="N74" s="60" t="n"/>
      <c r="O74" s="60" t="inlineStr">
        <is>
          <t>NO RECUPERADO. NO RECUPERADO: Springer vía proxy Hull muestra solo el resumen + 'preview of subscription content' (IFIP AICT 731, sin suscripción). Única copia OA (Semantic Scholar/OpenAlex/API HAL): hal-05283247, PDF 560959_1_En_26_Chapter.pdf bajo embargo hasta 2027-01-01 (CC BY). Requiere PDF manual. Resumen: DT + segmentación de instancias para seguimiento WIP/logística intraplanta ferroviaria; antecesor APMS 2023 (10.1007/978-3-031-43670-3_39).</t>
        </is>
      </c>
      <c r="P74" s="60" t="inlineStr">
        <is>
          <t>2026-09-06</t>
        </is>
      </c>
      <c r="Q74" s="16" t="inlineStr">
        <is>
          <t>Confirmado 2026-09-06 por Rodrigo (vibo)</t>
        </is>
      </c>
    </row>
    <row r="75">
      <c r="A75" s="49" t="inlineStr">
        <is>
          <t>R0255</t>
        </is>
      </c>
      <c r="B75" s="49" t="inlineStr">
        <is>
          <t>Zhang J.; Wang Y.; Jia Z.; Ren L.</t>
        </is>
      </c>
      <c r="C75" s="49" t="n">
        <v>2024</v>
      </c>
      <c r="D75" s="49" t="inlineStr">
        <is>
          <t>A Supply Chain Digital Twins Framework with Generative Knowledge Graph</t>
        </is>
      </c>
      <c r="E75" s="49" t="inlineStr">
        <is>
          <t>Proceedings - 2024 IEEE Smart World Congress, SWC 2024 - 2024 IEEE Ubiquitous Intelligence and Computing, Autonomous and Trusted Computing, Digital Twin, Metaverse, Privacy Computing and Data Security, Scalable Computing and Communications</t>
        </is>
      </c>
      <c r="F75" s="49" t="inlineStr">
        <is>
          <t>Conference paper</t>
        </is>
      </c>
      <c r="G75" s="49" t="inlineStr">
        <is>
          <t>10.1109/swc62898.2024.00315</t>
        </is>
      </c>
      <c r="H75" s="49" t="inlineStr">
        <is>
          <t>https://doi.org/10.1109/swc62898.2024.00315</t>
        </is>
      </c>
      <c r="I75" s="49" t="inlineStr"/>
      <c r="J75" s="49" t="inlineStr"/>
      <c r="K75" s="60" t="inlineStr">
        <is>
          <t>N</t>
        </is>
      </c>
      <c r="L75" s="60" t="inlineStr">
        <is>
          <t>https://doi.org/10.1109/swc62898.2024.00315</t>
        </is>
      </c>
      <c r="M75" s="60" t="n"/>
      <c r="N75" s="60" t="n"/>
      <c r="O75"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c r="P75" s="60" t="inlineStr">
        <is>
          <t>2026-09-06</t>
        </is>
      </c>
      <c r="Q75" s="16" t="inlineStr">
        <is>
          <t>Confirmado 2026-09-06 por Rodrigo (vibo)</t>
        </is>
      </c>
    </row>
    <row r="76">
      <c r="A76" s="49" t="inlineStr">
        <is>
          <t>R0261</t>
        </is>
      </c>
      <c r="B76" s="49" t="inlineStr">
        <is>
          <t>Goel V.; Arora A.; Rani R.; Goel N.; Thakar P.; Arora H.</t>
        </is>
      </c>
      <c r="C76" s="49" t="n">
        <v>2024</v>
      </c>
      <c r="D76" s="49" t="inlineStr">
        <is>
          <t>Machine Learning Model for a Digital Twin for Predictive Maintenance and Optimization in A Fruit Supply Chain</t>
        </is>
      </c>
      <c r="E76" s="49" t="inlineStr">
        <is>
          <t>2024 International Conference on Artificial Intelligence and Quantum Computation-Based Sensor Applications, ICAIQSA 2024 - Proceedings</t>
        </is>
      </c>
      <c r="F76" s="49" t="inlineStr">
        <is>
          <t>Conference paper</t>
        </is>
      </c>
      <c r="G76" s="49" t="inlineStr">
        <is>
          <t>10.1109/icaiqsa64000.2024.10882378</t>
        </is>
      </c>
      <c r="H76" s="49" t="inlineStr">
        <is>
          <t>https://doi.org/10.1109/icaiqsa64000.2024.10882378</t>
        </is>
      </c>
      <c r="I76" s="49" t="inlineStr"/>
      <c r="J76" s="49" t="inlineStr"/>
      <c r="K76" s="60" t="inlineStr">
        <is>
          <t>N</t>
        </is>
      </c>
      <c r="L76" s="60" t="inlineStr">
        <is>
          <t>https://doi.org/10.1109/icaiqsa64000.2024.10882378</t>
        </is>
      </c>
      <c r="M76" s="60" t="n"/>
      <c r="N76" s="60" t="n"/>
      <c r="O76"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76" s="60" t="inlineStr">
        <is>
          <t>2026-09-06</t>
        </is>
      </c>
      <c r="Q76" s="16" t="inlineStr">
        <is>
          <t>Confirmado 2026-09-06 por Rodrigo (vibo)</t>
        </is>
      </c>
    </row>
    <row r="77">
      <c r="A77" s="49" t="inlineStr">
        <is>
          <t>R0270</t>
        </is>
      </c>
      <c r="B77" s="49" t="inlineStr">
        <is>
          <t>Yang C.; Yu H.; Zheng Y.; Ala-Laurinaho R.; Feng L.; Tammi K.</t>
        </is>
      </c>
      <c r="C77" s="49" t="n">
        <v>2024</v>
      </c>
      <c r="D77" s="49" t="inlineStr">
        <is>
          <t>Towards Human-Centric Manufacturing: Leveraging Digital Twin for Enhanced Industrial Processes</t>
        </is>
      </c>
      <c r="E77" s="49" t="inlineStr">
        <is>
          <t>IECON Proceedings (Industrial Electronics Conference)</t>
        </is>
      </c>
      <c r="F77" s="49" t="inlineStr">
        <is>
          <t>Conference paper</t>
        </is>
      </c>
      <c r="G77" s="49" t="inlineStr">
        <is>
          <t>10.1109/iecon55916.2024.10905474</t>
        </is>
      </c>
      <c r="H77" s="49" t="inlineStr">
        <is>
          <t>https://doi.org/10.1109/iecon55916.2024.10905474</t>
        </is>
      </c>
      <c r="I77" s="49" t="inlineStr">
        <is>
          <t>Make</t>
        </is>
      </c>
      <c r="J77" s="49" t="inlineStr"/>
      <c r="K77" s="60" t="inlineStr">
        <is>
          <t>Y</t>
        </is>
      </c>
      <c r="L77" s="60" t="inlineStr">
        <is>
          <t>https://acris.aalto.fi/ws/portalfiles/portal/180377935/ENG_Yang_et_al_Towards_human-centric_manufacturing_IECON2024.pdf</t>
        </is>
      </c>
      <c r="M77" s="60" t="inlineStr">
        <is>
          <t>Include</t>
        </is>
      </c>
      <c r="N77" s="60" t="n"/>
      <c r="O77" s="60" t="inlineStr">
        <is>
          <t>Incluido: gemelo digital implementado en laboratorio fabril de Aalto (grua, AGVs, OPC UA/MQTT, Unity) con caso de logistica intra-planta explicito; IA real (ChatGPT-4 + LangChain, RAG sobre grafo Neo4j). Dudas: la IA solo recupera informacion (extension 1); la deteccion de colisiones es por reglas, no IA; testbed de laboratorio, no planta industrial. SCOR: Make. [citas verificadas: 5 ok, 1 no encontradas]</t>
        </is>
      </c>
      <c r="P77" s="60" t="inlineStr">
        <is>
          <t>2026-09-06</t>
        </is>
      </c>
      <c r="Q77" s="16" t="inlineStr">
        <is>
          <t>Confirmado 2026-09-06 por Rodrigo (vibo)</t>
        </is>
      </c>
    </row>
    <row r="78">
      <c r="A78" s="49" t="inlineStr">
        <is>
          <t>R0272</t>
        </is>
      </c>
      <c r="B78" s="49" t="inlineStr">
        <is>
          <t>Badakhshan E.; Ball P.</t>
        </is>
      </c>
      <c r="C78" s="49" t="n">
        <v>2024</v>
      </c>
      <c r="D78" s="49" t="inlineStr">
        <is>
          <t>Deploying hybrid modelling to support the development of a digital twin for supply chain master planning under disruptions</t>
        </is>
      </c>
      <c r="E78" s="49" t="inlineStr">
        <is>
          <t>International Journal of Production Research</t>
        </is>
      </c>
      <c r="F78" s="49" t="inlineStr">
        <is>
          <t>Article</t>
        </is>
      </c>
      <c r="G78" s="49" t="inlineStr">
        <is>
          <t>10.1080/00207543.2023.2244604</t>
        </is>
      </c>
      <c r="H78" s="49" t="inlineStr">
        <is>
          <t>https://doi.org/10.1080/00207543.2023.2244604</t>
        </is>
      </c>
      <c r="I78" s="49" t="inlineStr"/>
      <c r="J78" s="49" t="inlineStr"/>
      <c r="K78" s="60" t="inlineStr">
        <is>
          <t>Y</t>
        </is>
      </c>
      <c r="L78" s="60" t="inlineStr">
        <is>
          <t>https://www.tandfonline.com/doi/full/10.1080/00207543.2023.2244604</t>
        </is>
      </c>
      <c r="M78" s="60" t="inlineStr">
        <is>
          <t>Include</t>
        </is>
      </c>
      <c r="N78" s="60" t="n"/>
      <c r="O78" s="60" t="inlineStr">
        <is>
          <t>Incluido: gemelo declarado (título; §2.4 'we develop a SC digital twin'; Fig. 2 flujo físico-digital, actualizaciones periódicas), SC dos escalones, CART ejecutado. Dudas: datos sintéticos; nivel 4 vs 5 (plan 'outputted to the physical SC for execution', pero el decisor fija inventarios mínimos); 'Classical ML' aunque híbrido DES+CART+MIP; Source=N (sin proveedores); HITL implícito (Maintained). [citas verificadas: 6 ok, 0 no encontradas]</t>
        </is>
      </c>
      <c r="P78" s="60" t="inlineStr">
        <is>
          <t>2026-09-06</t>
        </is>
      </c>
      <c r="Q78" s="16" t="inlineStr">
        <is>
          <t>Confirmado 2026-09-06 por Rodrigo (vibo)</t>
        </is>
      </c>
    </row>
    <row r="79">
      <c r="A79" s="49" t="inlineStr">
        <is>
          <t>R0273</t>
        </is>
      </c>
      <c r="B79" s="49" t="inlineStr">
        <is>
          <t>Ivanov D.</t>
        </is>
      </c>
      <c r="C79" s="49" t="n">
        <v>2024</v>
      </c>
      <c r="D79" s="49" t="inlineStr">
        <is>
          <t>Conceptualisation of a 7-element digital twin framework in supply chain and operations management</t>
        </is>
      </c>
      <c r="E79" s="49" t="inlineStr">
        <is>
          <t>International Journal of Production Research</t>
        </is>
      </c>
      <c r="F79" s="49" t="inlineStr">
        <is>
          <t>Article</t>
        </is>
      </c>
      <c r="G79" s="49" t="inlineStr">
        <is>
          <t>10.1080/00207543.2023.2217291</t>
        </is>
      </c>
      <c r="H79" s="49" t="inlineStr">
        <is>
          <t>https://doi.org/10.1080/00207543.2023.2217291</t>
        </is>
      </c>
      <c r="I79" s="49" t="inlineStr"/>
      <c r="J79" s="49" t="inlineStr"/>
      <c r="K79" s="60" t="inlineStr">
        <is>
          <t>Y</t>
        </is>
      </c>
      <c r="L79" s="60" t="inlineStr">
        <is>
          <t>https://www-tandfonline-com.hull.idm.oclc.org/doi/full/10.1080/00207543.2023.2217291</t>
        </is>
      </c>
      <c r="M79" s="60" t="inlineStr">
        <is>
          <t>Include</t>
        </is>
      </c>
      <c r="N79" s="60" t="n"/>
      <c r="O79" s="60" t="inlineStr">
        <is>
          <t>Incluido como conceptual: la IA es constitutiva del concepto (analítica como componente iii de la definición; elemento Modelling nombra redes neuronales, ML y RL; conclusión: interacción continua humano-IA). Dudas: ningún método se ejecuta; la ilustración anyLogistix es simulación/optimización ('integration with AI is possible'); método = revisión integrativa, podría codificarse Review. Make/Return solo por 'production control' y logística inversa (4.2.2). [citas verificadas: 6 ok, 0 no encontradas]</t>
        </is>
      </c>
      <c r="P79" s="60" t="inlineStr">
        <is>
          <t>2026-09-06</t>
        </is>
      </c>
      <c r="Q79" s="16" t="inlineStr">
        <is>
          <t>Confirmado 2026-09-06 por Rodrigo (vibo)</t>
        </is>
      </c>
    </row>
    <row r="80">
      <c r="A80" s="49" t="inlineStr">
        <is>
          <t>R0289</t>
        </is>
      </c>
      <c r="B80" s="49" t="inlineStr">
        <is>
          <t>Zhe W.; Xinhua Z.; Yiwei S.; Kaiqiang S.; Liang Z.; Hui D.</t>
        </is>
      </c>
      <c r="C80" s="49" t="n">
        <v>2023</v>
      </c>
      <c r="D80" s="49" t="inlineStr">
        <is>
          <t>Research on Key Technologies of CCUS Supply Chain Digital Twin System for Smart Agriculture</t>
        </is>
      </c>
      <c r="E80" s="49" t="inlineStr">
        <is>
          <t>Energy Proceedings</t>
        </is>
      </c>
      <c r="F80" s="49" t="inlineStr">
        <is>
          <t>Conference paper</t>
        </is>
      </c>
      <c r="G80" s="49" t="inlineStr">
        <is>
          <t>10.46855/energy-proceedings-10547</t>
        </is>
      </c>
      <c r="H80" s="49" t="inlineStr">
        <is>
          <t>https://doi.org/10.46855/energy-proceedings-10547</t>
        </is>
      </c>
      <c r="I80" s="49" t="inlineStr"/>
      <c r="J80" s="49" t="inlineStr"/>
      <c r="K80" s="60" t="inlineStr">
        <is>
          <t>Y</t>
        </is>
      </c>
      <c r="L80" s="60" t="inlineStr">
        <is>
          <t>https://www.energy-proceedings.org/wp-content/uploads/iccusc2023/1690608573151593000.pdf</t>
        </is>
      </c>
      <c r="M80" s="60" t="inlineStr">
        <is>
          <t>Exclude</t>
        </is>
      </c>
      <c r="N80" s="60" t="inlineStr">
        <is>
          <t>No digital twin / digital model</t>
        </is>
      </c>
      <c r="O80" s="60" t="inlineStr">
        <is>
          <t>Excluir: el gemelo solo se esboza (Fig 1 flujo, Fig 2 render 3D) más listas genéricas de beneficios; sin implementación ni resultados pese a afirmar 'verificación experimental'. IA especificada (DQN) solo para control del proceso de captura; la predicción de demanda no tiene método. Cadena de suministro solo en título/resumen. Calidad baja (5 pp., 3 refs). Duda: revisar Fig 1. [citas verificadas: 6 ok, 0 no encontradas]</t>
        </is>
      </c>
      <c r="P80" s="60" t="inlineStr">
        <is>
          <t>2026-09-06</t>
        </is>
      </c>
      <c r="Q80" s="16" t="inlineStr">
        <is>
          <t>Confirmado 2026-09-06 por Rodrigo (vibo)</t>
        </is>
      </c>
    </row>
    <row r="81">
      <c r="A81" s="49" t="inlineStr">
        <is>
          <t>R0290</t>
        </is>
      </c>
      <c r="B81" s="49" t="inlineStr">
        <is>
          <t>Li N.; Sun J.</t>
        </is>
      </c>
      <c r="C81" s="49" t="n">
        <v>2023</v>
      </c>
      <c r="D81" s="49" t="inlineStr">
        <is>
          <t>Research on the Application of Digital Twin Technology in Intelligent Information System of Modern Logistics Warehouse</t>
        </is>
      </c>
      <c r="E81" s="49" t="inlineStr">
        <is>
          <t>2023 IEEE 3rd International Conference on Data Science and Computer Application, ICDSCA 2023</t>
        </is>
      </c>
      <c r="F81" s="49" t="inlineStr">
        <is>
          <t>Conference paper</t>
        </is>
      </c>
      <c r="G81" s="49" t="inlineStr">
        <is>
          <t>10.1109/icdsca59871.2023.10392494</t>
        </is>
      </c>
      <c r="H81" s="49" t="inlineStr">
        <is>
          <t>https://doi.org/10.1109/icdsca59871.2023.10392494</t>
        </is>
      </c>
      <c r="I81" s="49" t="inlineStr"/>
      <c r="J81" s="49" t="inlineStr"/>
      <c r="K81" s="60" t="inlineStr">
        <is>
          <t>N</t>
        </is>
      </c>
      <c r="L81" s="60" t="inlineStr">
        <is>
          <t>https://doi.org/10.1109/icdsca59871.2023.10392494</t>
        </is>
      </c>
      <c r="M81" s="60" t="n"/>
      <c r="N81" s="60" t="n"/>
      <c r="O81"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81" s="60" t="inlineStr">
        <is>
          <t>2026-09-06</t>
        </is>
      </c>
      <c r="Q81" s="16" t="inlineStr">
        <is>
          <t>Confirmado 2026-09-06 por Rodrigo (vibo)</t>
        </is>
      </c>
    </row>
    <row r="82">
      <c r="A82" s="49" t="inlineStr">
        <is>
          <t>R0291</t>
        </is>
      </c>
      <c r="B82" s="49" t="inlineStr">
        <is>
          <t>Tang Y.M.; Kuo W.T.; Lee C.K.M.</t>
        </is>
      </c>
      <c r="C82" s="49" t="n">
        <v>2023</v>
      </c>
      <c r="D82" s="49" t="inlineStr">
        <is>
          <t>Real-time Mixed Reality (MR) and Artificial Intelligence (AI) object recognition integration for digital twin in Industry 4.0</t>
        </is>
      </c>
      <c r="E82" s="49" t="inlineStr">
        <is>
          <t>Internet of Things (Netherlands)</t>
        </is>
      </c>
      <c r="F82" s="49" t="inlineStr">
        <is>
          <t>Article</t>
        </is>
      </c>
      <c r="G82" s="49" t="inlineStr">
        <is>
          <t>10.1016/j.iot.2023.100753</t>
        </is>
      </c>
      <c r="H82" s="49" t="inlineStr">
        <is>
          <t>https://doi.org/10.1016/j.iot.2023.100753</t>
        </is>
      </c>
      <c r="I82" s="49" t="inlineStr"/>
      <c r="J82" s="49" t="inlineStr">
        <is>
          <t>sensibilidad: ver nota de cribado</t>
        </is>
      </c>
      <c r="K82" s="60" t="inlineStr">
        <is>
          <t>Y</t>
        </is>
      </c>
      <c r="L82" s="60" t="inlineStr">
        <is>
          <t>https://www-sciencedirect-com.hull.idm.oclc.org/science/article/pii/S2542660523000768</t>
        </is>
      </c>
      <c r="M82" s="60" t="inlineStr">
        <is>
          <t>Include</t>
        </is>
      </c>
      <c r="N82" s="60" t="n"/>
      <c r="O82" s="60" t="inlineStr">
        <is>
          <t>Incluir con reservas: arquitectura DT de almacén con capas y flujos (Figs. 2, 3, 6) y YOLOv5-s implementado; la IA sólo reconoce objetos y recupera información para el operario (nivel descriptivo). Las funciones predictivas (riesgo, retrasos) se describen sin implementar. Almacén es escenario simulado, no real. Dudas: evidence_type (Simulation vs Empirical data) y ai_role (Other vs Decision support). [citas verificadas: 6 ok, 0 no encontradas]</t>
        </is>
      </c>
      <c r="P82" s="60" t="inlineStr">
        <is>
          <t>2026-09-06</t>
        </is>
      </c>
      <c r="Q82" s="16" t="inlineStr">
        <is>
          <t>Confirmado 2026-09-06 por Rodrigo (vibo)</t>
        </is>
      </c>
    </row>
    <row r="83">
      <c r="A83" s="49" t="inlineStr">
        <is>
          <t>R0295</t>
        </is>
      </c>
      <c r="B83" s="49" t="inlineStr">
        <is>
          <t>Ud Din F.; Paul D.</t>
        </is>
      </c>
      <c r="C83" s="49" t="n">
        <v>2023</v>
      </c>
      <c r="D83" s="49" t="inlineStr">
        <is>
          <t>Demystifying xAOSF/AOSR Framework in the Context of Digital Twin and Industry 4.0</t>
        </is>
      </c>
      <c r="E83" s="49" t="inlineStr">
        <is>
          <t>Lecture Notes in Networks and Systems</t>
        </is>
      </c>
      <c r="F83" s="49" t="inlineStr">
        <is>
          <t>Conference paper</t>
        </is>
      </c>
      <c r="G83" s="49" t="inlineStr">
        <is>
          <t>10.1007/978-3-031-16075-2_44</t>
        </is>
      </c>
      <c r="H83" s="49" t="inlineStr">
        <is>
          <t>https://doi.org/10.1007/978-3-031-16075-2_44</t>
        </is>
      </c>
      <c r="I83" s="49" t="inlineStr">
        <is>
          <t>Make</t>
        </is>
      </c>
      <c r="J83" s="49" t="inlineStr"/>
      <c r="K83" s="60" t="inlineStr">
        <is>
          <t>N</t>
        </is>
      </c>
      <c r="L83" s="60" t="inlineStr">
        <is>
          <t>https://link-springer-com.hull.idm.oclc.org/chapter/10.1007/978-3-031-16075-2_44</t>
        </is>
      </c>
      <c r="M83" s="60" t="n"/>
      <c r="N83" s="60" t="n"/>
      <c r="O83" s="60" t="inlineStr">
        <is>
          <t>NO RECUPERADO. NO RECUPERADO: la página Springer vía proxy Hull (esperé 8 s + 6 s) muestra solo el resumen y 'This is a preview of subscription content' (paquete eBook no suscrito). Semantic Scholar: CLOSED, sin PDF abierto; OpenAlex: closed, ningún repositorio con texto completo; arXiv: sin preprint. Requiere descarga manual del PDF (Springer, DOI arriba) y luego LOCAL TEXT MODE.</t>
        </is>
      </c>
      <c r="P83" s="60" t="inlineStr">
        <is>
          <t>2026-09-06</t>
        </is>
      </c>
      <c r="Q83" s="16" t="inlineStr">
        <is>
          <t>Confirmado 2026-09-06 por Rodrigo (vibo)</t>
        </is>
      </c>
    </row>
    <row r="84">
      <c r="A84" s="49" t="inlineStr">
        <is>
          <t>R0297</t>
        </is>
      </c>
      <c r="B84" s="49" t="inlineStr">
        <is>
          <t>Zhang W.; Yu C.; Xiao J.; Cheung D.; Kin H.; Zhong R.Y.</t>
        </is>
      </c>
      <c r="C84" s="49" t="n">
        <v>2023</v>
      </c>
      <c r="D84" s="49" t="inlineStr">
        <is>
          <t>DIGITAL-TWIN ENABLED CONSTRUCTION SYSTEM FOR SUPPLY CHAIN RISK MANAGEMENT</t>
        </is>
      </c>
      <c r="E84" s="49" t="inlineStr">
        <is>
          <t>IEEE International Conference on Automation Science and Engineering</t>
        </is>
      </c>
      <c r="F84" s="49" t="inlineStr">
        <is>
          <t>Conference paper</t>
        </is>
      </c>
      <c r="G84" s="49" t="inlineStr">
        <is>
          <t>10.1109/case56687.2023.10288632</t>
        </is>
      </c>
      <c r="H84" s="49" t="inlineStr">
        <is>
          <t>https://doi.org/10.1109/case56687.2023.10288632</t>
        </is>
      </c>
      <c r="I84" s="49" t="inlineStr"/>
      <c r="J84" s="49" t="inlineStr"/>
      <c r="K84" s="60" t="inlineStr">
        <is>
          <t>N</t>
        </is>
      </c>
      <c r="L84" s="60" t="inlineStr">
        <is>
          <t>https://doi.org/10.1109/case56687.2023.10288632</t>
        </is>
      </c>
      <c r="M84" s="60" t="n"/>
      <c r="N84" s="60" t="n"/>
      <c r="O84"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84" s="60" t="inlineStr">
        <is>
          <t>2026-09-06</t>
        </is>
      </c>
      <c r="Q84" s="16" t="inlineStr">
        <is>
          <t>Confirmado 2026-09-06 por Rodrigo (vibo)</t>
        </is>
      </c>
    </row>
    <row r="85">
      <c r="A85" s="49" t="inlineStr">
        <is>
          <t>R0298</t>
        </is>
      </c>
      <c r="B85" s="49" t="inlineStr">
        <is>
          <t>Badakhshan E.; Ball P.</t>
        </is>
      </c>
      <c r="C85" s="49" t="n">
        <v>2023</v>
      </c>
      <c r="D85" s="49" t="inlineStr">
        <is>
          <t>Applying digital twins for inventory and cash management in supply chains under physical and financial disruptions</t>
        </is>
      </c>
      <c r="E85" s="49" t="inlineStr">
        <is>
          <t>International Journal of Production Research</t>
        </is>
      </c>
      <c r="F85" s="49" t="inlineStr">
        <is>
          <t>Article</t>
        </is>
      </c>
      <c r="G85" s="49" t="inlineStr">
        <is>
          <t>10.1080/00207543.2022.2093682</t>
        </is>
      </c>
      <c r="H85" s="49" t="inlineStr">
        <is>
          <t>https://doi.org/10.1080/00207543.2022.2093682</t>
        </is>
      </c>
      <c r="I85" s="49" t="inlineStr"/>
      <c r="J85" s="49" t="inlineStr"/>
      <c r="K85" s="60" t="inlineStr">
        <is>
          <t>Y</t>
        </is>
      </c>
      <c r="L85" s="60" t="inlineStr">
        <is>
          <t>https://www.tandfonline.com/doi/full/10.1080/00207543.2022.2093682</t>
        </is>
      </c>
      <c r="M85" s="60" t="inlineStr">
        <is>
          <t>Include</t>
        </is>
      </c>
      <c r="N85" s="60" t="n"/>
      <c r="O85" s="60" t="inlineStr">
        <is>
          <t>Incluido: gemelo digital de cadena FMCG de tres eslabones (DES SimPy + árbol CART scikit-learn) que genera reglas de reposición de inventario y efectivo. Verificado: ML = CART, no RL; humano = decisor que interpreta reglas y fija políticas (nivel 4), sin discusión explícita de HITL. Dudas: gemelo sin conexión a sistema real (caso simulado); Make=Y por capacidad del fabricante. [citas verificadas: 6 ok, 0 no encontradas]</t>
        </is>
      </c>
      <c r="P85" s="60" t="inlineStr">
        <is>
          <t>2026-09-06</t>
        </is>
      </c>
      <c r="Q85" s="16" t="inlineStr">
        <is>
          <t>Confirmado 2026-09-06 por Rodrigo (vibo)</t>
        </is>
      </c>
    </row>
    <row r="86">
      <c r="A86" s="49" t="inlineStr">
        <is>
          <t>R0299</t>
        </is>
      </c>
      <c r="B86" s="49" t="inlineStr">
        <is>
          <t>Khetani N.; Sharma A.; Kulkarni A.</t>
        </is>
      </c>
      <c r="C86" s="49" t="n">
        <v>2023</v>
      </c>
      <c r="D86" s="49" t="inlineStr">
        <is>
          <t>Real-Time Logistics and Warehouse Integration via Networks of the Future and Dynamic Digital Twins</t>
        </is>
      </c>
      <c r="E86" s="49" t="inlineStr">
        <is>
          <t>2023 IEEE Engineering Informatics, EI 2023</t>
        </is>
      </c>
      <c r="F86" s="49" t="inlineStr">
        <is>
          <t>Conference paper</t>
        </is>
      </c>
      <c r="G86" s="49" t="inlineStr">
        <is>
          <t>10.1109/ieeeconf58110.2023.10520525</t>
        </is>
      </c>
      <c r="H86" s="49" t="inlineStr">
        <is>
          <t>https://doi.org/10.1109/ieeeconf58110.2023.10520525</t>
        </is>
      </c>
      <c r="I86" s="49" t="inlineStr"/>
      <c r="J86" s="49" t="inlineStr"/>
      <c r="K86" s="60" t="inlineStr">
        <is>
          <t>Y</t>
        </is>
      </c>
      <c r="L86" s="60" t="inlineStr">
        <is>
          <t>https://www.researchgate.net/profile/Aman-Sharma-167/publication/377749177_Real-Time_Logistics_and_Warehouse_Integration_via_Networks_of_the_Future_and_Dynamic_Digital_Twins/links/65b5abcf1e1ec12eff518161/Real-Time-Logistics-and-Warehouse-Integration</t>
        </is>
      </c>
      <c r="M86" s="60" t="inlineStr">
        <is>
          <t>Include</t>
        </is>
      </c>
      <c r="N86" s="60" t="n"/>
      <c r="O86" s="60" t="inlineStr">
        <is>
          <t>Incluido: gemelo digital de almacen (proof-of-concept) con ML ejecutado - regresion polinomica Ridge, RMSE 14.72 s sobre datos reales de packing - y A* adaptado a rejilla. Texto de autor en ResearchGate (IEEE de pago). Dudas: evidence_type Empirical data vs case; integration_extent 5 (libera pedidos y re-rutea AGV sin aprobacion) vs 4; Make=N pese a 'production line' del abstract. [citas verificadas: 6 ok, 0 no encontradas]</t>
        </is>
      </c>
      <c r="P86" s="60" t="inlineStr">
        <is>
          <t>2026-09-06</t>
        </is>
      </c>
      <c r="Q86" s="16" t="inlineStr">
        <is>
          <t>Confirmado 2026-09-06 por Rodrigo (vibo)</t>
        </is>
      </c>
    </row>
    <row r="87">
      <c r="A87" s="49" t="inlineStr">
        <is>
          <t>R0302</t>
        </is>
      </c>
      <c r="B87" s="49" t="inlineStr">
        <is>
          <t>Elashmawy R.; Doron M.; Brecht J.K.; Uysal I.</t>
        </is>
      </c>
      <c r="C87" s="49" t="n">
        <v>2023</v>
      </c>
      <c r="D87" s="49" t="inlineStr">
        <is>
          <t>AI-Enabled Sensor-Driven Marketability Prediction of Strawberry Digital Twins</t>
        </is>
      </c>
      <c r="E87" s="49" t="inlineStr">
        <is>
          <t>Proceedings - 2023 IEEE Conference on Artificial Intelligence, CAI 2023</t>
        </is>
      </c>
      <c r="F87" s="49" t="inlineStr">
        <is>
          <t>Conference paper</t>
        </is>
      </c>
      <c r="G87" s="49" t="inlineStr">
        <is>
          <t>10.1109/cai54212.2023.00112</t>
        </is>
      </c>
      <c r="H87" s="49" t="inlineStr">
        <is>
          <t>https://doi.org/10.1109/cai54212.2023.00112</t>
        </is>
      </c>
      <c r="I87" s="49" t="inlineStr"/>
      <c r="J87" s="49" t="inlineStr"/>
      <c r="K87" s="60" t="inlineStr">
        <is>
          <t>N</t>
        </is>
      </c>
      <c r="L87" s="60" t="inlineStr">
        <is>
          <t>https://doi.org/10.1109/cai54212.2023.00112</t>
        </is>
      </c>
      <c r="M87" s="60" t="n"/>
      <c r="N87" s="60" t="n"/>
      <c r="O87"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c r="P87" s="60" t="inlineStr">
        <is>
          <t>2026-09-06</t>
        </is>
      </c>
      <c r="Q87" s="16" t="inlineStr">
        <is>
          <t>Confirmado 2026-09-06 por Rodrigo (vibo)</t>
        </is>
      </c>
    </row>
    <row r="88">
      <c r="A88" s="49" t="inlineStr">
        <is>
          <t>R0306</t>
        </is>
      </c>
      <c r="B88" s="49" t="inlineStr">
        <is>
          <t>Lim J.-B.; Jeong J.</t>
        </is>
      </c>
      <c r="C88" s="49" t="n">
        <v>2023</v>
      </c>
      <c r="D88" s="49" t="inlineStr">
        <is>
          <t>Factory Simulation of Optimization Techniques Based on Deep Reinforcement Learning for Storage Devices</t>
        </is>
      </c>
      <c r="E88" s="49" t="inlineStr">
        <is>
          <t>Applied Sciences (Switzerland)</t>
        </is>
      </c>
      <c r="F88" s="49" t="inlineStr">
        <is>
          <t>Article</t>
        </is>
      </c>
      <c r="G88" s="49" t="inlineStr">
        <is>
          <t>10.3390/app13179690</t>
        </is>
      </c>
      <c r="H88" s="49" t="inlineStr">
        <is>
          <t>https://doi.org/10.3390/app13179690</t>
        </is>
      </c>
      <c r="I88" s="49" t="inlineStr">
        <is>
          <t>Make</t>
        </is>
      </c>
      <c r="J88" s="49" t="inlineStr"/>
      <c r="K88" s="60" t="inlineStr">
        <is>
          <t>Y</t>
        </is>
      </c>
      <c r="L88" s="60" t="inlineStr">
        <is>
          <t>https://www.mdpi.com/2076-3417/13/17/9690 (resolved from https://doi.org/10.3390/app13179690; MDPI open access HTML, full text, no paywall; built-in browser mode)</t>
        </is>
      </c>
      <c r="M88" s="60" t="inlineStr">
        <is>
          <t>Include</t>
        </is>
      </c>
      <c r="N88" s="60" t="n"/>
      <c r="O88" s="60" t="inlineStr">
        <is>
          <t>Propuesto INCLUIR con reserva: modelo FlexSim de un tramo de línea BMS (stocker→routers) con PPO ejecutado; framing de logística intraplanta real (stocker, automatización logística, cola/espera). Duda criterio 1: 'gemelo' solo nominal (palabra clave y resumen); la 'validación' es RL vs FIFO dentro de la simulación, sin contraste con datos reales (Data Availability: not applicable). HITL: una frase (fábricas no tripuladas). [citas verificadas: 6 ok, 0 no encontradas]</t>
        </is>
      </c>
      <c r="P88" s="60" t="inlineStr">
        <is>
          <t>2026-09-06</t>
        </is>
      </c>
      <c r="Q88" s="16" t="inlineStr">
        <is>
          <t>Confirmado 2026-09-06 por Rodrigo (vibo)</t>
        </is>
      </c>
    </row>
    <row r="89">
      <c r="A89" s="49" t="inlineStr">
        <is>
          <t>R0309</t>
        </is>
      </c>
      <c r="B89" s="49" t="inlineStr">
        <is>
          <t>Ivanov D.</t>
        </is>
      </c>
      <c r="C89" s="49" t="n">
        <v>2023</v>
      </c>
      <c r="D89" s="49" t="inlineStr">
        <is>
          <t>Intelligent digital twin (iDT) for supply chain stress-testing, resilience, and viability</t>
        </is>
      </c>
      <c r="E89" s="49" t="inlineStr">
        <is>
          <t>International Journal of Production Economics</t>
        </is>
      </c>
      <c r="F89" s="49" t="inlineStr">
        <is>
          <t>Article</t>
        </is>
      </c>
      <c r="G89" s="49" t="inlineStr">
        <is>
          <t>10.1016/j.ijpe.2023.108938</t>
        </is>
      </c>
      <c r="H89" s="49" t="inlineStr">
        <is>
          <t>https://doi.org/10.1016/j.ijpe.2023.108938</t>
        </is>
      </c>
      <c r="I89" s="49" t="inlineStr"/>
      <c r="J89" s="49" t="inlineStr"/>
      <c r="K89" s="60" t="inlineStr">
        <is>
          <t>Y</t>
        </is>
      </c>
      <c r="L89" s="60" t="inlineStr">
        <is>
          <t>https://www-sciencedirect-com.hull.idm.oclc.org/science/article/pii/S0925527323001706</t>
        </is>
      </c>
      <c r="M89" s="60" t="inlineStr">
        <is>
          <t>Include</t>
        </is>
      </c>
      <c r="N89" s="60" t="n"/>
      <c r="O89" s="60" t="inlineStr">
        <is>
          <t>Incluido: artículo teórico cuyo objeto es el propio concepto de gemelo (iDT) con IA constitutiva (entorno de entrenamiento de agentes, autoaprendizaje, descubrimiento de reglas) y colaboración humano-IA explícita. Dudas: no ejecuta ni nombra un algoritmo concreto; ejemplos (anyLogistix, JD.com) tomados de la literatura; sin datos propios. Alternativa hitl_role: Maintained. [citas verificadas: 6 ok, 0 no encontradas]</t>
        </is>
      </c>
      <c r="P89" s="60" t="inlineStr">
        <is>
          <t>2026-09-06</t>
        </is>
      </c>
      <c r="Q89" s="16" t="inlineStr">
        <is>
          <t>Confirmado 2026-09-06 por Rodrigo (vibo)</t>
        </is>
      </c>
    </row>
    <row r="90">
      <c r="A90" s="49" t="inlineStr">
        <is>
          <t>R0321</t>
        </is>
      </c>
      <c r="B90" s="49" t="inlineStr">
        <is>
          <t>Greene L.M.; Steiner J.H.</t>
        </is>
      </c>
      <c r="C90" s="49" t="n">
        <v>2022</v>
      </c>
      <c r="D90" s="49" t="inlineStr">
        <is>
          <t>Dynamic Resource Allocation in Supply Chain Scheduling Using Digital Twin Models</t>
        </is>
      </c>
      <c r="E90" s="49" t="inlineStr">
        <is>
          <t>International Academic Journal of Science and Engineering</t>
        </is>
      </c>
      <c r="F90" s="49" t="inlineStr">
        <is>
          <t>Article</t>
        </is>
      </c>
      <c r="G90" s="49" t="inlineStr">
        <is>
          <t>10.71086/iajse/v9i4/iajse0928</t>
        </is>
      </c>
      <c r="H90" s="49" t="inlineStr">
        <is>
          <t>https://doi.org/10.71086/iajse/v9i4/iajse0928</t>
        </is>
      </c>
      <c r="I90" s="49" t="inlineStr"/>
      <c r="J90" s="49" t="inlineStr"/>
      <c r="K90" s="60" t="inlineStr">
        <is>
          <t>Y</t>
        </is>
      </c>
      <c r="L90" s="60" t="inlineStr">
        <is>
          <t>https://iaiest.com/iaj/index.php/IAJSE/article/download/IAJSE0928/1700</t>
        </is>
      </c>
      <c r="M90" s="60" t="inlineStr">
        <is>
          <t>Exclude</t>
        </is>
      </c>
      <c r="N90" s="60" t="inlineStr">
        <is>
          <t>Not peer-reviewed / low-quality venue</t>
        </is>
      </c>
      <c r="O90" s="60" t="inlineStr">
        <is>
          <t>Excluido por venue: el DOI impreso en el PDF no esta registrado (doi.org, Crossref, OpenAlex, S2: 404); en Crossref el vol. 9 solo tiene numeros 1-2 y los articulos reales usan el prefijo antiguo 10.9756, asi que el numero esta retrodatado. Sin DOAJ, indexacion vacia. Gemelo y ML solo afirmados, sin implementacion. [citas verificadas: 6 ok, 0 no encontradas]</t>
        </is>
      </c>
      <c r="P90" s="60" t="inlineStr">
        <is>
          <t>2026-09-06</t>
        </is>
      </c>
      <c r="Q90" s="16" t="inlineStr">
        <is>
          <t>Confirmado 2026-09-06 por Rodrigo (vibo)</t>
        </is>
      </c>
    </row>
    <row r="91">
      <c r="A91" s="49" t="inlineStr">
        <is>
          <t>R0322</t>
        </is>
      </c>
      <c r="B91" s="49" t="inlineStr">
        <is>
          <t>Melesse T.Y.; Bollo M.; Pasquale V.D.; Centro F.; Riemma S.</t>
        </is>
      </c>
      <c r="C91" s="49" t="n">
        <v>2022</v>
      </c>
      <c r="D91" s="49" t="inlineStr">
        <is>
          <t>Machine Learning-Based Digital Twin for Monitoring Fruit Quality Evolution</t>
        </is>
      </c>
      <c r="E91" s="49" t="inlineStr">
        <is>
          <t>Procedia Computer Science</t>
        </is>
      </c>
      <c r="F91" s="49" t="inlineStr">
        <is>
          <t>Conference paper</t>
        </is>
      </c>
      <c r="G91" s="49" t="inlineStr">
        <is>
          <t>10.1016/j.procs.2022.01.200</t>
        </is>
      </c>
      <c r="H91" s="49" t="inlineStr">
        <is>
          <t>https://doi.org/10.1016/j.procs.2022.01.200</t>
        </is>
      </c>
      <c r="I91" s="49" t="inlineStr"/>
      <c r="J91" s="49" t="inlineStr"/>
      <c r="K91" s="60" t="inlineStr">
        <is>
          <t>Y</t>
        </is>
      </c>
      <c r="L91" s="60" t="inlineStr">
        <is>
          <t>https://www.sciencedirect.com/science/article/pii/S1877050922002095/pdf (open-access PDF, redirected to pdf.sciencedirectassets.com/.../S1877050922002095/main.pdf; 8 pages read with pdf.js in Chrome, PDF MODE)</t>
        </is>
      </c>
      <c r="M91" s="60" t="inlineStr">
        <is>
          <t>Include</t>
        </is>
      </c>
      <c r="N91" s="60" t="n"/>
      <c r="O91" s="60" t="inlineStr">
        <is>
          <t>Incluir: gemelo de producto (plátano) con CNN entrenada sobre 3.968 imágenes térmicas (99%); arquitectura SAP con flujos de datos y notificación al minorista. Marco logístico (almacenes, centros de distribución, inventario minorista), pero solo el clasificador está implementado; el gemelo de cadena de suministro es trabajo futuro. Dudas: nivel 2 vs 3; solo Deliver; retail de fruta, no cadena de frío. [citas verificadas: 6 ok, 0 no encontradas]</t>
        </is>
      </c>
      <c r="P91" s="60" t="inlineStr">
        <is>
          <t>2026-09-06</t>
        </is>
      </c>
      <c r="Q91" s="16" t="inlineStr">
        <is>
          <t>Confirmado 2026-09-06 por Rodrigo (vibo)</t>
        </is>
      </c>
    </row>
    <row r="92">
      <c r="A92" s="49" t="inlineStr">
        <is>
          <t>R0323</t>
        </is>
      </c>
      <c r="B92" s="49" t="inlineStr">
        <is>
          <t>Leung E.K.H.; Lee C.K.H.; Ouyang Z.</t>
        </is>
      </c>
      <c r="C92" s="49" t="n">
        <v>2022</v>
      </c>
      <c r="D92" s="49" t="inlineStr">
        <is>
          <t>From traditional warehouses to Physical Internet hubs: A digital twin-based inbound synchronization framework for PI-order management</t>
        </is>
      </c>
      <c r="E92" s="49" t="inlineStr">
        <is>
          <t>International Journal of Production Economics</t>
        </is>
      </c>
      <c r="F92" s="49" t="inlineStr">
        <is>
          <t>Article</t>
        </is>
      </c>
      <c r="G92" s="49" t="inlineStr">
        <is>
          <t>10.1016/j.ijpe.2021.108353</t>
        </is>
      </c>
      <c r="H92" s="49" t="inlineStr">
        <is>
          <t>https://doi.org/10.1016/j.ijpe.2021.108353</t>
        </is>
      </c>
      <c r="I92" s="49" t="inlineStr"/>
      <c r="J92" s="49" t="inlineStr"/>
      <c r="K92" s="60" t="inlineStr">
        <is>
          <t>Y</t>
        </is>
      </c>
      <c r="L92" s="60" t="inlineStr">
        <is>
          <t>https://www-sciencedirect-com.hull.idm.oclc.org/science/article/pii/S0925527321003297</t>
        </is>
      </c>
      <c r="M92" s="60" t="inlineStr">
        <is>
          <t>Include</t>
        </is>
      </c>
      <c r="N92" s="60" t="n"/>
      <c r="O92" s="60" t="inlineStr">
        <is>
          <t>Incluido: gemelo digital+IoT diseñado como arquitectura (espacio físico/ciberespacio, flujos de datos) para un hub PI urbano; IA = ANFIS neuro-difuso que prevé llegadas de pedidos, acoplado a un MIP de picking/reposición conjunta; el gemelo no se implementa, solo se simula el modelo OFR. Dudas: extensión 4 vs 5 (tareas enviadas directamente a operarios, sin aprobación explícita); técnica Hybrid vs Other. [citas verificadas: 6 ok, 0 no encontradas]</t>
        </is>
      </c>
      <c r="P92" s="60" t="inlineStr">
        <is>
          <t>2026-09-06</t>
        </is>
      </c>
      <c r="Q92" s="16" t="inlineStr">
        <is>
          <t>Confirmado 2026-09-06 por Rodrigo (vibo)</t>
        </is>
      </c>
    </row>
    <row r="93">
      <c r="A93" s="49" t="inlineStr">
        <is>
          <t>R0324</t>
        </is>
      </c>
      <c r="B93" s="49" t="inlineStr">
        <is>
          <t>Deria A.; Ghannad P.; Lee Y.-C.</t>
        </is>
      </c>
      <c r="C93" s="49" t="n">
        <v>2022</v>
      </c>
      <c r="D93" s="49" t="inlineStr">
        <is>
          <t>Integrating AI in an Audio-Based Digital Twin for Autonomous Management of Roadway Construction</t>
        </is>
      </c>
      <c r="E93" s="49" t="inlineStr">
        <is>
          <t>Construction Research Congress 2022: Computer Applications, Automation, and Data Analytics - Selected Papers from Construction Research Congress 2022</t>
        </is>
      </c>
      <c r="F93" s="49" t="inlineStr">
        <is>
          <t>Conference paper</t>
        </is>
      </c>
      <c r="G93" s="49" t="inlineStr">
        <is>
          <t>10.1061/9780784483961.056</t>
        </is>
      </c>
      <c r="H93" s="49" t="inlineStr">
        <is>
          <t>https://doi.org/10.1061/9780784483961.056</t>
        </is>
      </c>
      <c r="I93" s="49" t="inlineStr"/>
      <c r="J93" s="49" t="inlineStr">
        <is>
          <t>sensibilidad: ver nota de cribado</t>
        </is>
      </c>
      <c r="K93" s="60" t="inlineStr">
        <is>
          <t>N</t>
        </is>
      </c>
      <c r="L93" s="60" t="inlineStr">
        <is>
          <t>https://ascelibrary.org/doi/10.1061/9780784483961.056</t>
        </is>
      </c>
      <c r="M93" s="60" t="n"/>
      <c r="N93" s="60" t="n"/>
      <c r="O93" s="60" t="inlineStr">
        <is>
          <t>NO RECUPERADO. No recuperado. ASCE solo muestra resumen ("GET ACCESS", "SIGN IN VIA YOUR INSTITUTION"); /doi/pdf/ devuelve la misma pagina de pago. Proxy Hull: 404, ASCE no configurado. OpenAlex indica green OA en repository.lsu.edu (registro 301), pero dice "This document is currently not available here" (sin archivo). Semantic Scholar: isOpenAccess=false. FLAG de logistica sin verificar; requiere descarga manual (pp. 530-540).</t>
        </is>
      </c>
      <c r="P93" s="60" t="inlineStr">
        <is>
          <t>2026-09-06</t>
        </is>
      </c>
      <c r="Q93" s="16" t="inlineStr">
        <is>
          <t>Confirmado 2026-09-06 por Rodrigo (vibo)</t>
        </is>
      </c>
    </row>
    <row r="94">
      <c r="A94" s="49" t="inlineStr">
        <is>
          <t>R0327</t>
        </is>
      </c>
      <c r="B94" s="49" t="inlineStr">
        <is>
          <t>Martin G.; Oger R.</t>
        </is>
      </c>
      <c r="C94" s="49" t="n">
        <v>2022</v>
      </c>
      <c r="D94" s="49" t="inlineStr">
        <is>
          <t>A Reinforcement Learning Powered Digital Twin to Support Supply Chain Decisions</t>
        </is>
      </c>
      <c r="E94" s="49" t="inlineStr">
        <is>
          <t>Proceedings of the Annual Hawaii International Conference on System Sciences</t>
        </is>
      </c>
      <c r="F94" s="49" t="inlineStr">
        <is>
          <t>Conference paper</t>
        </is>
      </c>
      <c r="G94" s="49" t="inlineStr">
        <is>
          <t>10.24251/hicss.2022.287</t>
        </is>
      </c>
      <c r="H94" s="49" t="inlineStr">
        <is>
          <t>https://doi.org/10.24251/hicss.2022.287</t>
        </is>
      </c>
      <c r="I94" s="49" t="inlineStr"/>
      <c r="J94" s="49" t="inlineStr"/>
      <c r="K94" s="60" t="inlineStr">
        <is>
          <t>Y</t>
        </is>
      </c>
      <c r="L94" s="60" t="inlineStr">
        <is>
          <t>https://scholarspace.manoa.hawaii.edu/server/api/core/bitstreams/edf75d7e-531a-4cdf-8911-c3f70528e2c4/content (open-access PDF 0228.pdf, 9 pages, reached from the ScholarSpace record https://scholarspace.manoa.hawaii.edu/items/5c90f342-a16c-4405-9e34</t>
        </is>
      </c>
      <c r="M94" s="60" t="inlineStr">
        <is>
          <t>Include</t>
        </is>
      </c>
      <c r="N94" s="60" t="n"/>
      <c r="O94" s="60" t="inlineStr">
        <is>
          <t>Incluido: marco DT+DRL para cadena farmacéutica de cuatro escalones; el agente recomienda pedidos y el decisor decide seguirlos o no (nivel 4). Dudas: en 3.2 el agente 'reemplaza al humano' que evalúa alternativas (hitl_role Reduced, no Maintained); en el experimento las recomendaciones se ejecutan siempre (nivel 5 de facto); DT simulado sin sistema real; Make N (fabricante con capacidad infinita). [citas verificadas: 6 ok, 0 no encontradas]</t>
        </is>
      </c>
      <c r="P94" s="60" t="inlineStr">
        <is>
          <t>2026-09-06</t>
        </is>
      </c>
      <c r="Q94" s="16" t="inlineStr">
        <is>
          <t>Confirmado 2026-09-06 por Rodrigo (vibo)</t>
        </is>
      </c>
    </row>
    <row r="95">
      <c r="A95" s="49" t="inlineStr">
        <is>
          <t>R0328</t>
        </is>
      </c>
      <c r="B95" s="49" t="inlineStr">
        <is>
          <t>Greis N.P.; Nogueira M.L.; Rohde W.</t>
        </is>
      </c>
      <c r="C95" s="49" t="n">
        <v>2022</v>
      </c>
      <c r="D95" s="49" t="inlineStr">
        <is>
          <t>Towards Learning-Enabled Digital Twin with Augmented Reality for Resilient Production Scheduling</t>
        </is>
      </c>
      <c r="E95" s="49" t="inlineStr">
        <is>
          <t>IFAC-PapersOnLine</t>
        </is>
      </c>
      <c r="F95" s="49" t="inlineStr">
        <is>
          <t>Conference paper</t>
        </is>
      </c>
      <c r="G95" s="49" t="inlineStr">
        <is>
          <t>10.1016/j.ifacol.2022.09.678</t>
        </is>
      </c>
      <c r="H95" s="49" t="inlineStr">
        <is>
          <t>https://doi.org/10.1016/j.ifacol.2022.09.678</t>
        </is>
      </c>
      <c r="I95" s="49" t="inlineStr">
        <is>
          <t>Make</t>
        </is>
      </c>
      <c r="J95" s="49" t="inlineStr"/>
      <c r="K95" s="60" t="inlineStr">
        <is>
          <t>Y</t>
        </is>
      </c>
      <c r="L95" s="60" t="inlineStr">
        <is>
          <t>https://www.sciencedirect.com/science/article/pii/S2405896322019966/pdf</t>
        </is>
      </c>
      <c r="M95" s="60" t="inlineStr">
        <is>
          <t>Include</t>
        </is>
      </c>
      <c r="N95" s="60" t="n"/>
      <c r="O95" s="60" t="inlineStr">
        <is>
          <t>Incluido: extensión conceptual del marco de R0331 (Greis 2021). Aporte propio: capa RA/HITL (seleccionar/anular recomendaciones ML; eventos exógenos raros a expertos) y gemelo cognitivo; alto solapamiento con R0331 (Fig. 1 reutilizada). Dudas: ML solo enumerado (RF/SVM/AdaBoost/NN), sin resultados; validación 'by human or machine' admite vía autónoma (nivel 5); caso Siemens breve (¿Empirical case?); Deliver/E2E solo por Fig. 1. [citas verificadas: 6 ok, 0 no encontradas]</t>
        </is>
      </c>
      <c r="P95" s="60" t="inlineStr">
        <is>
          <t>2026-09-06</t>
        </is>
      </c>
      <c r="Q95" s="16" t="inlineStr">
        <is>
          <t>Confirmado 2026-09-06 por Rodrigo (vibo)</t>
        </is>
      </c>
    </row>
    <row r="96">
      <c r="A96" s="49" t="inlineStr">
        <is>
          <t>R0331</t>
        </is>
      </c>
      <c r="B96" s="49" t="inlineStr">
        <is>
          <t>Greis N.P.; Nogueira M.L.; Rohde W.</t>
        </is>
      </c>
      <c r="C96" s="49" t="n">
        <v>2021</v>
      </c>
      <c r="D96" s="49" t="inlineStr">
        <is>
          <t>Digital Twin Framework for Machine Learning-Enabled Integrated Production and Logistics Processes</t>
        </is>
      </c>
      <c r="E96" s="49" t="inlineStr">
        <is>
          <t>IFIP Advances in Information and Communication Technology</t>
        </is>
      </c>
      <c r="F96" s="49" t="inlineStr">
        <is>
          <t>Conference paper</t>
        </is>
      </c>
      <c r="G96" s="49" t="inlineStr">
        <is>
          <t>10.1007/978-3-030-85874-2_23</t>
        </is>
      </c>
      <c r="H96" s="49" t="inlineStr">
        <is>
          <t>https://doi.org/10.1007/978-3-030-85874-2_23</t>
        </is>
      </c>
      <c r="I96" s="49" t="inlineStr">
        <is>
          <t>Make</t>
        </is>
      </c>
      <c r="J96" s="49" t="inlineStr"/>
      <c r="K96" s="60" t="inlineStr">
        <is>
          <t>Y</t>
        </is>
      </c>
      <c r="L96" s="60" t="inlineStr">
        <is>
          <t>https://inria.hal.science/hal-04030352/document</t>
        </is>
      </c>
      <c r="M96" s="60" t="inlineStr">
        <is>
          <t>Include</t>
        </is>
      </c>
      <c r="N96" s="60" t="n"/>
      <c r="O96" s="60" t="inlineStr">
        <is>
          <t>Incluido: marco conceptual sin resultados: gemelo de planta ligado a MES/APS/ERP, módulos ML de riesgo de proveedor y tránsito; métodos ML solo enumerados. Solapa con R0328 (misma arquitectura; R0328 añade RA/HITL). Dudas: nivel 5 vs 4 (ejecuta tras validación por simulación, sin aprobación humana explícita); HITL solo implícito (dashboards, parámetro del gestor); E2E vía módulos ML, gemelo cubre solo planta. [citas verificadas: 6 ok, 0 no encontradas]</t>
        </is>
      </c>
      <c r="P96" s="60" t="inlineStr">
        <is>
          <t>2026-09-06</t>
        </is>
      </c>
      <c r="Q96" s="16" t="inlineStr">
        <is>
          <t>Confirmado 2026-09-06 por Rodrigo (vibo)</t>
        </is>
      </c>
    </row>
    <row r="97">
      <c r="A97" s="49" t="inlineStr">
        <is>
          <t>R0341</t>
        </is>
      </c>
      <c r="B97" s="49" t="inlineStr">
        <is>
          <t>Dobler M.; Schumacher J.; Busel P.; Hartmann C.</t>
        </is>
      </c>
      <c r="C97" s="49" t="n">
        <v>2020</v>
      </c>
      <c r="D97" s="49" t="inlineStr">
        <is>
          <t>Supporting SMEs in the Lake Constance Region in the Implementation of Cyber-Physical-Systems: Framework and Demonstrator</t>
        </is>
      </c>
      <c r="E97" s="49" t="inlineStr">
        <is>
          <t>Proceedings - 2020 IEEE International Conference on Engineering, Technology and Innovation, ICE/ITMC 2020</t>
        </is>
      </c>
      <c r="F97" s="49" t="inlineStr">
        <is>
          <t>Conference paper</t>
        </is>
      </c>
      <c r="G97" s="49" t="inlineStr">
        <is>
          <t>10.1109/ice/itmc49519.2020.9198430</t>
        </is>
      </c>
      <c r="H97" s="49" t="inlineStr">
        <is>
          <t>https://doi.org/10.1109/ice/itmc49519.2020.9198430</t>
        </is>
      </c>
      <c r="I97" s="49" t="inlineStr">
        <is>
          <t>Make</t>
        </is>
      </c>
      <c r="J97" s="49" t="inlineStr">
        <is>
          <t>Make conservado tras la verificación independiente: el objetivo declarado encuadra la cadena ("The goal of this paper is to describe how data from interwoven, autonomous and intelligent supply chains can be integrated into the diverse data ecosystems of the Industry 4.0") (C5) y la inteligencia local de trabajos y materias primas en el avatar digital ("assign local intelligence to jobs and raw materials") es control distribuido tipo agente (C7); verificar en texto completo el método de la inteligencia local y el alcance de cadena del demostrador.</t>
        </is>
      </c>
      <c r="K97" s="60" t="inlineStr">
        <is>
          <t>N</t>
        </is>
      </c>
      <c r="L97" s="60" t="inlineStr">
        <is>
          <t>https://doi.org/10.1109/ice/itmc49519.2020.9198430</t>
        </is>
      </c>
      <c r="M97" s="60" t="n"/>
      <c r="N97" s="60" t="n"/>
      <c r="O97"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3 versions but no free-full-text badge</t>
        </is>
      </c>
      <c r="P97" s="60" t="inlineStr">
        <is>
          <t>2026-09-06</t>
        </is>
      </c>
      <c r="Q97" s="16" t="inlineStr">
        <is>
          <t>Confirmado 2026-09-06 por Rodrigo (vibo)</t>
        </is>
      </c>
    </row>
    <row r="98">
      <c r="A98" s="49" t="inlineStr">
        <is>
          <t>R0347</t>
        </is>
      </c>
      <c r="B98" s="49" t="inlineStr">
        <is>
          <t>Sarsenova G.; Uskembayeva B.; Joldassova K.; Alimova K.; Sultanaliev B.; Asset A.; Asset A.</t>
        </is>
      </c>
      <c r="C98" s="49" t="n">
        <v>2026</v>
      </c>
      <c r="D98" s="49" t="inlineStr">
        <is>
          <t>Evaluation of the efficiency of air-cushion conveyor modernization through digital monitoring and modeling</t>
        </is>
      </c>
      <c r="E98" s="49" t="inlineStr">
        <is>
          <t>Open Engineering</t>
        </is>
      </c>
      <c r="F98" s="49" t="inlineStr">
        <is>
          <t>Article</t>
        </is>
      </c>
      <c r="G98" s="49" t="inlineStr">
        <is>
          <t>10.1515/eng-2025-0146</t>
        </is>
      </c>
      <c r="H98" s="49" t="inlineStr">
        <is>
          <t>https://doi.org/10.1515/eng-2025-0146</t>
        </is>
      </c>
      <c r="I98" s="49" t="inlineStr"/>
      <c r="J98" s="49" t="inlineStr">
        <is>
          <t>IA usada aunque sin método nombrado ("digital modeling using artificial intelligence algorithms, and industrial testing at an operating mining facility"), como R0201; logística de planta explícita ("production logistics", "logistics systems"); el texto completo decide qué algoritmos y si el modelo digital opera como gemelo.</t>
        </is>
      </c>
      <c r="K98" s="60" t="inlineStr">
        <is>
          <t>Y</t>
        </is>
      </c>
      <c r="L98" s="60" t="inlineStr">
        <is>
          <t>https://www.degruyterbrill.com/document/doi/10.1515/eng-2025-0146/html</t>
        </is>
      </c>
      <c r="M98" s="60" t="inlineStr">
        <is>
          <t>Exclude</t>
        </is>
      </c>
      <c r="N98" s="60" t="inlineStr">
        <is>
          <t>No digital twin / digital model</t>
        </is>
      </c>
      <c r="O98" s="60" t="inlineStr">
        <is>
          <t>Excluir (límite): nunca dice 'twin'; el 'modelo digital' (4.2) es un modelo 3D estático de la ruta; el Simulink/CFD es verificación offline (calibrado ≤7,3 %); el sistema real es monitoreo/control CNN+LSTM sin réplica virtual. Si aceptas simulación validada como modelo digital → INCLUDE (Mining, Make, Hybrid, Control, extent 4→5, HITL Approve/override). Calidad dudosa: restos de respuesta a revisores, tablas duplicadas. [citas verificadas: 6 ok, 0 no encontradas]</t>
        </is>
      </c>
      <c r="P98" s="60" t="inlineStr">
        <is>
          <t>2026-09-06</t>
        </is>
      </c>
      <c r="Q98" s="16" t="inlineStr">
        <is>
          <t>Confirmado 2026-09-06 por Rodrigo (vibo)</t>
        </is>
      </c>
    </row>
    <row r="99">
      <c r="A99" s="49" t="inlineStr">
        <is>
          <t>R0350</t>
        </is>
      </c>
      <c r="B99" s="49" t="inlineStr">
        <is>
          <t>Prakash N.B.; Senthil M.; Srinu N.</t>
        </is>
      </c>
      <c r="C99" s="49" t="n">
        <v>2026</v>
      </c>
      <c r="D99" s="49" t="inlineStr">
        <is>
          <t>Causal Digital Twin-Driven Emergency Material Demand Prediction for Post-Earthquake Disaster Management</t>
        </is>
      </c>
      <c r="E99" s="49" t="inlineStr">
        <is>
          <t>7th International Conference on Inventive Research in Computing Applications, ICIRCA 2026 - Proceedings</t>
        </is>
      </c>
      <c r="F99" s="49" t="inlineStr">
        <is>
          <t>Conference paper</t>
        </is>
      </c>
      <c r="G99" s="49" t="inlineStr">
        <is>
          <t>10.1109/icirca69024.2026.11570431</t>
        </is>
      </c>
      <c r="H99" s="49" t="inlineStr">
        <is>
          <t>https://doi.org/10.1109/icirca69024.2026.11570431</t>
        </is>
      </c>
      <c r="I99" s="49" t="inlineStr"/>
      <c r="J99" s="49" t="inlineStr">
        <is>
          <t>verificar si el gemelo modela el suministro humanitario o sólo el escenario de peligro (C6).</t>
        </is>
      </c>
      <c r="K99" s="60" t="inlineStr">
        <is>
          <t>N</t>
        </is>
      </c>
      <c r="L99" s="60" t="inlineStr">
        <is>
          <t>https://doi.org/10.1109/icirca69024.2026.11570431</t>
        </is>
      </c>
      <c r="M99" s="60" t="n"/>
      <c r="N99" s="60" t="n"/>
      <c r="O99"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99" s="60" t="inlineStr">
        <is>
          <t>2026-09-06</t>
        </is>
      </c>
      <c r="Q99" s="16" t="inlineStr">
        <is>
          <t>Confirmado 2026-09-06 por Rodrigo (vibo)</t>
        </is>
      </c>
    </row>
    <row r="100">
      <c r="A100" s="49" t="inlineStr">
        <is>
          <t>R0500</t>
        </is>
      </c>
      <c r="B100" s="49" t="inlineStr">
        <is>
          <t>Jeong Y.; Kober C.; Fette M.</t>
        </is>
      </c>
      <c r="C100" s="49" t="n">
        <v>2026</v>
      </c>
      <c r="D100" s="49" t="inlineStr">
        <is>
          <t>Integrating Large Language Models and Digital Twins in Manufacturing: Opportunities and Challenges for Production Logistics and Assembly Environments</t>
        </is>
      </c>
      <c r="E100" s="49" t="inlineStr">
        <is>
          <t>IFIP Advances in Information and Communication Technology</t>
        </is>
      </c>
      <c r="F100" s="49" t="inlineStr">
        <is>
          <t>Conference paper</t>
        </is>
      </c>
      <c r="G100" s="49" t="inlineStr">
        <is>
          <t>10.1007/978-3-032-03515-8_36</t>
        </is>
      </c>
      <c r="H100" s="49" t="inlineStr">
        <is>
          <t>https://doi.org/10.1007/978-3-032-03515-8_36</t>
        </is>
      </c>
      <c r="I100" s="49" t="inlineStr">
        <is>
          <t>Make</t>
        </is>
      </c>
      <c r="J100" s="49" t="inlineStr"/>
      <c r="K100" s="60" t="inlineStr">
        <is>
          <t>N</t>
        </is>
      </c>
      <c r="L100" s="60" t="inlineStr">
        <is>
          <t>https://link-springer-com.hull.idm.oclc.org/chapter/10.1007/978-3-032-03515-8_36</t>
        </is>
      </c>
      <c r="M100" s="60" t="n"/>
      <c r="N100" s="60" t="n"/>
      <c r="O100" s="60" t="inlineStr">
        <is>
          <t>NO RECUPERADO. Muro de pago: Hull proxy y Springer directo muestran "This is a preview of subscription content". Sin copia abierta: OpenAlex is_oa=false (closed), Semantic Scholar isOpenAccess=false, HAL 0 resultados, Google Scholar 2 versiones solo cita, openHSU sin archivo, KTH DiVA sin texto completo. Unico PDF de pago: link.springer.com/content/pdf/10.1007/978-3-032-03515-8_36.pdf (pp. 528-542). Requiere descarga manual.</t>
        </is>
      </c>
      <c r="P100" s="60" t="inlineStr">
        <is>
          <t>2026-09-06</t>
        </is>
      </c>
      <c r="Q100" s="16" t="inlineStr">
        <is>
          <t>Confirmado 2026-09-06 por Rodrigo (vibo)</t>
        </is>
      </c>
    </row>
    <row r="101">
      <c r="A101" s="49" t="inlineStr">
        <is>
          <t>R0520</t>
        </is>
      </c>
      <c r="B101" s="49" t="inlineStr">
        <is>
          <t>Nozari H.; Yordanova Z.</t>
        </is>
      </c>
      <c r="C101" s="49" t="n">
        <v>2026</v>
      </c>
      <c r="D101" s="49" t="inlineStr">
        <is>
          <t>A Self-Deciding Adaptive Digital Twin Framework Using Agentic AI for Fuzzy Multi-Objective Optimization of Food Logistics</t>
        </is>
      </c>
      <c r="E101" s="49" t="inlineStr">
        <is>
          <t>Algorithms</t>
        </is>
      </c>
      <c r="F101" s="49" t="inlineStr">
        <is>
          <t>Article</t>
        </is>
      </c>
      <c r="G101" s="49" t="inlineStr">
        <is>
          <t>10.3390/a19030218</t>
        </is>
      </c>
      <c r="H101" s="49" t="inlineStr">
        <is>
          <t>https://doi.org/10.3390/a19030218</t>
        </is>
      </c>
      <c r="I101" s="49" t="inlineStr"/>
      <c r="J101" s="49" t="inlineStr"/>
      <c r="K101" s="60" t="inlineStr">
        <is>
          <t>Y</t>
        </is>
      </c>
      <c r="L101" s="60" t="inlineStr">
        <is>
          <t>https://www.mdpi.com/1999-4893/19/3/218</t>
        </is>
      </c>
      <c r="M101" s="60" t="inlineStr">
        <is>
          <t>Include</t>
        </is>
      </c>
      <c r="N101" s="60" t="n"/>
      <c r="O101" s="60" t="inlineStr">
        <is>
          <t>Incluido: gemelo digital adaptativo (simulación calibrada con datos reales anonimizados) de logística alimentaria proveedor–minorista; la capa 'agentic AI' reprioriza objetivos y el bucle selecciona e implementa políticas sin aprobación humana (nivel 5), aunque los autores lo llaman 'semi-autonomous decision-support' y admiten que es basada en reglas, sin aprendizaje; metaheurísticas GWO/SPEA2. Dudas: nivel 4 vs 5; Make (centros de procesamiento). [citas verificadas: 6 ok, 0 no encontradas]</t>
        </is>
      </c>
      <c r="P101" s="60" t="inlineStr">
        <is>
          <t>2026-09-06</t>
        </is>
      </c>
      <c r="Q101" s="16" t="inlineStr">
        <is>
          <t>Confirmado 2026-09-06 por Rodrigo (vibo)</t>
        </is>
      </c>
    </row>
    <row r="102">
      <c r="A102" s="49" t="inlineStr">
        <is>
          <t>R0521</t>
        </is>
      </c>
      <c r="B102" s="49" t="inlineStr">
        <is>
          <t>Surendharan S.; Krithika M.</t>
        </is>
      </c>
      <c r="C102" s="49" t="n">
        <v>2026</v>
      </c>
      <c r="D102" s="49" t="inlineStr">
        <is>
          <t>A Performance-Centric Investigation of ICT-Enabled Information Integration and Decision Support in Healthcare Supply Chain Systems</t>
        </is>
      </c>
      <c r="E102" s="49" t="inlineStr">
        <is>
          <t>IEEE International Conference on Electronic Systems and Intelligent Computing, ICESIC 2026 - Proceedings</t>
        </is>
      </c>
      <c r="F102" s="49" t="inlineStr">
        <is>
          <t>Conference paper</t>
        </is>
      </c>
      <c r="G102" s="49" t="inlineStr">
        <is>
          <t>10.1109/icesic67389.2026.11496468</t>
        </is>
      </c>
      <c r="H102" s="49" t="inlineStr">
        <is>
          <t>https://doi.org/10.1109/icesic67389.2026.11496468</t>
        </is>
      </c>
      <c r="I102" s="49" t="inlineStr"/>
      <c r="J102" s="49" t="inlineStr"/>
      <c r="K102" s="60" t="inlineStr">
        <is>
          <t>N</t>
        </is>
      </c>
      <c r="L102" s="60" t="inlineStr">
        <is>
          <t>https://doi.org/10.1109/icesic67389.2026.11496468</t>
        </is>
      </c>
      <c r="M102" s="60" t="n"/>
      <c r="N102" s="60" t="n"/>
      <c r="O102" s="60" t="inlineStr">
        <is>
          <t>NO RECUPERADO. NO RECUPERADO: actas de congreso IEEE Xplore sin suscripcion en Hull ni en el Tec ('Sign in to Continue Reading'; PDF 'denied'). Sin copia abierta: OpenAlex/Semantic Scholar/OpenAIRE/Crossref sin oa_url; consultado en Google Scholar (sin enlace [PDF]). Nota localizador: IEEE Xplore only; no [PDF]/[HTML] badge</t>
        </is>
      </c>
      <c r="P102" s="60" t="inlineStr">
        <is>
          <t>2026-09-06</t>
        </is>
      </c>
      <c r="Q102" s="16" t="inlineStr">
        <is>
          <t>Confirmado 2026-09-06 por Rodrigo (vibo)</t>
        </is>
      </c>
    </row>
    <row r="103">
      <c r="A103" s="49" t="inlineStr">
        <is>
          <t>R0525</t>
        </is>
      </c>
      <c r="B103" s="49" t="inlineStr">
        <is>
          <t>Ivanov D.; Gusikhin O.</t>
        </is>
      </c>
      <c r="C103" s="49" t="n">
        <v>2026</v>
      </c>
      <c r="D103" s="49" t="inlineStr">
        <is>
          <t>Supply chain digital twin design and implementation at scale: A case study at the Ford Motor Company and generalizations</t>
        </is>
      </c>
      <c r="E103" s="49" t="inlineStr">
        <is>
          <t>Omega (United Kingdom)</t>
        </is>
      </c>
      <c r="F103" s="49" t="inlineStr">
        <is>
          <t>Article</t>
        </is>
      </c>
      <c r="G103" s="49" t="inlineStr">
        <is>
          <t>10.1016/j.omega.2025.103447</t>
        </is>
      </c>
      <c r="H103" s="49" t="inlineStr">
        <is>
          <t>https://doi.org/10.1016/j.omega.2025.103447</t>
        </is>
      </c>
      <c r="I103" s="49" t="inlineStr"/>
      <c r="J103" s="49" t="inlineStr">
        <is>
          <t>sensibilidad: ver nota de cribado</t>
        </is>
      </c>
      <c r="K103" s="60" t="inlineStr">
        <is>
          <t>Y</t>
        </is>
      </c>
      <c r="L103" s="60" t="inlineStr">
        <is>
          <t>https://www.sciencedirect.com/science/article/pii/S0305048325001732</t>
        </is>
      </c>
      <c r="M103" s="60" t="inlineStr">
        <is>
          <t>Include</t>
        </is>
      </c>
      <c r="N103" s="60" t="n"/>
      <c r="O103" s="60" t="inlineStr">
        <is>
          <t>Incluir: caso a escala (Ford) de SCDT federado en tres capas. IA ejecutada: deep learning + análisis de supervivencia para pronosticar faltantes de proveedores (Tier-1, ref. [15]); IA agéntica/LLM diseñada como orquestador que alerta y recomienda, decisión final humana; ejecución autónoma solo 'potencial'. Dudas: Make/Deliver/Return (logística inbound, envases retornables, solo aguas arriba); detalle técnico de la IA remitido a [15]. [citas verificadas: 6 ok, 0 no encontradas]</t>
        </is>
      </c>
      <c r="P103" s="60" t="inlineStr">
        <is>
          <t>2026-09-06</t>
        </is>
      </c>
      <c r="Q103" s="16" t="inlineStr">
        <is>
          <t>Confirmado 2026-09-06 por Rodrigo (vibo)</t>
        </is>
      </c>
    </row>
    <row r="104">
      <c r="A104" s="49" t="inlineStr">
        <is>
          <t>R0530</t>
        </is>
      </c>
      <c r="B104" s="49" t="inlineStr">
        <is>
          <t>Zhang C.; Wang X.; Liu L.</t>
        </is>
      </c>
      <c r="C104" s="49" t="n">
        <v>2026</v>
      </c>
      <c r="D104" s="49" t="inlineStr">
        <is>
          <t>Next-Generation AI‑Driven Digital Twin Framework for Market Volatility Warning and Risk Detection in Global Logistics Supply Chains</t>
        </is>
      </c>
      <c r="E104" s="49" t="inlineStr">
        <is>
          <t>IEEE Communications Standards Magazine</t>
        </is>
      </c>
      <c r="F104" s="49" t="inlineStr">
        <is>
          <t>Article</t>
        </is>
      </c>
      <c r="G104" s="49" t="inlineStr">
        <is>
          <t>10.1109/mcomstd.2025.3641867</t>
        </is>
      </c>
      <c r="H104" s="49" t="inlineStr">
        <is>
          <t>https://doi.org/10.1109/mcomstd.2025.3641867</t>
        </is>
      </c>
      <c r="I104" s="49" t="inlineStr"/>
      <c r="J104" s="49" t="inlineStr">
        <is>
          <t>marco de gemelo con IA constitutiva para cadenas logísticas ("a next-generation AI-driven digital twin framework tailored for logistics supply chains") con caso ("A case study on logistics volatility detection"), C8 tercera precisión; riesgo E3 en texto completo si la IA es sólo etiqueta; interés HITL: "DT-aware AI governance" y aseguramiento en tiempo real.</t>
        </is>
      </c>
      <c r="K104" s="60" t="inlineStr">
        <is>
          <t>Y</t>
        </is>
      </c>
      <c r="L104" s="60" t="inlineStr">
        <is>
          <t>https://ieeexplore.ieee.org/document/11349661</t>
        </is>
      </c>
      <c r="M104" s="60" t="inlineStr">
        <is>
          <t>Include</t>
        </is>
      </c>
      <c r="N104" s="60" t="n"/>
      <c r="O104" s="60" t="inlineStr">
        <is>
          <t>Incluido: gemelo logístico con arquitectura edge-nube 5G/6G y componente IA especificado (GBT + LSTM, aprendizaje federado) para detectar anomalías y pronosticar volatilidad; alertas a operadores. Dudas: artículo tipo tutorial, caso ilustrativo sin datos ni resultados (métricas 'indicativas'); HITL implícito en una frase; gobernanza (XAI logs, P7009 fail-safe, certificación dinámica) institucional; end_to_end N pese a decir 'entire supply chain'. [citas verificadas: 6 ok, 0 no encontradas]</t>
        </is>
      </c>
      <c r="P104" s="60" t="inlineStr">
        <is>
          <t>2026-09-06</t>
        </is>
      </c>
      <c r="Q104" s="16" t="inlineStr">
        <is>
          <t>Confirmado 2026-09-06 por Rodrigo (vibo)</t>
        </is>
      </c>
    </row>
    <row r="105">
      <c r="A105" s="49" t="inlineStr">
        <is>
          <t>R0551</t>
        </is>
      </c>
      <c r="B105" s="49" t="inlineStr">
        <is>
          <t>Kawaguchi N.; Asai Y.; Kano K.; Takaki K.; Mori Y.; Suzuki Y.; Watanabe K.; Gushi Y.; Katayama S.; Urano K.; Yonezawa T.; Hashiguchi S.</t>
        </is>
      </c>
      <c r="C105" s="49" t="n">
        <v>2025</v>
      </c>
      <c r="D105" s="49" t="inlineStr">
        <is>
          <t>Digitization Methods for a Logistics Warehouse Towards Digital Twin-Driven Optimization</t>
        </is>
      </c>
      <c r="E105" s="49" t="inlineStr">
        <is>
          <t>Proceedings - 2025 IEEE International Conference on Smart Computing, SMARTCOMP 2025</t>
        </is>
      </c>
      <c r="F105" s="49" t="inlineStr">
        <is>
          <t>Conference paper</t>
        </is>
      </c>
      <c r="G105" s="49" t="inlineStr">
        <is>
          <t>10.1109/smartcomp65954.2025.00035</t>
        </is>
      </c>
      <c r="H105" s="49" t="inlineStr">
        <is>
          <t>https://doi.org/10.1109/smartcomp65954.2025.00035</t>
        </is>
      </c>
      <c r="I105" s="49" t="inlineStr"/>
      <c r="J105" s="49" t="inlineStr">
        <is>
          <t>gemelo sólo en título e índice (excepción R0272); verificar en texto completo.</t>
        </is>
      </c>
      <c r="K105" s="60" t="inlineStr">
        <is>
          <t>N</t>
        </is>
      </c>
      <c r="L105" s="60" t="inlineStr">
        <is>
          <t>https://doi.org/10.1109/smartcomp65954.2025.00035</t>
        </is>
      </c>
      <c r="M105" s="60" t="n"/>
      <c r="N105" s="60" t="n"/>
      <c r="O105" s="60" t="inlineStr">
        <is>
          <t>NO RECUPERADO. NO RECUPERADO: actas de congreso IEEE Xplore sin suscripcion en Hull ni en el Tec ('Sign in to Continue Reading'; PDF 'denied'). Sin copia abierta: OpenAlex/Semantic Scholar/OpenAIRE/Crossref sin oa_url; Google Scholar no consultado (captcha) y Bing sin resultado. Nota localizador: SCHOLAR CAPTCHA STOPPED RUN AT THIS ROW - not queried on Scholar. Bing fallback found PDF in Nagoya Univ UCLab (Kawaguchi lab) repository; server sends it as an attachment so it was not opened inline (no downloading) - strong candidate, unverified</t>
        </is>
      </c>
      <c r="P105" s="60" t="inlineStr">
        <is>
          <t>2026-09-06</t>
        </is>
      </c>
      <c r="Q105" s="16" t="inlineStr">
        <is>
          <t>Confirmado 2026-09-06 por Rodrigo (vibo)</t>
        </is>
      </c>
    </row>
    <row r="106">
      <c r="A106" s="49" t="inlineStr">
        <is>
          <t>R0554</t>
        </is>
      </c>
      <c r="B106" s="49" t="inlineStr">
        <is>
          <t>Ivanov D.</t>
        </is>
      </c>
      <c r="C106" s="49" t="n">
        <v>2025</v>
      </c>
      <c r="D106" s="49" t="inlineStr">
        <is>
          <t>Conceptual and formal models for design, adaptation, and control of digital twins in supply chain ecosystems</t>
        </is>
      </c>
      <c r="E106" s="49" t="inlineStr">
        <is>
          <t>Omega (United Kingdom)</t>
        </is>
      </c>
      <c r="F106" s="49" t="inlineStr">
        <is>
          <t>Article</t>
        </is>
      </c>
      <c r="G106" s="49" t="inlineStr">
        <is>
          <t>10.1016/j.omega.2025.103356</t>
        </is>
      </c>
      <c r="H106" s="49" t="inlineStr">
        <is>
          <t>https://doi.org/10.1016/j.omega.2025.103356</t>
        </is>
      </c>
      <c r="I106" s="49" t="inlineStr"/>
      <c r="J106" s="49" t="inlineStr"/>
      <c r="K106" s="60" t="inlineStr">
        <is>
          <t>Y</t>
        </is>
      </c>
      <c r="L106" s="60" t="inlineStr">
        <is>
          <t>https://www.sciencedirect.com/science/article/pii/S0305048325000829?via%3Dihub (resolved from https://doi.org/10.1016/j.omega.2025.103356; Open access, Creative Commons; full HTML text read in Chrome, Hull proxy not needed; Omega, December 2025, Arti</t>
        </is>
      </c>
      <c r="M106" s="60" t="inlineStr">
        <is>
          <t>Include</t>
        </is>
      </c>
      <c r="N106" s="60" t="n"/>
      <c r="O106" s="60" t="inlineStr">
        <is>
          <t>Incluido como artículo teórico: el objeto es el concepto de gemelo (modelos conceptuales y formales, teoría de control) con IA constitutiva (IA generativa, agentes, RL con retroalimentación humana, XAI en CERERE). Dudas: la IA se especifica a nivel de arquitectura, no ejecutada; nivel de integración configurable (3-5), postura normativa = 4; hitl_role podría ser Elevated. [citas verificadas: 6 ok, 0 no encontradas]</t>
        </is>
      </c>
      <c r="P106" s="60" t="inlineStr">
        <is>
          <t>2026-09-06</t>
        </is>
      </c>
      <c r="Q106" s="16" t="inlineStr">
        <is>
          <t>Confirmado 2026-09-06 por Rodrigo (vibo)</t>
        </is>
      </c>
    </row>
    <row r="107">
      <c r="A107" s="49" t="inlineStr">
        <is>
          <t>R0564</t>
        </is>
      </c>
      <c r="B107" s="49" t="inlineStr">
        <is>
          <t>Neyra J.; Silva L.; Netto J.; Medina A.</t>
        </is>
      </c>
      <c r="C107" s="49" t="n">
        <v>2025</v>
      </c>
      <c r="D107" s="49" t="inlineStr">
        <is>
          <t>Optimization of Operations in Solid Bulk Port Terminals Using Digital Twin</t>
        </is>
      </c>
      <c r="E107" s="49" t="inlineStr">
        <is>
          <t>Proceedings - Winter Simulation Conference</t>
        </is>
      </c>
      <c r="F107" s="49" t="inlineStr">
        <is>
          <t>Conference paper</t>
        </is>
      </c>
      <c r="G107" s="49" t="inlineStr">
        <is>
          <t>10.1109/wsc68292.2025.11339094</t>
        </is>
      </c>
      <c r="H107" s="49" t="inlineStr">
        <is>
          <t>https://doi.org/10.1109/wsc68292.2025.11339094</t>
        </is>
      </c>
      <c r="I107" s="49" t="inlineStr"/>
      <c r="J107" s="49" t="inlineStr"/>
      <c r="K107" s="60" t="inlineStr">
        <is>
          <t>Y</t>
        </is>
      </c>
      <c r="L107" s="60" t="inlineStr">
        <is>
          <t>https://www.informs-sim.org/wsc25papers/con221.pdf</t>
        </is>
      </c>
      <c r="M107" s="60" t="inlineStr">
        <is>
          <t>Include</t>
        </is>
      </c>
      <c r="N107" s="60" t="n"/>
      <c r="O107" s="60" t="inlineStr">
        <is>
          <t>Incluida: gemelo implementado (simulación de agentes AnyLogic + optimizador ACS), validado con datos reales de terminal brasileño (KPIs &lt;5%). IA = metaheurística colonia de hormigas con feromonas adaptativas; ML sólo trabajo futuro; agentes son entidades de simulación, no inteligentes. Enlace tiempo real declarado en futuro. HITL implícito: soporte a decisión, usuario fija pesos/parámetros. Dudas: criterio 3, evidence_type. [citas verificadas: 5 ok, 1 no encontradas]</t>
        </is>
      </c>
      <c r="P107" s="60" t="inlineStr">
        <is>
          <t>2026-09-06</t>
        </is>
      </c>
      <c r="Q107" s="16" t="inlineStr">
        <is>
          <t>Confirmado 2026-09-06 por Rodrigo (vibo)</t>
        </is>
      </c>
    </row>
    <row r="108">
      <c r="A108" s="49" t="inlineStr">
        <is>
          <t>R0584</t>
        </is>
      </c>
      <c r="B108" s="49" t="inlineStr">
        <is>
          <t>Abdelnabi A.B.; Rabadi G.</t>
        </is>
      </c>
      <c r="C108" s="49" t="n">
        <v>2025</v>
      </c>
      <c r="D108" s="49" t="inlineStr">
        <is>
          <t>Real-Time Medical Aid Delivery: A Digital Twin Approach with Dynamic Vehicle Routing Problem</t>
        </is>
      </c>
      <c r="E108" s="49" t="inlineStr">
        <is>
          <t>2025 IEEE 5th International Conference on Digital Twins and Parallel Intelligence, DTPI 2025</t>
        </is>
      </c>
      <c r="F108" s="49" t="inlineStr">
        <is>
          <t>Conference paper</t>
        </is>
      </c>
      <c r="G108" s="49" t="inlineStr">
        <is>
          <t>10.1109/dtpi65196.2025.11088823</t>
        </is>
      </c>
      <c r="H108" s="49" t="inlineStr">
        <is>
          <t>https://doi.org/10.1109/dtpi65196.2025.11088823</t>
        </is>
      </c>
      <c r="I108" s="49" t="inlineStr"/>
      <c r="J108" s="49" t="inlineStr"/>
      <c r="K108" s="60" t="inlineStr">
        <is>
          <t>N</t>
        </is>
      </c>
      <c r="L108" s="60" t="inlineStr">
        <is>
          <t>https://doi.org/10.1109/dtpi65196.2025.11088823</t>
        </is>
      </c>
      <c r="M108" s="60" t="n"/>
      <c r="N108" s="60" t="n"/>
      <c r="O108" s="60" t="inlineStr">
        <is>
          <t>NO RECUPERADO. NO RECUPERADO: actas de congreso IEEE Xplore sin suscripcion en Hull ni en el Tec ('Sign in to Continue Reading'; PDF 'denied'). Sin copia abierta: OpenAlex/Semantic Scholar/OpenAIRE/Crossref sin oa_url; Google Scholar no consultado (captcha) y Bing sin resultado. Nota localizador: Not queried on Scholar (CAPTCHA). Bing: IEEE/SemanticScholar/dblp/researchr/scite only - no repository PDF</t>
        </is>
      </c>
      <c r="P108" s="60" t="inlineStr">
        <is>
          <t>2026-09-06</t>
        </is>
      </c>
      <c r="Q108" s="16" t="inlineStr">
        <is>
          <t>Confirmado 2026-09-06 por Rodrigo (vibo)</t>
        </is>
      </c>
    </row>
    <row r="109">
      <c r="A109" s="49" t="inlineStr">
        <is>
          <t>R0589</t>
        </is>
      </c>
      <c r="B109" s="49" t="inlineStr">
        <is>
          <t>Shang, W; Wang, YJ; Zhu, AD; Chen, Y; Fu, PH; Li, XL; Zhu, LF; Sheng, JQ; Zhang, B; Yue, J</t>
        </is>
      </c>
      <c r="C109" s="49" t="n">
        <v>2025</v>
      </c>
      <c r="D109" s="49" t="inlineStr">
        <is>
          <t>DigiPyramid: A Multiresolution Digital Twin Framework for Reliable Logistics Management-Conceptualization, Implementation, and Intelligentization</t>
        </is>
      </c>
      <c r="E109" s="49" t="inlineStr">
        <is>
          <t>IEEE ACCESS</t>
        </is>
      </c>
      <c r="F109" s="49" t="inlineStr">
        <is>
          <t>Article</t>
        </is>
      </c>
      <c r="G109" s="49" t="inlineStr">
        <is>
          <t>10.1109/access.2025.3606168</t>
        </is>
      </c>
      <c r="H109" s="49" t="inlineStr">
        <is>
          <t>https://doi.org/10.1109/access.2025.3606168</t>
        </is>
      </c>
      <c r="I109" s="49" t="inlineStr"/>
      <c r="J109" s="49" t="inlineStr"/>
      <c r="K109" s="60" t="inlineStr">
        <is>
          <t>Y</t>
        </is>
      </c>
      <c r="L109" s="60" t="inlineStr">
        <is>
          <t>https://ieeexplore.ieee.org/document/11151263</t>
        </is>
      </c>
      <c r="M109" s="60" t="inlineStr">
        <is>
          <t>Include</t>
        </is>
      </c>
      <c r="N109" s="60" t="n"/>
      <c r="O109" s="60" t="inlineStr">
        <is>
          <t>Incluido: gemelo multirresolución implementado (RPA, AHP) en logística nacional china; IA nombrada y empleada: redes bayesianas (estimación de datos en breakpoints/gray boxes) y visión por computador (black boxes). Humanos deciden en cuatro niveles (estructura en campo extra hitl_decision_levels). Dudas: IA descrita brevemente, sin métricas; RPA/AHP no son IA; end_to_end=N (sin proveedores); hitl_role 'Maintained' vs 'Elevated'. [citas verificadas: 6 ok, 0 no encontradas]</t>
        </is>
      </c>
      <c r="P109" s="60" t="inlineStr">
        <is>
          <t>2026-09-06</t>
        </is>
      </c>
      <c r="Q109" s="16" t="inlineStr">
        <is>
          <t>Confirmado 2026-09-06 por Rodrigo (vibo)</t>
        </is>
      </c>
    </row>
    <row r="110">
      <c r="A110" s="49" t="inlineStr">
        <is>
          <t>R0591</t>
        </is>
      </c>
      <c r="B110" s="49" t="inlineStr">
        <is>
          <t>Zhou, LY; Leng, SP; Quek, TQS</t>
        </is>
      </c>
      <c r="C110" s="49" t="n">
        <v>2025</v>
      </c>
      <c r="D110" s="49" t="inlineStr">
        <is>
          <t>VerDT: A Versatile Digital Twins Framework for UAVs-Based Industrial Cyber-Physical Systems</t>
        </is>
      </c>
      <c r="E110" s="49" t="inlineStr">
        <is>
          <t>IEEE TRANSACTIONS ON MOBILE COMPUTING</t>
        </is>
      </c>
      <c r="F110" s="49" t="inlineStr">
        <is>
          <t>Article</t>
        </is>
      </c>
      <c r="G110" s="49" t="inlineStr">
        <is>
          <t>10.1109/tmc.2025.3567284</t>
        </is>
      </c>
      <c r="H110" s="49" t="inlineStr">
        <is>
          <t>https://doi.org/10.1109/tmc.2025.3567284</t>
        </is>
      </c>
      <c r="I110" s="49" t="inlineStr"/>
      <c r="J110" s="49" t="inlineStr"/>
      <c r="K110" s="60" t="inlineStr">
        <is>
          <t>Y</t>
        </is>
      </c>
      <c r="L110" s="60" t="inlineStr">
        <is>
          <t>https://ieeexplore.ieee.org/document/10989527</t>
        </is>
      </c>
      <c r="M110" s="60" t="inlineStr">
        <is>
          <t>Include</t>
        </is>
      </c>
      <c r="N110" s="60" t="n"/>
      <c r="O110" s="60" t="inlineStr">
        <is>
          <t>Incluido: gemelo doble (RST+PPT) en UAV de borde para reparto de paquetes; métodos IA explícitos (GAN/CNN, atención multimodal, MA-DDPG, PSO), no solo scheduling. Evaluación HIL: datos de DJI reales + Gazebo. Humano: solo 'sin ayuda de mano de obra' en el resumen; no se discute operador. Duda: Plan=Y si el scheduling se considera planificación; 'Replaced' vs 'Not discussed'. [citas verificadas: 6 ok, 0 no encontradas]</t>
        </is>
      </c>
      <c r="P110" s="60" t="inlineStr">
        <is>
          <t>2026-09-06</t>
        </is>
      </c>
      <c r="Q110" s="16" t="inlineStr">
        <is>
          <t>Confirmado 2026-09-06 por Rodrigo (vibo)</t>
        </is>
      </c>
    </row>
    <row r="111">
      <c r="A111" s="49" t="inlineStr">
        <is>
          <t>R0614</t>
        </is>
      </c>
      <c r="B111" s="49" t="inlineStr">
        <is>
          <t>Biller B.; Biller S.</t>
        </is>
      </c>
      <c r="C111" s="49" t="n">
        <v>2023</v>
      </c>
      <c r="D111" s="49" t="inlineStr">
        <is>
          <t>Implementing Digital Twins That Learn: AI and Simulation Are at the Core</t>
        </is>
      </c>
      <c r="E111" s="49" t="inlineStr">
        <is>
          <t>Machines</t>
        </is>
      </c>
      <c r="F111" s="49" t="inlineStr">
        <is>
          <t>Article</t>
        </is>
      </c>
      <c r="G111" s="49" t="inlineStr">
        <is>
          <t>10.3390/machines11040425</t>
        </is>
      </c>
      <c r="H111" s="49" t="inlineStr">
        <is>
          <t>https://doi.org/10.3390/machines11040425</t>
        </is>
      </c>
      <c r="I111" s="49" t="inlineStr"/>
      <c r="J111" s="49" t="inlineStr"/>
      <c r="K111" s="60" t="inlineStr">
        <is>
          <t>Y</t>
        </is>
      </c>
      <c r="L111" s="60" t="inlineStr">
        <is>
          <t>https://www.mdpi.com/2075-1702/11/4/425 (resolved from https://doi.org/10.3390/machines11040425; MDPI open access, full HTML text, sections 1-8)</t>
        </is>
      </c>
      <c r="M111" s="60" t="inlineStr">
        <is>
          <t>Include</t>
        </is>
      </c>
      <c r="N111" s="60" t="n"/>
      <c r="O111" s="60" t="inlineStr">
        <is>
          <t>Incluido: artículo conceptual cuyo objeto es el gemelo de proceso (fábrica/cadena) que aprende, con simulación de eventos discretos, ML (metamodelo), RL (agentes de control) y visión por computador. Dudas: foco en el gemelo de fábrica (el de cadena solo se esboza: Source/end_to_end débiles); rol humano implícito (recomendaciones al gerente de planta), no discutido; nivel 4 vs 5 por lazo cerrado. [citas verificadas: 6 ok, 0 no encontradas]</t>
        </is>
      </c>
      <c r="P111" s="60" t="inlineStr">
        <is>
          <t>2026-09-06</t>
        </is>
      </c>
      <c r="Q111" s="16" t="inlineStr">
        <is>
          <t>Confirmado 2026-09-06 por Rodrigo (vibo)</t>
        </is>
      </c>
    </row>
    <row r="112">
      <c r="A112" s="49" t="inlineStr">
        <is>
          <t>R0621</t>
        </is>
      </c>
      <c r="B112" s="49" t="inlineStr">
        <is>
          <t>Melesse T.Y.; Bollo M.; Di Pasquale V.; Riemma S.</t>
        </is>
      </c>
      <c r="C112" s="49" t="n">
        <v>2022</v>
      </c>
      <c r="D112" s="49" t="inlineStr">
        <is>
          <t>Digital Twin for Inventory Planning of Fresh Produce</t>
        </is>
      </c>
      <c r="E112" s="49" t="inlineStr">
        <is>
          <t>IFAC-PapersOnLine</t>
        </is>
      </c>
      <c r="F112" s="49" t="inlineStr">
        <is>
          <t>Conference paper</t>
        </is>
      </c>
      <c r="G112" s="49" t="inlineStr">
        <is>
          <t>10.1016/j.ifacol.2022.10.134</t>
        </is>
      </c>
      <c r="H112" s="49" t="inlineStr">
        <is>
          <t>https://doi.org/10.1016/j.ifacol.2022.10.134</t>
        </is>
      </c>
      <c r="I112" s="49" t="inlineStr"/>
      <c r="J112" s="49" t="inlineStr"/>
      <c r="K112" s="60" t="inlineStr">
        <is>
          <t>Y</t>
        </is>
      </c>
      <c r="L112" s="60" t="inlineStr">
        <is>
          <t>https://www.sciencedirect.com/science/article/pii/S2405896322021474/pdf (resolved from https://doi.org/10.1016/j.ifacol.2022.10.134; PDF served as main.pdf from pdf.sciencedirectassets.com, open access CC BY-NC-ND, 6 pages, IFAC-PapersOnLine 55-10 (2</t>
        </is>
      </c>
      <c r="M112" s="60" t="inlineStr">
        <is>
          <t>Include</t>
        </is>
      </c>
      <c r="N112" s="60" t="n"/>
      <c r="O112" s="60" t="inlineStr">
        <is>
          <t>Incluido: gemelo = pronóstico de series temporales en SAP Analytics Cloud (Smart Predict, partición 75/25, selección automática de modelo; algoritmo no nombrado) con datos históricos reales del banco de alimentos; los operadores deciden reprogramaciones según pronóstico y escenarios what-if. Dudas: ai_technique 'Other' vs 'Classical ML'; hitl_role 'Maintained' vs 'Elevated'; sin métricas de precisión; ¿gemelo o tablero predictivo? [citas verificadas: 5 ok, 1 no encontradas]</t>
        </is>
      </c>
      <c r="P112" s="60" t="inlineStr">
        <is>
          <t>2026-09-06</t>
        </is>
      </c>
      <c r="Q112" s="16" t="inlineStr">
        <is>
          <t>Confirmado 2026-09-06 por Rodrigo (vibo)</t>
        </is>
      </c>
    </row>
    <row r="113">
      <c r="A113" s="49" t="inlineStr">
        <is>
          <t>R0629</t>
        </is>
      </c>
      <c r="B113" s="49" t="inlineStr">
        <is>
          <t>Shi L.; Yan L.; Shuqing B.; Cuobo Z.; Yuanchong C.</t>
        </is>
      </c>
      <c r="C113" s="49" t="n">
        <v>2021</v>
      </c>
      <c r="D113" s="49" t="inlineStr">
        <is>
          <t>Research on Intelligent Assembly Modes of Aerospace Products Based on Digital Twin</t>
        </is>
      </c>
      <c r="E113" s="49" t="inlineStr">
        <is>
          <t>Journal of Physics: Conference Series</t>
        </is>
      </c>
      <c r="F113" s="49" t="inlineStr">
        <is>
          <t>Conference paper</t>
        </is>
      </c>
      <c r="G113" s="49" t="inlineStr">
        <is>
          <t>10.1088/1742-6596/1756/1/012011</t>
        </is>
      </c>
      <c r="H113" s="49" t="inlineStr">
        <is>
          <t>https://doi.org/10.1088/1742-6596/1756/1/012011</t>
        </is>
      </c>
      <c r="I113" s="49" t="inlineStr">
        <is>
          <t>Make</t>
        </is>
      </c>
      <c r="J113" s="49" t="inlineStr"/>
      <c r="K113" s="60" t="inlineStr">
        <is>
          <t>Y</t>
        </is>
      </c>
      <c r="L113" s="60" t="inlineStr">
        <is>
          <t>https://iopscience.iop.org/article/10.1088/1742-6596/1756/1/012011/pdf</t>
        </is>
      </c>
      <c r="M113" s="60" t="inlineStr">
        <is>
          <t>Include</t>
        </is>
      </c>
      <c r="N113" s="60" t="n"/>
      <c r="O113" s="60" t="inlineStr">
        <is>
          <t>Incluido: gemelo digital implantado de taller y linea de montaje aeroespacial con logistica interna (distribucion automatica, almacen, rutas, inventario). Duda: la IA es debil y no es de aprendizaje: solo 'data mining' y 'fuzzy reasoning rules' mas bases de conocimiento; la 'optimizacion de dos niveles' no nombra algoritmo ni da resultados. Rol humano nunca discutido. Verificar si basta. [citas verificadas: 6 ok, 0 no encontradas]</t>
        </is>
      </c>
      <c r="P113" s="60" t="inlineStr">
        <is>
          <t>2026-09-06</t>
        </is>
      </c>
      <c r="Q113" s="16" t="inlineStr">
        <is>
          <t>Confirmado 2026-09-06 por Rodrigo (vibo)</t>
        </is>
      </c>
    </row>
    <row r="114">
      <c r="A114" s="49" t="inlineStr">
        <is>
          <t>R0639</t>
        </is>
      </c>
      <c r="B114" s="49" t="inlineStr">
        <is>
          <t>Gao D.; Zhao H.</t>
        </is>
      </c>
      <c r="C114" s="49" t="n">
        <v>2026</v>
      </c>
      <c r="D114" s="49" t="inlineStr">
        <is>
          <t>A Big Data-Driven Knowledge Framework for Supply Chain Risk Prediction and Performance Optimization in Multinational Corporations</t>
        </is>
      </c>
      <c r="E114" s="49" t="inlineStr">
        <is>
          <t>International Journal of Knowledge Management</t>
        </is>
      </c>
      <c r="F114" s="49" t="inlineStr">
        <is>
          <t>Article</t>
        </is>
      </c>
      <c r="G114" s="49" t="inlineStr">
        <is>
          <t>10.4018/ijkm.402393</t>
        </is>
      </c>
      <c r="H114" s="49" t="inlineStr">
        <is>
          <t>https://doi.org/10.4018/ijkm.402393</t>
        </is>
      </c>
      <c r="I114" s="49" t="inlineStr"/>
      <c r="J114" s="49" t="inlineStr">
        <is>
          <t>gemelo enunciado como mecanismo ("translated into resilience strategies through optimization and digital-twin simulations") sobre datos simulados; el texto completo decide.</t>
        </is>
      </c>
      <c r="K114" s="60" t="inlineStr">
        <is>
          <t>Y</t>
        </is>
      </c>
      <c r="L114" s="60" t="inlineStr">
        <is>
          <t>https://www.igi-global.com/gateway/article/full-text-html/402393</t>
        </is>
      </c>
      <c r="M114" s="60" t="inlineStr">
        <is>
          <t>Include</t>
        </is>
      </c>
      <c r="N114" s="60" t="n"/>
      <c r="O114" s="60" t="inlineStr">
        <is>
          <t>Incluido: el gemelo digital se construye y ejecuta ('A digital twin was created for each corporation'), con resultados propios (Tabla 4, Figura 2) y el indice de resiliencia derivado de el. Duda para Rodrigo: todo es sintetico, sin sistema real ni arquitectura del gemelo; si exiges contraparte fisica, excluir por 'No digital twin / digital model'. [citas verificadas: 6 ok, 0 no encontradas]</t>
        </is>
      </c>
      <c r="P114" s="60" t="inlineStr">
        <is>
          <t>2026-09-06</t>
        </is>
      </c>
      <c r="Q114" s="16" t="inlineStr">
        <is>
          <t>Confirmado 2026-09-06 por Rodrigo (vibo)</t>
        </is>
      </c>
    </row>
    <row r="115">
      <c r="A115" s="49" t="inlineStr">
        <is>
          <t>R0643</t>
        </is>
      </c>
      <c r="B115" s="49" t="inlineStr">
        <is>
          <t>Sontakke P.; Chandre P.; Dhotre P.; Pathak G.</t>
        </is>
      </c>
      <c r="C115" s="49" t="n">
        <v>2026</v>
      </c>
      <c r="D115" s="49" t="inlineStr">
        <is>
          <t>Enhancing Resource Management in Dyeing Industry Supply Chain Using Artificial Intelligence</t>
        </is>
      </c>
      <c r="E115" s="49" t="inlineStr">
        <is>
          <t>Lecture Notes in Networks and Systems</t>
        </is>
      </c>
      <c r="F115" s="49" t="inlineStr">
        <is>
          <t>Conference paper</t>
        </is>
      </c>
      <c r="G115" s="49" t="inlineStr">
        <is>
          <t>10.1007/978-3-032-13003-7_15</t>
        </is>
      </c>
      <c r="H115" s="49" t="inlineStr">
        <is>
          <t>https://doi.org/10.1007/978-3-032-13003-7_15</t>
        </is>
      </c>
      <c r="I115" s="49" t="inlineStr">
        <is>
          <t>Make</t>
        </is>
      </c>
      <c r="J115" s="49" t="inlineStr"/>
      <c r="K115" s="60" t="inlineStr">
        <is>
          <t>N</t>
        </is>
      </c>
      <c r="L115" s="60" t="inlineStr">
        <is>
          <t>https://link-springer-com.hull.idm.oclc.org/chapter/10.1007/978-3-032-13003-7_15</t>
        </is>
      </c>
      <c r="M115" s="60" t="n"/>
      <c r="N115" s="60" t="n"/>
      <c r="O115" s="60" t="inlineStr">
        <is>
          <t>NO RECUPERADO. Texto completo no accesible. Con el proxy de Hull la pagina de Springer solo muestra el resumen y "This is a preview of subscription content": Hull no tiene suscripcion. OpenAlex: is_oa false, oa_status closed, sin oa_url. Semantic Scholar: DOI no encontrado (404). Google Scholar: unico resultado sin enlace [PDF]. No hay copia abierta; se necesita descarga manual.</t>
        </is>
      </c>
      <c r="P115" s="60" t="inlineStr">
        <is>
          <t>2026-09-06</t>
        </is>
      </c>
      <c r="Q115" s="16" t="inlineStr">
        <is>
          <t>Confirmado 2026-09-06 por Rodrigo (vibo)</t>
        </is>
      </c>
    </row>
    <row r="116">
      <c r="A116" s="49" t="inlineStr">
        <is>
          <t>R0663</t>
        </is>
      </c>
      <c r="B116" s="49" t="inlineStr">
        <is>
          <t>Lu X.; Lin Y.; Ng H.; Liu Y.</t>
        </is>
      </c>
      <c r="C116" s="49" t="n">
        <v>2025</v>
      </c>
      <c r="D116" s="49" t="inlineStr">
        <is>
          <t>When Interpretability Meets Efficiency: Integrating Emulation into Supply Chain Simulation</t>
        </is>
      </c>
      <c r="E116" s="49" t="inlineStr">
        <is>
          <t>Proceedings - Winter Simulation Conference</t>
        </is>
      </c>
      <c r="F116" s="49" t="inlineStr">
        <is>
          <t>Conference paper</t>
        </is>
      </c>
      <c r="G116" s="49" t="inlineStr">
        <is>
          <t>10.1109/wsc68292.2025.11339053</t>
        </is>
      </c>
      <c r="H116" s="49" t="inlineStr">
        <is>
          <t>https://doi.org/10.1109/wsc68292.2025.11339053</t>
        </is>
      </c>
      <c r="I116" s="49" t="inlineStr"/>
      <c r="J116" s="49" t="inlineStr">
        <is>
          <t>objeto = simulador gemelo de cadena acelerado con emulación por ML; verificar que el simulador se conserve como gemelo.</t>
        </is>
      </c>
      <c r="K116" s="60" t="inlineStr">
        <is>
          <t>Y</t>
        </is>
      </c>
      <c r="L116" s="60" t="inlineStr">
        <is>
          <t>https://www.informs-sim.org/wsc25papers/ccsp106.pdf (open WSC 2025 proceedings copy on informs-sim.org, Commercial Case Studies track, pp. 462-473; located via https://informs-sim.org/wsc25papers/Program_Track.html; IEEE Xplore copy not used)</t>
        </is>
      </c>
      <c r="M116" s="60" t="inlineStr">
        <is>
          <t>Include</t>
        </is>
      </c>
      <c r="N116" s="60" t="n"/>
      <c r="O116" s="60" t="inlineStr">
        <is>
          <t>Incluido: modelo digital operativo de la cadena minorista de Amazon (pedidos→proveedores→inbound→outbound) con emuladores ML (XGBoost monotónico, GP), validado contra volumen real (§4.5; ejemplos §4.1-4.4 sintéticos). Duda: los autores llaman 'digital-twin' al simulador base, no a SEmulate ('simulador híbrido'). HITL implícito: interpretabilidad para stakeholders, usuarios eligen modelos e intervenciones; decisiones externas. Alternativa hitl_role: Elevated. [citas verificadas: 6 ok, 0 no encontradas]</t>
        </is>
      </c>
      <c r="P116" s="60" t="inlineStr">
        <is>
          <t>2026-09-06</t>
        </is>
      </c>
      <c r="Q116" s="16" t="inlineStr">
        <is>
          <t>Confirmado 2026-09-06 por Rodrigo (vibo)</t>
        </is>
      </c>
    </row>
    <row r="117">
      <c r="A117" s="49" t="inlineStr">
        <is>
          <t>R0664</t>
        </is>
      </c>
      <c r="B117" s="49" t="inlineStr">
        <is>
          <t>Dolgui A.; Ivanov D.</t>
        </is>
      </c>
      <c r="C117" s="49" t="n">
        <v>2025</v>
      </c>
      <c r="D117" s="49" t="inlineStr">
        <is>
          <t>Internet of behaviors: conceptual model, practical and theoretical implications for supply chain and operations management</t>
        </is>
      </c>
      <c r="E117" s="49" t="inlineStr">
        <is>
          <t>International Journal of Production Research</t>
        </is>
      </c>
      <c r="F117" s="49" t="inlineStr">
        <is>
          <t>Article</t>
        </is>
      </c>
      <c r="G117" s="49" t="inlineStr">
        <is>
          <t>10.1080/00207543.2024.2372008</t>
        </is>
      </c>
      <c r="H117" s="49" t="inlineStr">
        <is>
          <t>https://doi.org/10.1080/00207543.2024.2372008</t>
        </is>
      </c>
      <c r="I117" s="49" t="inlineStr"/>
      <c r="J117" s="49" t="inlineStr"/>
      <c r="K117" s="60" t="inlineStr">
        <is>
          <t>Y</t>
        </is>
      </c>
      <c r="L117" s="60" t="inlineStr">
        <is>
          <t>https://www.tandfonline.com/doi/full/10.1080/00207543.2024.2372008 (full HTML text accessible without proxy; Chrome mode)</t>
        </is>
      </c>
      <c r="M117" s="60" t="inlineStr">
        <is>
          <t>Exclude</t>
        </is>
      </c>
      <c r="N117" s="60" t="inlineStr">
        <is>
          <t>No AI/ML component</t>
        </is>
      </c>
      <c r="O117" s="60" t="inlineStr">
        <is>
          <t>Excluir (propuesta): position paper sin implementación; IA solo como habilitador enumerado en el nivel 3 del gemelo (‘AI and generative AI’) y agenda futura, sin método ni mecanismo; gemelo como lente, no objeto. Duda: Secc. 4 atribuye a IA generativa predicción/optimización/anomalías y DSS autoaprendientes (iDT, cf. R0309); si constitutiva: Conceptual, Other, Decision support, nivel 3-4, HITL Elevated (alt. Maintained)/Interpret outputs. [citas verificadas: 5 ok, 1 no encontradas]</t>
        </is>
      </c>
      <c r="P117" s="60" t="inlineStr">
        <is>
          <t>2026-09-06</t>
        </is>
      </c>
      <c r="Q117" s="16" t="inlineStr">
        <is>
          <t>Confirmado 2026-09-06 por Rodrigo (vibo)</t>
        </is>
      </c>
    </row>
    <row r="118">
      <c r="A118" s="49" t="inlineStr">
        <is>
          <t>R0674</t>
        </is>
      </c>
      <c r="B118" s="49" t="inlineStr">
        <is>
          <t>Ashraf M.; Eltawil A.; Ali I.</t>
        </is>
      </c>
      <c r="C118" s="49" t="n">
        <v>2024</v>
      </c>
      <c r="D118" s="49" t="inlineStr">
        <is>
          <t>Disruption detection for a cognitive digital supply chain twin using hybrid deep learning</t>
        </is>
      </c>
      <c r="E118" s="49" t="inlineStr">
        <is>
          <t>Operational Research</t>
        </is>
      </c>
      <c r="F118" s="49" t="inlineStr">
        <is>
          <t>Article</t>
        </is>
      </c>
      <c r="G118" s="49" t="inlineStr">
        <is>
          <t>10.1007/s12351-024-00831-y</t>
        </is>
      </c>
      <c r="H118" s="49" t="inlineStr">
        <is>
          <t>https://doi.org/10.1007/s12351-024-00831-y</t>
        </is>
      </c>
      <c r="I118" s="49" t="inlineStr"/>
      <c r="J118" s="49" t="inlineStr"/>
      <c r="K118" s="60" t="inlineStr">
        <is>
          <t>Y</t>
        </is>
      </c>
      <c r="L118" s="60" t="inlineStr">
        <is>
          <t>https://link.springer.com/article/10.1007/s12351-024-00831-y</t>
        </is>
      </c>
      <c r="M118" s="60" t="inlineStr">
        <is>
          <t>Include</t>
        </is>
      </c>
      <c r="N118" s="60" t="n"/>
      <c r="O118" s="60" t="inlineStr">
        <is>
          <t>Incluido: CDSCT con arquitectura explícita (Fig. 1a/b: datos en tiempo real → autoencoder+OCSVM detecta → LSTM identifica escalón y predice TTR); tres escalones; ML ejecutado. Humano (implícito): decisor externo que interpreta salidas y fija la sensibilidad (nu); sin aprobación. Dudas: el 'sistema físico' es simulación AnyLogic (sin caso real); Plan=Y discutible (gestión de riesgo); nivel 2 vs 3. [citas verificadas: 6 ok, 0 no encontradas]</t>
        </is>
      </c>
      <c r="P118" s="60" t="inlineStr">
        <is>
          <t>2026-09-06</t>
        </is>
      </c>
      <c r="Q118" s="16" t="inlineStr">
        <is>
          <t>Confirmado 2026-09-06 por Rodrigo (vibo)</t>
        </is>
      </c>
    </row>
    <row r="120">
      <c r="A120" s="61" t="inlineStr">
        <is>
          <t>SUMMARY (copy into PRISMA_log when the full-text stage closes)</t>
        </is>
      </c>
    </row>
    <row r="121">
      <c r="A121" s="16" t="inlineStr">
        <is>
          <t>Reports sought for retrieval</t>
        </is>
      </c>
      <c r="B121" s="16">
        <f>COUNTA(A2:A118)</f>
        <v/>
      </c>
    </row>
    <row r="122">
      <c r="A122" s="16" t="inlineStr">
        <is>
          <t>Reports not retrievable (Retrieved = N)</t>
        </is>
      </c>
      <c r="B122" s="16">
        <f>COUNTIF(K2:K118,"N")</f>
        <v/>
      </c>
    </row>
    <row r="123">
      <c r="A123" s="16" t="inlineStr">
        <is>
          <t>Reports assessed (Retrieved = Y)</t>
        </is>
      </c>
      <c r="B123" s="16">
        <f>COUNTIF(K2:K118,"Y")</f>
        <v/>
      </c>
    </row>
    <row r="124">
      <c r="A124" s="16" t="inlineStr">
        <is>
          <t>Excluded: no AI/ML component</t>
        </is>
      </c>
      <c r="B124" s="16">
        <f>COUNTIF(N2:N118,"No AI/ML component")</f>
        <v/>
      </c>
    </row>
    <row r="125">
      <c r="A125" s="16" t="inlineStr">
        <is>
          <t>Excluded: no digital twin / digital model</t>
        </is>
      </c>
      <c r="B125" s="16">
        <f>COUNTIF(N2:N118,"No digital twin / digital model")</f>
        <v/>
      </c>
    </row>
    <row r="126">
      <c r="A126" s="16" t="inlineStr">
        <is>
          <t>Excluded: no supply chain / logistics scope</t>
        </is>
      </c>
      <c r="B126" s="16">
        <f>COUNTIF(N2:N118,"No supply chain / logistics scope")</f>
        <v/>
      </c>
    </row>
    <row r="127">
      <c r="A127" s="16" t="inlineStr">
        <is>
          <t>Excluded: not peer-reviewed / low-quality venue</t>
        </is>
      </c>
      <c r="B127" s="16">
        <f>COUNTIF(N2:N118,"Not peer-reviewed / low-quality venue")</f>
        <v/>
      </c>
    </row>
    <row r="128">
      <c r="A128" s="16" t="inlineStr">
        <is>
          <t>Excluded: other</t>
        </is>
      </c>
      <c r="B128" s="16">
        <f>COUNTIF(N2:N118,"Other (note reason)")</f>
        <v/>
      </c>
    </row>
    <row r="129">
      <c r="A129" s="16" t="inlineStr">
        <is>
          <t>Included after full text (FT decision = Include)</t>
        </is>
      </c>
      <c r="B129" s="16">
        <f>COUNTIF(M2:M118,"Include")</f>
        <v/>
      </c>
    </row>
    <row r="130">
      <c r="A130" s="16" t="inlineStr">
        <is>
          <t>Pending (retrieved, no FT decision yet)</t>
        </is>
      </c>
      <c r="B130" s="16">
        <f>COUNTIF(K2:K118,"Y")-COUNTIF(M2:M118,"Include")-COUNTIF(M2:M118,"Exclude")</f>
        <v/>
      </c>
    </row>
  </sheetData>
  <autoFilter ref="A1:Q118"/>
  <dataValidations count="3">
    <dataValidation sqref="K2:K118" showDropDown="0" showInputMessage="0" showErrorMessage="0" allowBlank="1" type="list">
      <formula1>"Y,N"</formula1>
    </dataValidation>
    <dataValidation sqref="M2:M118" showDropDown="0" showInputMessage="0" showErrorMessage="0" allowBlank="1" type="list">
      <formula1>"Include,Exclude"</formula1>
    </dataValidation>
    <dataValidation sqref="N2:N118" showDropDown="0" showInputMessage="0" showErrorMessage="0" allowBlank="1" type="list">
      <formula1>"No AI/ML component,No digital twin / digital model,No supply chain / logistics scope,Not peer-reviewed / low-quality venue,Other (note reason)"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84"/>
  <sheetViews>
    <sheetView workbookViewId="0">
      <pane ySplit="1" topLeftCell="A2" activePane="bottomLeft" state="frozen"/>
      <selection pane="bottomLeft" activeCell="A1" sqref="A1"/>
    </sheetView>
  </sheetViews>
  <sheetFormatPr baseColWidth="8" defaultRowHeight="15"/>
  <cols>
    <col width="8" customWidth="1" style="17" min="1" max="1"/>
    <col width="14" customWidth="1" style="17" min="2" max="2"/>
    <col width="90" customWidth="1" style="17" min="3" max="3"/>
    <col width="40" customWidth="1" style="17" min="4" max="4"/>
    <col width="12" customWidth="1" style="17" min="5" max="5"/>
  </cols>
  <sheetData>
    <row r="1">
      <c r="A1" s="35" t="inlineStr">
        <is>
          <t>ID</t>
        </is>
      </c>
      <c r="B1" s="35" t="inlineStr">
        <is>
          <t>Status</t>
        </is>
      </c>
      <c r="C1" s="35" t="inlineStr">
        <is>
          <t>Quote (verbatim)</t>
        </is>
      </c>
      <c r="D1" s="35" t="inlineStr">
        <is>
          <t>Section / page</t>
        </is>
      </c>
      <c r="E1" s="35" t="inlineStr">
        <is>
          <t>Verified in saved full text</t>
        </is>
      </c>
    </row>
    <row r="2">
      <c r="A2" s="49" t="inlineStr">
        <is>
          <t>R0001</t>
        </is>
      </c>
      <c r="B2" s="49" t="inlineStr">
        <is>
          <t>FT_INCLUDE</t>
        </is>
      </c>
      <c r="C2" s="49" t="inlineStr">
        <is>
          <t>an integrated methodological framework is proposed by coupling a simulation-based DT with cooperative multi-agent reinforcement learning (MARL). Specifically, a five-agent controller was trained to coordinate planning, inventory, logistics, expediting, and recycling decisions under a shared multi-objective reward</t>
        </is>
      </c>
      <c r="D2" s="49" t="inlineStr">
        <is>
          <t>Abstract (p. 1)</t>
        </is>
      </c>
      <c r="E2" s="49" t="inlineStr">
        <is>
          <t>check</t>
        </is>
      </c>
    </row>
    <row r="3">
      <c r="A3" s="49" t="inlineStr">
        <is>
          <t>R0001</t>
        </is>
      </c>
      <c r="B3" s="49" t="inlineStr">
        <is>
          <t>FT_INCLUDE</t>
        </is>
      </c>
      <c r="C3" s="49" t="inlineStr">
        <is>
          <t>The focal system represents a single-commodity, two-echelon supply chain consisting of a production site, a consolidation node for outbound shipments, and customer demand aggregated at regional sinks. A reverse loop returns recovered materials to upstream stages</t>
        </is>
      </c>
      <c r="D3" s="49" t="inlineStr">
        <is>
          <t>3.1 Problem description (p. 6)</t>
        </is>
      </c>
      <c r="E3" s="49" t="inlineStr">
        <is>
          <t>Y</t>
        </is>
      </c>
    </row>
    <row r="4">
      <c r="A4" s="49" t="inlineStr">
        <is>
          <t>R0001</t>
        </is>
      </c>
      <c r="B4" s="49" t="inlineStr">
        <is>
          <t>FT_INCLUDE</t>
        </is>
      </c>
      <c r="C4" s="49" t="inlineStr">
        <is>
          <t>Live data streams from physical operations were not used; instead, synthetic trajectories were generated according to the distributional assumptions and parameter ranges reported in Tables 3 and 4.</t>
        </is>
      </c>
      <c r="D4" s="49" t="inlineStr">
        <is>
          <t>3.1 Problem description (p. 7)</t>
        </is>
      </c>
      <c r="E4" s="49" t="inlineStr">
        <is>
          <t>Y</t>
        </is>
      </c>
    </row>
    <row r="5">
      <c r="A5" s="49" t="inlineStr">
        <is>
          <t>R0001</t>
        </is>
      </c>
      <c r="B5" s="49" t="inlineStr">
        <is>
          <t>FT_INCLUDE</t>
        </is>
      </c>
      <c r="C5" s="49" t="inlineStr">
        <is>
          <t>At deployment, exploration is disabled and only greedy actions are executed. The feasibility (safety) layer remains active, enforcing capacity, non-negativity, service-window, and expedite limits before the DT advances the system.</t>
        </is>
      </c>
      <c r="D5" s="49" t="inlineStr">
        <is>
          <t>3.2.3 Deployment protocol (inference, monitoring, fallback) (p. 10)</t>
        </is>
      </c>
      <c r="E5" s="49" t="inlineStr">
        <is>
          <t>Y</t>
        </is>
      </c>
    </row>
    <row r="6">
      <c r="A6" s="49" t="inlineStr">
        <is>
          <t>R0001</t>
        </is>
      </c>
      <c r="B6" s="49" t="inlineStr">
        <is>
          <t>FT_INCLUDE</t>
        </is>
      </c>
      <c r="C6" s="49" t="inlineStr">
        <is>
          <t>When any hook remains active for multiple consecutive steps, a conservative heuristic fallback policy is triggered and an offline retraining job is scheduled on the updated data distributions.</t>
        </is>
      </c>
      <c r="D6" s="49" t="inlineStr">
        <is>
          <t>3.2.3 Deployment protocol (inference, monitoring, fallback) (p. 10)</t>
        </is>
      </c>
      <c r="E6" s="49" t="inlineStr">
        <is>
          <t>check</t>
        </is>
      </c>
    </row>
    <row r="7">
      <c r="A7" s="49" t="inlineStr">
        <is>
          <t>R0001</t>
        </is>
      </c>
      <c r="B7" s="49" t="inlineStr">
        <is>
          <t>FT_INCLUDE</t>
        </is>
      </c>
      <c r="C7" s="49" t="inlineStr">
        <is>
          <t>It was shown that the preferred operating point is context-dependent, and it should be selected according to the relative priority placed on service versus externalities.</t>
        </is>
      </c>
      <c r="D7" s="49" t="inlineStr">
        <is>
          <t>5.1 Benchmark in the construction setting (p. 14)</t>
        </is>
      </c>
      <c r="E7" s="49" t="inlineStr">
        <is>
          <t>Y</t>
        </is>
      </c>
    </row>
    <row r="8">
      <c r="A8" s="49" t="inlineStr">
        <is>
          <t>R0003</t>
        </is>
      </c>
      <c r="B8" s="49" t="inlineStr">
        <is>
          <t>NOT_RETRIEVED</t>
        </is>
      </c>
      <c r="C8" s="49" t="inlineStr">
        <is>
          <t>It fundamentally synergizes artificial intelligence (multimodal LSTM, PSO), the Internet of Things, knowledge graphs, and digital twins. The proposed approach is rigorously evaluated through a hybrid simulation framework encompassing system dynamics and discrete event modeling.</t>
        </is>
      </c>
      <c r="D8" s="49" t="inlineStr">
        <is>
          <t>Abstract (only part visible; not usable for coding)</t>
        </is>
      </c>
      <c r="E8" s="49" t="inlineStr">
        <is>
          <t>Y</t>
        </is>
      </c>
    </row>
    <row r="9">
      <c r="A9" s="49" t="inlineStr">
        <is>
          <t>R0003</t>
        </is>
      </c>
      <c r="B9" s="49" t="inlineStr">
        <is>
          <t>NOT_RETRIEVED</t>
        </is>
      </c>
      <c r="C9" s="49" t="inlineStr">
        <is>
          <t>Sign in to Continue Reading</t>
        </is>
      </c>
      <c r="D9" s="49" t="inlineStr">
        <is>
          <t>Body, immediately after the first paragraph of I. Introduction (paywall marker shown although header read 'Access provided by: Tec Monterrey (formerly ITESM)')</t>
        </is>
      </c>
      <c r="E9" s="49" t="inlineStr">
        <is>
          <t>Y</t>
        </is>
      </c>
    </row>
    <row r="10">
      <c r="A10" s="49" t="inlineStr">
        <is>
          <t>R0004</t>
        </is>
      </c>
      <c r="B10" s="49" t="inlineStr">
        <is>
          <t>NOT_RETRIEVED</t>
        </is>
      </c>
      <c r="C10" s="49" t="inlineStr">
        <is>
          <t>The framework creates a spatio-temporal digital twin of e-waste flows, which incorporates graph neural prediction of waste generation, deep reinforcement learning prediction of adaptive collection and routing, and multi-objective evolutionary optimization prediction of processing and material recovery.</t>
        </is>
      </c>
      <c r="D10" s="49" t="inlineStr">
        <is>
          <t>Abstract (only part visible; not usable for coding)</t>
        </is>
      </c>
      <c r="E10" s="49" t="inlineStr">
        <is>
          <t>Y</t>
        </is>
      </c>
    </row>
    <row r="11">
      <c r="A11" s="49" t="inlineStr">
        <is>
          <t>R0004</t>
        </is>
      </c>
      <c r="B11" s="49" t="inlineStr">
        <is>
          <t>NOT_RETRIEVED</t>
        </is>
      </c>
      <c r="C11" s="49" t="inlineStr">
        <is>
          <t>Experimental assessment on the city scale shows that there are very high increments in performances relative to traditional methods that depend on rules to use in collection, logistics systems relying on optimization and, hybrid AI logistics systems.</t>
        </is>
      </c>
      <c r="D11" s="49" t="inlineStr">
        <is>
          <t>Abstract (only part visible; not usable for coding)</t>
        </is>
      </c>
      <c r="E11" s="49" t="inlineStr">
        <is>
          <t>Y</t>
        </is>
      </c>
    </row>
    <row r="12">
      <c r="A12" s="49" t="inlineStr">
        <is>
          <t>R0004</t>
        </is>
      </c>
      <c r="B12" s="49" t="inlineStr">
        <is>
          <t>NOT_RETRIEVED</t>
        </is>
      </c>
      <c r="C12" s="49" t="inlineStr">
        <is>
          <t>Sign in to Continue Reading</t>
        </is>
      </c>
      <c r="D12" s="49" t="inlineStr">
        <is>
          <t>Body, immediately after the first paragraph of I. Introduction (paywall marker shown although header read 'Access provided by: Tec Monterrey (formerly ITESM)')</t>
        </is>
      </c>
      <c r="E12" s="49" t="inlineStr">
        <is>
          <t>Y</t>
        </is>
      </c>
    </row>
    <row r="13">
      <c r="A13" s="49" t="inlineStr">
        <is>
          <t>R0008</t>
        </is>
      </c>
      <c r="B13" s="49" t="inlineStr">
        <is>
          <t>FT_INCLUDE</t>
        </is>
      </c>
      <c r="C13" s="49" t="inlineStr">
        <is>
          <t>A Gradient Boosting model was trained on over 180 real-world intercity trips of data collected from an electric truck to estimate battery depth of discharge based on key operational factors.</t>
        </is>
      </c>
      <c r="D13" s="49" t="inlineStr">
        <is>
          <t>Abstract</t>
        </is>
      </c>
      <c r="E13" s="49" t="inlineStr">
        <is>
          <t>Y</t>
        </is>
      </c>
    </row>
    <row r="14">
      <c r="A14" s="49" t="inlineStr">
        <is>
          <t>R0008</t>
        </is>
      </c>
      <c r="B14" s="49" t="inlineStr">
        <is>
          <t>FT_INCLUDE</t>
        </is>
      </c>
      <c r="C14" s="49" t="inlineStr">
        <is>
          <t>The trained model was then used to assign an estimated DoD/km value to each road segment in a directed road-network graph. Dijkstra’s algorithm was applied to the weighted graph to determine the most energy-efficient route between cities.</t>
        </is>
      </c>
      <c r="D14" s="49" t="inlineStr">
        <is>
          <t>3.3.3 Route planning and energy depth of discharge prediction</t>
        </is>
      </c>
      <c r="E14" s="49" t="inlineStr">
        <is>
          <t>Y</t>
        </is>
      </c>
    </row>
    <row r="15">
      <c r="A15" s="49" t="inlineStr">
        <is>
          <t>R0008</t>
        </is>
      </c>
      <c r="B15" s="49" t="inlineStr">
        <is>
          <t>FT_INCLUDE</t>
        </is>
      </c>
      <c r="C15" s="49" t="inlineStr">
        <is>
          <t>A DT of the case truck was implemented with TruckMaker and calibrated using real-world energy-consumption data to capture the effect of speed and road geometry on energy flow.</t>
        </is>
      </c>
      <c r="D15" s="49" t="inlineStr">
        <is>
          <t>3.3.4 Digital twin model</t>
        </is>
      </c>
      <c r="E15" s="49" t="inlineStr">
        <is>
          <t>Y</t>
        </is>
      </c>
    </row>
    <row r="16">
      <c r="A16" s="49" t="inlineStr">
        <is>
          <t>R0008</t>
        </is>
      </c>
      <c r="B16" s="49" t="inlineStr">
        <is>
          <t>FT_INCLUDE</t>
        </is>
      </c>
      <c r="C16" s="49" t="inlineStr">
        <is>
          <t>DB Schenker [43] pilots the case truck to evaluate its energy efficiency and feasibility for long-haul applications in Finland.</t>
        </is>
      </c>
      <c r="D16" s="49" t="inlineStr">
        <is>
          <t>3.2 Experimental campaign</t>
        </is>
      </c>
      <c r="E16" s="49" t="inlineStr">
        <is>
          <t>Y</t>
        </is>
      </c>
    </row>
    <row r="17">
      <c r="A17" s="49" t="inlineStr">
        <is>
          <t>R0008</t>
        </is>
      </c>
      <c r="B17" s="49" t="inlineStr">
        <is>
          <t>FT_INCLUDE</t>
        </is>
      </c>
      <c r="C17" s="49" t="inlineStr">
        <is>
          <t>For planning purposes, the primary users are fleet route and charging-infrastructure planners. They provide as inputs the origin–destination pair, payload, ambient temperature, fleet size, and available charging infrastructure.</t>
        </is>
      </c>
      <c r="D17" s="49" t="inlineStr">
        <is>
          <t>3.3.7 Workflow</t>
        </is>
      </c>
      <c r="E17" s="49" t="inlineStr">
        <is>
          <t>Y</t>
        </is>
      </c>
    </row>
    <row r="18">
      <c r="A18" s="49" t="inlineStr">
        <is>
          <t>R0008</t>
        </is>
      </c>
      <c r="B18" s="49" t="inlineStr">
        <is>
          <t>FT_INCLUDE</t>
        </is>
      </c>
      <c r="C18" s="49" t="inlineStr">
        <is>
          <t>The current infrastructure analysis is scenario-based and intended for decision support rather than formal optimization.</t>
        </is>
      </c>
      <c r="D18" s="49" t="inlineStr">
        <is>
          <t>4.2 Virtual fleet and infrastructure planning</t>
        </is>
      </c>
      <c r="E18" s="49" t="inlineStr">
        <is>
          <t>Y</t>
        </is>
      </c>
    </row>
    <row r="19">
      <c r="A19" s="49" t="inlineStr">
        <is>
          <t>R0009</t>
        </is>
      </c>
      <c r="B19" s="49" t="inlineStr">
        <is>
          <t>FT_INCLUDE</t>
        </is>
      </c>
      <c r="C19" s="49" t="inlineStr">
        <is>
          <t>The DT in this paper is considered as a time-dependent multi-physics mapping. This DT is based on the Data-Model-Fusion (DMF) principle rather than on a static model.</t>
        </is>
      </c>
      <c r="D19" s="49" t="inlineStr">
        <is>
          <t>Research methodology - Digital twin model construction</t>
        </is>
      </c>
      <c r="E19" s="49" t="inlineStr">
        <is>
          <t>Y</t>
        </is>
      </c>
    </row>
    <row r="20">
      <c r="A20" s="49" t="inlineStr">
        <is>
          <t>R0009</t>
        </is>
      </c>
      <c r="B20" s="49" t="inlineStr">
        <is>
          <t>FT_INCLUDE</t>
        </is>
      </c>
      <c r="C20" s="49" t="inlineStr">
        <is>
          <t>The predictive maintenance solution was tested in a 12-month pilot for a midsize distribution center with 150 pieces of equipment, such as conveyors, forklifts, AGVs, and sorting systems.</t>
        </is>
      </c>
      <c r="D20" s="49" t="inlineStr">
        <is>
          <t>Results and discussion</t>
        </is>
      </c>
      <c r="E20" s="49" t="inlineStr">
        <is>
          <t>Y</t>
        </is>
      </c>
    </row>
    <row r="21">
      <c r="A21" s="49" t="inlineStr">
        <is>
          <t>R0009</t>
        </is>
      </c>
      <c r="B21" s="49" t="inlineStr">
        <is>
          <t>FT_INCLUDE</t>
        </is>
      </c>
      <c r="C21" s="49" t="inlineStr">
        <is>
          <t>For anomaly detection, Remaining Unit Life (RUL) prediction, and failure classification, this study utilized Isolation Forest (iForest), Autoencoders, Long Short-Term Memory (LSTM) networks, and Random Forest (RF) machine learning models.</t>
        </is>
      </c>
      <c r="D21" s="49" t="inlineStr">
        <is>
          <t>Abstract</t>
        </is>
      </c>
      <c r="E21" s="49" t="inlineStr">
        <is>
          <t>Y</t>
        </is>
      </c>
    </row>
    <row r="22">
      <c r="A22" s="49" t="inlineStr">
        <is>
          <t>R0009</t>
        </is>
      </c>
      <c r="B22" s="49" t="inlineStr">
        <is>
          <t>FT_INCLUDE</t>
        </is>
      </c>
      <c r="C22" s="49" t="inlineStr">
        <is>
          <t>The system includes HITL (Human-in-the-Loop) validation via real-time dashboards. When the ML layer produces a class with a confidence score lower than a predefined threshold (e.g., &lt; 0.85), the event is flagged for manual analysis.</t>
        </is>
      </c>
      <c r="D22" s="49" t="inlineStr">
        <is>
          <t>Research methodology - Failure classification</t>
        </is>
      </c>
      <c r="E22" s="49" t="inlineStr">
        <is>
          <t>Y</t>
        </is>
      </c>
    </row>
    <row r="23">
      <c r="A23" s="49" t="inlineStr">
        <is>
          <t>R0009</t>
        </is>
      </c>
      <c r="B23" s="49" t="inlineStr">
        <is>
          <t>FT_INCLUDE</t>
        </is>
      </c>
      <c r="C23" s="49" t="inlineStr">
        <is>
          <t>Prediction is validated as maintenance teams validate or correct the predicted fault type during intervention. This feedback enriches the classification model in an active learning fashion</t>
        </is>
      </c>
      <c r="D23" s="49" t="inlineStr">
        <is>
          <t>Research methodology - Failure classification</t>
        </is>
      </c>
      <c r="E23" s="49" t="inlineStr">
        <is>
          <t>Y</t>
        </is>
      </c>
    </row>
    <row r="24">
      <c r="A24" s="49" t="inlineStr">
        <is>
          <t>R0009</t>
        </is>
      </c>
      <c r="B24" s="49" t="inlineStr">
        <is>
          <t>FT_INCLUDE</t>
        </is>
      </c>
      <c r="C24" s="49" t="inlineStr">
        <is>
          <t>The implementation simulates sensor data and does not rely on any external datasets. All data for the digital twin system are generated dynamically within the SensorNetwork class using predefined baseline values combined with controlled random variations</t>
        </is>
      </c>
      <c r="D24" s="49" t="inlineStr">
        <is>
          <t>Data availability</t>
        </is>
      </c>
      <c r="E24" s="49" t="inlineStr">
        <is>
          <t>Y</t>
        </is>
      </c>
    </row>
    <row r="25">
      <c r="A25" s="49" t="inlineStr">
        <is>
          <t>R0011</t>
        </is>
      </c>
      <c r="B25" s="49" t="inlineStr">
        <is>
          <t>FT_INCLUDE</t>
        </is>
      </c>
      <c r="C25" s="49" t="inlineStr">
        <is>
          <t>Industry 6.0 is a cyber-physical, digital twin-driven value-creation ecosystem that is based on human-AI collaboration-centric and viable manufacturing and supply chains.</t>
        </is>
      </c>
      <c r="D25" s="49" t="inlineStr">
        <is>
          <t>1. Introduction</t>
        </is>
      </c>
      <c r="E25" s="49" t="inlineStr">
        <is>
          <t>Y</t>
        </is>
      </c>
    </row>
    <row r="26">
      <c r="A26" s="49" t="inlineStr">
        <is>
          <t>R0011</t>
        </is>
      </c>
      <c r="B26" s="49" t="inlineStr">
        <is>
          <t>FT_INCLUDE</t>
        </is>
      </c>
      <c r="C26" s="49" t="inlineStr">
        <is>
          <t>The operational analytics level is the core of OR's contribution to agentic digital twins. Simulation and optimization, in combination with agent-based modeling and learning-based AI, frame the predictive and prescriptive analytics capabilities</t>
        </is>
      </c>
      <c r="D26" s="49" t="inlineStr">
        <is>
          <t>4.2. OR-AI symbiosis (7-layer architecture, Fig. 6)</t>
        </is>
      </c>
      <c r="E26" s="49" t="inlineStr">
        <is>
          <t>Y</t>
        </is>
      </c>
    </row>
    <row r="27">
      <c r="A27" s="49" t="inlineStr">
        <is>
          <t>R0011</t>
        </is>
      </c>
      <c r="B27" s="49" t="inlineStr">
        <is>
          <t>FT_INCLUDE</t>
        </is>
      </c>
      <c r="C27" s="49" t="inlineStr">
        <is>
          <t>The interaction level is based on generative AI that empowers managers to define LLM agents reflecting decision-making rules in a user-friendly, no-code format</t>
        </is>
      </c>
      <c r="D27" s="49" t="inlineStr">
        <is>
          <t>4.2. OR-AI symbiosis (7-layer architecture, Fig. 6)</t>
        </is>
      </c>
      <c r="E27" s="49" t="inlineStr">
        <is>
          <t>Y</t>
        </is>
      </c>
    </row>
    <row r="28">
      <c r="A28" s="49" t="inlineStr">
        <is>
          <t>R0011</t>
        </is>
      </c>
      <c r="B28" s="49" t="inlineStr">
        <is>
          <t>FT_INCLUDE</t>
        </is>
      </c>
      <c r="C28" s="49" t="inlineStr">
        <is>
          <t>Performance improvements can be observed not only in traditional key performance indicators (e.g., service level, inventory, costs) but also in reduced managerial complexity, as coordination shifts from frequent manual interventions to automated, system-driven alignment.</t>
        </is>
      </c>
      <c r="D28" s="49" t="inlineStr">
        <is>
          <t>4.2. OR-AI symbiosis (MPS/MRP orchestration example)</t>
        </is>
      </c>
      <c r="E28" s="49" t="inlineStr">
        <is>
          <t>Y</t>
        </is>
      </c>
    </row>
    <row r="29">
      <c r="A29" s="49" t="inlineStr">
        <is>
          <t>R0011</t>
        </is>
      </c>
      <c r="B29" s="49" t="inlineStr">
        <is>
          <t>FT_INCLUDE</t>
        </is>
      </c>
      <c r="C29" s="49" t="inlineStr">
        <is>
          <t>Crucially, modern technological advancements enable forms of human-AI collaboration characterized by reciprocal delegation of tasks and decision rights, conceptualized as “human-in-the-loop AI.”</t>
        </is>
      </c>
      <c r="D29" s="49" t="inlineStr">
        <is>
          <t>4.1.2. Artificial intelligence (AI)</t>
        </is>
      </c>
      <c r="E29" s="49" t="inlineStr">
        <is>
          <t>Y</t>
        </is>
      </c>
    </row>
    <row r="30">
      <c r="A30" s="49" t="inlineStr">
        <is>
          <t>R0011</t>
        </is>
      </c>
      <c r="B30" s="49" t="inlineStr">
        <is>
          <t>FT_INCLUDE</t>
        </is>
      </c>
      <c r="C30" s="49" t="inlineStr">
        <is>
          <t>However, the necessity for result validation and verification will persist and must be supplemented with human expertise that remains independent of AI.</t>
        </is>
      </c>
      <c r="D30" s="49" t="inlineStr">
        <is>
          <t>5.1. Toward Industry 7.0</t>
        </is>
      </c>
      <c r="E30" s="49" t="inlineStr">
        <is>
          <t>Y</t>
        </is>
      </c>
    </row>
    <row r="31">
      <c r="A31" s="49" t="inlineStr">
        <is>
          <t>R0012</t>
        </is>
      </c>
      <c r="B31" s="49" t="inlineStr">
        <is>
          <t>FT_EXCLUDE</t>
        </is>
      </c>
      <c r="C31" s="49" t="inlineStr">
        <is>
          <t>This research presents the design and development of a decision support framework that applies life cycle thinking to guide the adaptation of digital twining for sustainable supply chain management.</t>
        </is>
      </c>
      <c r="D31" s="49" t="inlineStr">
        <is>
          <t>Abstract</t>
        </is>
      </c>
      <c r="E31" s="49" t="inlineStr">
        <is>
          <t>Y</t>
        </is>
      </c>
    </row>
    <row r="32">
      <c r="A32" s="49" t="inlineStr">
        <is>
          <t>R0012</t>
        </is>
      </c>
      <c r="B32" s="49" t="inlineStr">
        <is>
          <t>FT_EXCLUDE</t>
        </is>
      </c>
      <c r="C32" s="49" t="inlineStr">
        <is>
          <t>This is made possible as a digital twin facilitates continuous data acquisition, visualization, and performs analytics including simulation modelling, machine learning, optimization and dynamic Life Cycle Assessment.</t>
        </is>
      </c>
      <c r="D32" s="49" t="inlineStr">
        <is>
          <t>Abstract (only mention of machine learning in the whole chapter)</t>
        </is>
      </c>
      <c r="E32" s="49" t="inlineStr">
        <is>
          <t>Y</t>
        </is>
      </c>
    </row>
    <row r="33">
      <c r="A33" s="49" t="inlineStr">
        <is>
          <t>R0012</t>
        </is>
      </c>
      <c r="B33" s="49" t="inlineStr">
        <is>
          <t>FT_EXCLUDE</t>
        </is>
      </c>
      <c r="C33" s="49" t="inlineStr">
        <is>
          <t>As shown in Fig. 1, the proposed framework mainly consists of four layers: physical layer, virtual layer, analytical layer and visualization layer.</t>
        </is>
      </c>
      <c r="D33" s="49" t="inlineStr">
        <is>
          <t>3 Proposed Framework</t>
        </is>
      </c>
      <c r="E33" s="49" t="inlineStr">
        <is>
          <t>Y</t>
        </is>
      </c>
    </row>
    <row r="34">
      <c r="A34" s="49" t="inlineStr">
        <is>
          <t>R0012</t>
        </is>
      </c>
      <c r="B34" s="49" t="inlineStr">
        <is>
          <t>FT_EXCLUDE</t>
        </is>
      </c>
      <c r="C34" s="49" t="inlineStr">
        <is>
          <t>Additionally, analytics related to environmental hotspot mitigation and resource optimization are carried out in this layer.</t>
        </is>
      </c>
      <c r="D34" s="49" t="inlineStr">
        <is>
          <t>3 Proposed Framework, Analytical layer (no method named)</t>
        </is>
      </c>
      <c r="E34" s="49" t="inlineStr">
        <is>
          <t>Y</t>
        </is>
      </c>
    </row>
    <row r="35">
      <c r="A35" s="49" t="inlineStr">
        <is>
          <t>R0012</t>
        </is>
      </c>
      <c r="B35" s="49" t="inlineStr">
        <is>
          <t>FT_EXCLUDE</t>
        </is>
      </c>
      <c r="C35" s="49" t="inlineStr">
        <is>
          <t>If some data analytics related to optimizing kiln loading are added under resource optimization, considering prevailing condition of the kiln and the material to be loaded, the analytical layer can generate a few optimum kiln loading patterns.</t>
        </is>
      </c>
      <c r="D35" s="49" t="inlineStr">
        <is>
          <t>4 Application of Framework in the Industrial Context (only concrete analytics example; hypothetical, method unspecified)</t>
        </is>
      </c>
      <c r="E35" s="49" t="inlineStr">
        <is>
          <t>Y</t>
        </is>
      </c>
    </row>
    <row r="36">
      <c r="A36" s="49" t="inlineStr">
        <is>
          <t>R0012</t>
        </is>
      </c>
      <c r="B36" s="49" t="inlineStr">
        <is>
          <t>FT_EXCLUDE</t>
        </is>
      </c>
      <c r="C36" s="49" t="inlineStr">
        <is>
          <t>When scenarios tested through this process produce acceptable LCIA results, they can be implemented in the physical layer via actuators or by decision makers depending on the type of decision.</t>
        </is>
      </c>
      <c r="D36" s="49" t="inlineStr">
        <is>
          <t>3 Proposed Framework, scenario analysis / decision flow chart (Fig. 2)</t>
        </is>
      </c>
      <c r="E36" s="49" t="inlineStr">
        <is>
          <t>Y</t>
        </is>
      </c>
    </row>
    <row r="37">
      <c r="A37" s="49" t="inlineStr">
        <is>
          <t>R0013</t>
        </is>
      </c>
      <c r="B37" s="49" t="inlineStr">
        <is>
          <t>FT_EXCLUDE</t>
        </is>
      </c>
      <c r="C37" s="49" t="inlineStr">
        <is>
          <t>When these systems are embedded within supply chain digital twin environments – where real-time scenario evaluation and rapid disruption response are expected – the gap between algorithmic output and human comprehension becomes a barrier to effective, accountable decision-making.</t>
        </is>
      </c>
      <c r="D37" s="49" t="inlineStr">
        <is>
          <t>Abstract</t>
        </is>
      </c>
      <c r="E37" s="49" t="inlineStr">
        <is>
          <t>Y</t>
        </is>
      </c>
    </row>
    <row r="38">
      <c r="A38" s="49" t="inlineStr">
        <is>
          <t>R0013</t>
        </is>
      </c>
      <c r="B38" s="49" t="inlineStr">
        <is>
          <t>FT_EXCLUDE</t>
        </is>
      </c>
      <c r="C38" s="49" t="inlineStr">
        <is>
          <t>In a digital twin deployment, the framework’s three-layer architecture maps naturally onto the twin’s operational cycle. Layer 1 (optimisation) executes during the twin’s scenario evaluation phase; Layers 2 and 3 (surrogate training and semantic abstraction) pre-compute the concept-level profiles</t>
        </is>
      </c>
      <c r="D38" s="49" t="inlineStr">
        <is>
          <t>5.2 Managerial implications (The framework as a preparedness tool)</t>
        </is>
      </c>
      <c r="E38" s="49" t="inlineStr">
        <is>
          <t>Y</t>
        </is>
      </c>
    </row>
    <row r="39">
      <c r="A39" s="49" t="inlineStr">
        <is>
          <t>R0013</t>
        </is>
      </c>
      <c r="B39" s="49" t="inlineStr">
        <is>
          <t>FT_EXCLUDE</t>
        </is>
      </c>
      <c r="C39" s="49" t="inlineStr">
        <is>
          <t>Finally, the case study operates on synthetic instances generated within predefined parameter ranges and a fixed network structure.</t>
        </is>
      </c>
      <c r="D39" s="49" t="inlineStr">
        <is>
          <t>5.3 Limitations</t>
        </is>
      </c>
      <c r="E39" s="49" t="inlineStr">
        <is>
          <t>Y</t>
        </is>
      </c>
    </row>
    <row r="40">
      <c r="A40" s="49" t="inlineStr">
        <is>
          <t>R0013</t>
        </is>
      </c>
      <c r="B40" s="49" t="inlineStr">
        <is>
          <t>FT_EXCLUDE</t>
        </is>
      </c>
      <c r="C40" s="49" t="inlineStr">
        <is>
          <t>The framework is evaluated on a four-tier cereal supply chain comprising 10 suppliers (𝒮), 3 mills (𝒫), 2 transformers (𝒟), and 8 retailers (ℛ).</t>
        </is>
      </c>
      <c r="D40" s="49" t="inlineStr">
        <is>
          <t>3.5.1 Case study and instance generation</t>
        </is>
      </c>
      <c r="E40" s="49" t="inlineStr">
        <is>
          <t>Y</t>
        </is>
      </c>
    </row>
    <row r="41">
      <c r="A41" s="49" t="inlineStr">
        <is>
          <t>R0013</t>
        </is>
      </c>
      <c r="B41" s="49" t="inlineStr">
        <is>
          <t>FT_EXCLUDE</t>
        </is>
      </c>
      <c r="C41" s="49" t="inlineStr">
        <is>
          <t>Layer 2 is a surrogate-based explanatory layer that trains a supervised model on the optimisation outputs and analyses it using SHAP (SHapley Additive exPlanations) to produce feature-level attribution values.</t>
        </is>
      </c>
      <c r="D41" s="49" t="inlineStr">
        <is>
          <t>3.1 Methodological rationale</t>
        </is>
      </c>
      <c r="E41" s="49" t="inlineStr">
        <is>
          <t>Y</t>
        </is>
      </c>
    </row>
    <row r="42">
      <c r="A42" s="49" t="inlineStr">
        <is>
          <t>R0013</t>
        </is>
      </c>
      <c r="B42" s="49" t="inlineStr">
        <is>
          <t>FT_EXCLUDE</t>
        </is>
      </c>
      <c r="C42" s="49" t="inlineStr">
        <is>
          <t>it provides managers with structured, surrogate-derived evidence on which operational factors to monitor, which interventions may warrant prioritisation, and when algorithmic recommendations merit scrutiny rather than automatic implementation.</t>
        </is>
      </c>
      <c r="D42" s="49" t="inlineStr">
        <is>
          <t>6. Concluding remarks</t>
        </is>
      </c>
      <c r="E42" s="49" t="inlineStr">
        <is>
          <t>Y</t>
        </is>
      </c>
    </row>
    <row r="43">
      <c r="A43" s="49" t="inlineStr">
        <is>
          <t>R0024</t>
        </is>
      </c>
      <c r="B43" s="49" t="inlineStr">
        <is>
          <t>FT_EXCLUDE</t>
        </is>
      </c>
      <c r="C43" s="49" t="inlineStr">
        <is>
          <t>Drawing on recent theoretical developments and empirical case studies, the study traces the conceptual evolution of digital twin architecture in maritime logistics from perception and transmission layers to AI-driven intelligence and application interfaces.</t>
        </is>
      </c>
      <c r="D43" s="49" t="inlineStr">
        <is>
          <t>Abstract (self-description of the paper: literature-based synthesis; no methods section anywhere in the text)</t>
        </is>
      </c>
      <c r="E43" s="49" t="inlineStr">
        <is>
          <t>Y</t>
        </is>
      </c>
    </row>
    <row r="44">
      <c r="A44" s="49" t="inlineStr">
        <is>
          <t>R0024</t>
        </is>
      </c>
      <c r="B44" s="49" t="inlineStr">
        <is>
          <t>FT_EXCLUDE</t>
        </is>
      </c>
      <c r="C44" s="49" t="inlineStr">
        <is>
          <t>For instance, a study at Shahid Rajaee Port successfully implemented a combination of Long Short-Term Memory (LSTM), Random Forest (RF), and Reinforcement Learning (RL) algorithms (Samaei and Ghafari 2025).</t>
        </is>
      </c>
      <c r="D44" s="49" t="inlineStr">
        <is>
          <t>3 Artificial intelligence architectures: the predictive engine of the twin (the LSTM/RF/RL results and all Table 3 metrics are reported from cited studies, not executed by the authors)</t>
        </is>
      </c>
      <c r="E44" s="49" t="inlineStr">
        <is>
          <t>Y</t>
        </is>
      </c>
    </row>
    <row r="45">
      <c r="A45" s="49" t="inlineStr">
        <is>
          <t>R0024</t>
        </is>
      </c>
      <c r="B45" s="49" t="inlineStr">
        <is>
          <t>FT_EXCLUDE</t>
        </is>
      </c>
      <c r="C45" s="49" t="inlineStr">
        <is>
          <t>Figure 1 attempts to show the integration of the data sources that feed the Digital Twin architecture. That architecture is enhanced by the use of AI algorithms that directly lead to changes in operational decisions […]</t>
        </is>
      </c>
      <c r="D45" s="49" t="inlineStr">
        <is>
          <t>10 Future horizons, research directions, and concluding synthesis (Fig. 1 'Integrated conceptual framework' is the only own contribution: a conceptual diagram, no implemented, simulated or component-level designed twin)</t>
        </is>
      </c>
      <c r="E45" s="49" t="inlineStr">
        <is>
          <t>Y</t>
        </is>
      </c>
    </row>
    <row r="46">
      <c r="A46" s="49" t="inlineStr">
        <is>
          <t>R0024</t>
        </is>
      </c>
      <c r="B46" s="49" t="inlineStr">
        <is>
          <t>FT_EXCLUDE</t>
        </is>
      </c>
      <c r="C46" s="49" t="inlineStr">
        <is>
          <t>What this paper has shown is that the technology is no longer speculative; it is already reducing emissions, cutting costs, and saving lives at ports around the world.</t>
        </is>
      </c>
      <c r="D46" s="49" t="inlineStr">
        <is>
          <t>10 Future horizons, research directions, and concluding synthesis (conclusion drawn from documented cases at Pusan, Rotterdam, Singapore, Tanjung Priok, all cited from other sources)</t>
        </is>
      </c>
      <c r="E46" s="49" t="inlineStr">
        <is>
          <t>Y</t>
        </is>
      </c>
    </row>
    <row r="47">
      <c r="A47" s="49" t="inlineStr">
        <is>
          <t>R0024</t>
        </is>
      </c>
      <c r="B47" s="49" t="inlineStr">
        <is>
          <t>FT_EXCLUDE</t>
        </is>
      </c>
      <c r="C47" s="49" t="inlineStr">
        <is>
          <t>This is followed by the “Execution” phase, where autonomous equipment, such as unmanned trucks and automated cranes, translates digital decisions into physical actions, thereby minimizing human error (Lau 2025).</t>
        </is>
      </c>
      <c r="D47" s="49" t="inlineStr">
        <is>
          <t>3 Artificial intelligence architectures (HITL-relevant statement, second-hand: 'Perception–Decision–Execution–Safeguarding' loop taken from Lau 2025)</t>
        </is>
      </c>
      <c r="E47" s="49" t="inlineStr">
        <is>
          <t>Y</t>
        </is>
      </c>
    </row>
    <row r="48">
      <c r="A48" s="49" t="inlineStr">
        <is>
          <t>R0024</t>
        </is>
      </c>
      <c r="B48" s="49" t="inlineStr">
        <is>
          <t>FT_EXCLUDE</t>
        </is>
      </c>
      <c r="C48" s="49" t="inlineStr">
        <is>
          <t>By synergizing “human wisdom with machine intelligence,” DTs under the Industry 5.0 paradigm achieve a more balanced operational model than the hyper-optimized but potentially brittle systems of Industry 4.0 (Sustainability Directory 2025).</t>
        </is>
      </c>
      <c r="D48" s="49" t="inlineStr">
        <is>
          <t>2 Conceptual foundations of digital twins in maritime logistics (HITL-relevant statement, second-hand; see also Table 7 'Workforce Strategy: Labor Replacement to Augmentation')</t>
        </is>
      </c>
      <c r="E48" s="49" t="inlineStr">
        <is>
          <t>Y</t>
        </is>
      </c>
    </row>
    <row r="49">
      <c r="A49" s="49" t="inlineStr">
        <is>
          <t>R0025</t>
        </is>
      </c>
      <c r="B49" s="49" t="inlineStr">
        <is>
          <t>FT_INCLUDE</t>
        </is>
      </c>
      <c r="C49" s="49" t="inlineStr">
        <is>
          <t>Simulation-based digital twins are a core foundation for the efficient and holistic optimization of material-flow systems across the lifecycle – from design and planning to control. However, constructing digital representations of supply chains and production/logistics systems is labor-intensive and largely manual.</t>
        </is>
      </c>
      <c r="D49" s="49" t="inlineStr">
        <is>
          <t>Abstract</t>
        </is>
      </c>
      <c r="E49" s="49" t="inlineStr">
        <is>
          <t>Y</t>
        </is>
      </c>
    </row>
    <row r="50">
      <c r="A50" s="49" t="inlineStr">
        <is>
          <t>R0025</t>
        </is>
      </c>
      <c r="B50" s="49" t="inlineStr">
        <is>
          <t>FT_INCLUDE</t>
        </is>
      </c>
      <c r="C50" s="49" t="inlineStr">
        <is>
          <t>...with in-line quality tests after each station as well as mobile robots for parts supply. It supports automated assembly and disassembly without human intervention. The SBDT was auto-generated from factory event logs using OFacT.</t>
        </is>
      </c>
      <c r="D50" s="49" t="inlineStr">
        <is>
          <t>4.1 Evaluation Scenarios and Design Variants</t>
        </is>
      </c>
      <c r="E50" s="49" t="inlineStr">
        <is>
          <t>Y</t>
        </is>
      </c>
    </row>
    <row r="51">
      <c r="A51" s="49" t="inlineStr">
        <is>
          <t>R0025</t>
        </is>
      </c>
      <c r="B51" s="49" t="inlineStr">
        <is>
          <t>FT_INCLUDE</t>
        </is>
      </c>
      <c r="C51" s="49" t="inlineStr">
        <is>
          <t>...an LLM-based design assistant, which performs modeling through natural-language interaction with non-expert users. The assistant employs an agentic, retrieval-augmented generation (RAG) workflow and relies exclusively on publicly available information from the open-source digital-twin platform OpenFactoryTwin (OFacT) to execute adaptations.</t>
        </is>
      </c>
      <c r="D51" s="49" t="inlineStr">
        <is>
          <t>Abstract</t>
        </is>
      </c>
      <c r="E51" s="49" t="inlineStr">
        <is>
          <t>Y</t>
        </is>
      </c>
    </row>
    <row r="52">
      <c r="A52" s="49" t="inlineStr">
        <is>
          <t>R0025</t>
        </is>
      </c>
      <c r="B52" s="49" t="inlineStr">
        <is>
          <t>FT_INCLUDE</t>
        </is>
      </c>
      <c r="C52" s="49" t="inlineStr">
        <is>
          <t>We measured total modification time (end-to-end adaptation duration) and user interaction time (time spent composing prompts and reviewing responses) and success rates. All tests used the Qwen3-32B model.</t>
        </is>
      </c>
      <c r="D52" s="49" t="inlineStr">
        <is>
          <t>4.1 Evaluation Scenarios and Design Variants</t>
        </is>
      </c>
      <c r="E52" s="49" t="inlineStr">
        <is>
          <t>Y</t>
        </is>
      </c>
    </row>
    <row r="53">
      <c r="A53" s="49" t="inlineStr">
        <is>
          <t>R0025</t>
        </is>
      </c>
      <c r="B53" s="49" t="inlineStr">
        <is>
          <t>FT_INCLUDE</t>
        </is>
      </c>
      <c r="C53" s="49" t="inlineStr">
        <is>
          <t>...where the new framework required more user time, likely due to an additional validation step to ensure alignment with the user's intent (Figure 2).</t>
        </is>
      </c>
      <c r="D53" s="49" t="inlineStr">
        <is>
          <t>4.3 Results from Comparison with Former Framework</t>
        </is>
      </c>
      <c r="E53" s="49" t="inlineStr">
        <is>
          <t>Y</t>
        </is>
      </c>
    </row>
    <row r="54">
      <c r="A54" s="49" t="inlineStr">
        <is>
          <t>R0025</t>
        </is>
      </c>
      <c r="B54" s="49" t="inlineStr">
        <is>
          <t>FT_INCLUDE</t>
        </is>
      </c>
      <c r="C54" s="49" t="inlineStr">
        <is>
          <t>To enable supply chain and production planners to directly adapt SBDTs during (re)design, we propose shifting from a single-agent LLM to an agentic AI, thereby increasing flexibility and minimizing DT-specific engineering (e.g., step instructions).</t>
        </is>
      </c>
      <c r="D54" s="49" t="inlineStr">
        <is>
          <t>5 Summary and Outlook</t>
        </is>
      </c>
      <c r="E54" s="49" t="inlineStr">
        <is>
          <t>Y</t>
        </is>
      </c>
    </row>
    <row r="55">
      <c r="A55" s="49" t="inlineStr">
        <is>
          <t>R0037</t>
        </is>
      </c>
      <c r="B55" s="49" t="inlineStr">
        <is>
          <t>FT_INCLUDE</t>
        </is>
      </c>
      <c r="C55" s="49" t="inlineStr">
        <is>
          <t>The digital twin mirrors the evolving state of the physical supply chain and allows “what-if” analysis under alternative intervention policies, such as rerouting shipments, reallocating inventory, or activating backup suppliers.</t>
        </is>
      </c>
      <c r="D55" s="49" t="inlineStr">
        <is>
          <t>3 Methodology</t>
        </is>
      </c>
      <c r="E55" s="49" t="inlineStr">
        <is>
          <t>Y</t>
        </is>
      </c>
    </row>
    <row r="56">
      <c r="A56" s="49" t="inlineStr">
        <is>
          <t>R0037</t>
        </is>
      </c>
      <c r="B56" s="49" t="inlineStr">
        <is>
          <t>FT_INCLUDE</t>
        </is>
      </c>
      <c r="C56" s="49" t="inlineStr">
        <is>
          <t>CDEWS-enabled performance was evaluated by activating multimodal data fusion, predictive risk modelling, and digital twin–based simulation as described in Section 3.</t>
        </is>
      </c>
      <c r="D56" s="49" t="inlineStr">
        <is>
          <t>4 Results</t>
        </is>
      </c>
      <c r="E56" s="49" t="inlineStr">
        <is>
          <t>Y</t>
        </is>
      </c>
    </row>
    <row r="57">
      <c r="A57" s="49" t="inlineStr">
        <is>
          <t>R0037</t>
        </is>
      </c>
      <c r="B57" s="49" t="inlineStr">
        <is>
          <t>FT_INCLUDE</t>
        </is>
      </c>
      <c r="C57" s="49" t="inlineStr">
        <is>
          <t>The system models supply chains as interconnected networks of nodes and links, where nodes represent ports, warehouses, factories, suppliers, and distribution centres, and links represent transport and information flows.</t>
        </is>
      </c>
      <c r="D57" s="49" t="inlineStr">
        <is>
          <t>3 Methodology</t>
        </is>
      </c>
      <c r="E57" s="49" t="inlineStr">
        <is>
          <t>Y</t>
        </is>
      </c>
    </row>
    <row r="58">
      <c r="A58" s="49" t="inlineStr">
        <is>
          <t>R0037</t>
        </is>
      </c>
      <c r="B58" s="49" t="inlineStr">
        <is>
          <t>FT_INCLUDE</t>
        </is>
      </c>
      <c r="C58" s="49" t="inlineStr">
        <is>
          <t>Recurrent neural networks are employed to capture temporal dependencies in climate and operational time series, while graph-based models represent the structural dependencies within supply chain networks [6].</t>
        </is>
      </c>
      <c r="D58" s="49" t="inlineStr">
        <is>
          <t>3 Methodology</t>
        </is>
      </c>
      <c r="E58" s="49" t="inlineStr">
        <is>
          <t>Y</t>
        </is>
      </c>
    </row>
    <row r="59">
      <c r="A59" s="49" t="inlineStr">
        <is>
          <t>R0037</t>
        </is>
      </c>
      <c r="B59" s="49" t="inlineStr">
        <is>
          <t>FT_INCLUDE</t>
        </is>
      </c>
      <c r="C59" s="49" t="inlineStr">
        <is>
          <t>Finally, a decision support and governance layer translates predictive outputs into interpretable alerts, recommendations, and escalation pathways aligned with organisational roles and regulatory requirements.</t>
        </is>
      </c>
      <c r="D59" s="49" t="inlineStr">
        <is>
          <t>1 Introduction</t>
        </is>
      </c>
      <c r="E59" s="49" t="inlineStr">
        <is>
          <t>Y</t>
        </is>
      </c>
    </row>
    <row r="60">
      <c r="A60" s="49" t="inlineStr">
        <is>
          <t>R0037</t>
        </is>
      </c>
      <c r="B60" s="49" t="inlineStr">
        <is>
          <t>FT_INCLUDE</t>
        </is>
      </c>
      <c r="C60" s="49" t="inlineStr">
        <is>
          <t>Digital twin–based simulation allows decision-makers to evaluate alternative recovery strategies and select those that minimise downtime and resource strain.</t>
        </is>
      </c>
      <c r="D60" s="49" t="inlineStr">
        <is>
          <t>4 Results</t>
        </is>
      </c>
      <c r="E60" s="49" t="inlineStr">
        <is>
          <t>Y</t>
        </is>
      </c>
    </row>
    <row r="61">
      <c r="A61" s="49" t="inlineStr">
        <is>
          <t>R0044</t>
        </is>
      </c>
      <c r="B61" s="49" t="inlineStr">
        <is>
          <t>FT_INCLUDE</t>
        </is>
      </c>
      <c r="C61" s="49" t="inlineStr">
        <is>
          <t>In the post-allocation phase, the framework monitors each package through its twin, which continuously mirrors the package’s physical state and generates data-driven performance feedback.</t>
        </is>
      </c>
      <c r="D61" s="49" t="inlineStr">
        <is>
          <t>3.5.1 Package digital twin</t>
        </is>
      </c>
      <c r="E61" s="49" t="inlineStr">
        <is>
          <t>Y</t>
        </is>
      </c>
    </row>
    <row r="62">
      <c r="A62" s="49" t="inlineStr">
        <is>
          <t>R0044</t>
        </is>
      </c>
      <c r="B62" s="49" t="inlineStr">
        <is>
          <t>FT_INCLUDE</t>
        </is>
      </c>
      <c r="C62" s="49" t="inlineStr">
        <is>
          <t>A critical yet often costly phase within this system is the last-mile delivery (LMD), the final step where goods are transported from a distribution center or local hub to the end customer [1].</t>
        </is>
      </c>
      <c r="D62" s="49" t="inlineStr">
        <is>
          <t>1. Introduction</t>
        </is>
      </c>
      <c r="E62" s="49" t="inlineStr">
        <is>
          <t>Y</t>
        </is>
      </c>
    </row>
    <row r="63">
      <c r="A63" s="49" t="inlineStr">
        <is>
          <t>R0044</t>
        </is>
      </c>
      <c r="B63" s="49" t="inlineStr">
        <is>
          <t>FT_INCLUDE</t>
        </is>
      </c>
      <c r="C63" s="49" t="inlineStr">
        <is>
          <t>In this work, an RF regressor model is trained to predict energy consumption, as it takes into consideration the features’ importance, scales efficiently, and achieves high accuracy.</t>
        </is>
      </c>
      <c r="D63" s="49" t="inlineStr">
        <is>
          <t>3.2.1 UAVs model: Proposed energy consumption prediction</t>
        </is>
      </c>
      <c r="E63" s="49" t="inlineStr">
        <is>
          <t>Y</t>
        </is>
      </c>
    </row>
    <row r="64">
      <c r="A64" s="49" t="inlineStr">
        <is>
          <t>R0044</t>
        </is>
      </c>
      <c r="B64" s="49" t="inlineStr">
        <is>
          <t>FT_INCLUDE</t>
        </is>
      </c>
      <c r="C64" s="49" t="inlineStr">
        <is>
          <t>Pre-trained ML models predict UAV energy requirements and GVs delivery success probabilities. These estimates generate Quality of Service (QoS) and Quality of Request (QoR) rankings for tasks and workers. A Gale–Shapley stable-matching algorithm then pairs tasks with workers.</t>
        </is>
      </c>
      <c r="D64" s="49" t="inlineStr">
        <is>
          <t>3.1 System overview</t>
        </is>
      </c>
      <c r="E64" s="49" t="inlineStr">
        <is>
          <t>Y</t>
        </is>
      </c>
    </row>
    <row r="65">
      <c r="A65" s="49" t="inlineStr">
        <is>
          <t>R0044</t>
        </is>
      </c>
      <c r="B65" s="49" t="inlineStr">
        <is>
          <t>FT_INCLUDE</t>
        </is>
      </c>
      <c r="C65" s="49" t="inlineStr">
        <is>
          <t>It is hosted on the Ethereum blockchain to enable a secure and automated allocation and ensure platform data security and participants’ accountability.</t>
        </is>
      </c>
      <c r="D65" s="49" t="inlineStr">
        <is>
          <t>1. Introduction</t>
        </is>
      </c>
      <c r="E65" s="49" t="inlineStr">
        <is>
          <t>Y</t>
        </is>
      </c>
    </row>
    <row r="66">
      <c r="A66" s="49" t="inlineStr">
        <is>
          <t>R0044</t>
        </is>
      </c>
      <c r="B66" s="49" t="inlineStr">
        <is>
          <t>FT_INCLUDE</t>
        </is>
      </c>
      <c r="C66" s="49" t="inlineStr">
        <is>
          <t>This real-time simulation capability enables delivery operators to implement immediate corrective actions during temperature excursions and allow a transparent and trusted monitoring for the requesters.</t>
        </is>
      </c>
      <c r="D66" s="49" t="inlineStr">
        <is>
          <t>4.3 Proposed digital-twin evaluation</t>
        </is>
      </c>
      <c r="E66" s="49" t="inlineStr">
        <is>
          <t>Y</t>
        </is>
      </c>
    </row>
    <row r="67">
      <c r="A67" s="49" t="inlineStr">
        <is>
          <t>R0045</t>
        </is>
      </c>
      <c r="B67" s="49" t="inlineStr">
        <is>
          <t>FT_INCLUDE</t>
        </is>
      </c>
      <c r="C67" s="49" t="inlineStr">
        <is>
          <t>The DT modeling provides a virtual representation of the RSC, which can be used to simulate and analyze different reconfiguration scenarios in real time.</t>
        </is>
      </c>
      <c r="D67" s="49" t="inlineStr">
        <is>
          <t>3 Framework for Intelligent Reconfigurable Supply Chain (overview, 2nd paragraph)</t>
        </is>
      </c>
      <c r="E67" s="49" t="inlineStr">
        <is>
          <t>Y</t>
        </is>
      </c>
    </row>
    <row r="68">
      <c r="A68" s="49" t="inlineStr">
        <is>
          <t>R0045</t>
        </is>
      </c>
      <c r="B68" s="49" t="inlineStr">
        <is>
          <t>FT_INCLUDE</t>
        </is>
      </c>
      <c r="C68" s="49" t="inlineStr">
        <is>
          <t>This data includes information such as material flows, inventory levels, production capacity and transportation schedules. Once collected, this data will be used to build a DT model that virtually represents the RSC.</t>
        </is>
      </c>
      <c r="D68" s="49" t="inlineStr">
        <is>
          <t>3 Framework for Intelligent Reconfigurable Supply Chain, stage 'Data collection'</t>
        </is>
      </c>
      <c r="E68" s="49" t="inlineStr">
        <is>
          <t>Y</t>
        </is>
      </c>
    </row>
    <row r="69">
      <c r="A69" s="49" t="inlineStr">
        <is>
          <t>R0045</t>
        </is>
      </c>
      <c r="B69" s="49" t="inlineStr">
        <is>
          <t>FT_INCLUDE</t>
        </is>
      </c>
      <c r="C69" s="49" t="inlineStr">
        <is>
          <t>AI plays a key role in this stage by enriching the KG with missing data through knowledge completion, enrichment or prediction of future events such as demand fluctuations.</t>
        </is>
      </c>
      <c r="D69" s="49" t="inlineStr">
        <is>
          <t>3 Framework for Intelligent Reconfigurable Supply Chain, stage 'Knowledge Graph Construction'</t>
        </is>
      </c>
      <c r="E69" s="49" t="inlineStr">
        <is>
          <t>Y</t>
        </is>
      </c>
    </row>
    <row r="70">
      <c r="A70" s="49" t="inlineStr">
        <is>
          <t>R0045</t>
        </is>
      </c>
      <c r="B70" s="49" t="inlineStr">
        <is>
          <t>FT_INCLUDE</t>
        </is>
      </c>
      <c r="C70" s="49" t="inlineStr">
        <is>
          <t>Advanced AI techniques, including metaheuristics and prediction can be used to address these complex challenges. These techniques allow different configurations to be compared against predefined criteria</t>
        </is>
      </c>
      <c r="D70" s="49" t="inlineStr">
        <is>
          <t>3 Framework for Intelligent Reconfigurable Supply Chain, stage 'Optimization and Configuration Selection'</t>
        </is>
      </c>
      <c r="E70" s="49" t="inlineStr">
        <is>
          <t>Y</t>
        </is>
      </c>
    </row>
    <row r="71">
      <c r="A71" s="49" t="inlineStr">
        <is>
          <t>R0045</t>
        </is>
      </c>
      <c r="B71" s="49" t="inlineStr">
        <is>
          <t>FT_INCLUDE</t>
        </is>
      </c>
      <c r="C71" s="49" t="inlineStr">
        <is>
          <t>This step allows actors to explore potential outcomes and assess the impact of disruptions before implementing adjustments in the physical system. The AI-driven optimization engine is employed to evaluate and suggest optimal configurations.</t>
        </is>
      </c>
      <c r="D71" s="49" t="inlineStr">
        <is>
          <t>3 Framework for Intelligent Reconfigurable Supply Chain (overview, 2nd paragraph) - HITL evidence</t>
        </is>
      </c>
      <c r="E71" s="49" t="inlineStr">
        <is>
          <t>Y</t>
        </is>
      </c>
    </row>
    <row r="72">
      <c r="A72" s="49" t="inlineStr">
        <is>
          <t>R0045</t>
        </is>
      </c>
      <c r="B72" s="49" t="inlineStr">
        <is>
          <t>FT_INCLUDE</t>
        </is>
      </c>
      <c r="C72" s="49" t="inlineStr">
        <is>
          <t>To address these gaps, we propose a conceptual framework that integrates KG, AI, optimization and DT to enable an intelligent approach to RSC.</t>
        </is>
      </c>
      <c r="D72" s="49" t="inlineStr">
        <is>
          <t>2.3 AI and Optimization in the Supply Chain Reconfiguration (last paragraph)</t>
        </is>
      </c>
      <c r="E72" s="49" t="inlineStr">
        <is>
          <t>Y</t>
        </is>
      </c>
    </row>
    <row r="73">
      <c r="A73" s="49" t="inlineStr">
        <is>
          <t>R0050</t>
        </is>
      </c>
      <c r="B73" s="49" t="inlineStr">
        <is>
          <t>FT_EXCLUDE</t>
        </is>
      </c>
      <c r="C73" s="49" t="inlineStr">
        <is>
          <t>This paper presents the development of a digital model of the production process at a mechanical engineering enterprise, aimed at improving management efficiency using Big Data technologies and multi-criteria optimization methods.</t>
        </is>
      </c>
      <c r="D73" s="49" t="inlineStr">
        <is>
          <t>Abstract (printed p. 25; digest PDF p. 26)</t>
        </is>
      </c>
      <c r="E73" s="49" t="inlineStr">
        <is>
          <t>Y</t>
        </is>
      </c>
    </row>
    <row r="74">
      <c r="A74" s="49" t="inlineStr">
        <is>
          <t>R0050</t>
        </is>
      </c>
      <c r="B74" s="49" t="inlineStr">
        <is>
          <t>FT_EXCLUDE</t>
        </is>
      </c>
      <c r="C74" s="49" t="inlineStr">
        <is>
          <t>This model creates the prerequisites for the creation of digital twins of production routes and supports the implementation of adaptive methods for planning and optimizing material flows in real time.</t>
        </is>
      </c>
      <c r="D74" s="49" t="inlineStr">
        <is>
          <t>1.3 Workshop, text after Table 4 (printed p. 27; digest PDF p. 28)</t>
        </is>
      </c>
      <c r="E74" s="49" t="inlineStr">
        <is>
          <t>Y</t>
        </is>
      </c>
    </row>
    <row r="75">
      <c r="A75" s="49" t="inlineStr">
        <is>
          <t>R0050</t>
        </is>
      </c>
      <c r="B75" s="49" t="inlineStr">
        <is>
          <t>FT_EXCLUDE</t>
        </is>
      </c>
      <c r="C75" s="49" t="inlineStr">
        <is>
          <t>The structure of a machine shop was formalized, identifying the main functional elements of the production system, including production areas, buffers, product flow routes, and intra-shop logistics.</t>
        </is>
      </c>
      <c r="D75" s="49" t="inlineStr">
        <is>
          <t>Abstract (printed p. 25; digest PDF p. 26)</t>
        </is>
      </c>
      <c r="E75" s="49" t="inlineStr">
        <is>
          <t>Y</t>
        </is>
      </c>
    </row>
    <row r="76">
      <c r="A76" s="49" t="inlineStr">
        <is>
          <t>R0050</t>
        </is>
      </c>
      <c r="B76" s="49" t="inlineStr">
        <is>
          <t>FT_EXCLUDE</t>
        </is>
      </c>
      <c r="C76" s="49" t="inlineStr">
        <is>
          <t>Machine learning methods were used to analyze the processing quality and operational efficiency of the production system, and the results were visualized using 3D models and equipment utilization heat maps.</t>
        </is>
      </c>
      <c r="D76" s="49" t="inlineStr">
        <is>
          <t>1. Research methology [sic] (printed p. 26; digest PDF p. 27)</t>
        </is>
      </c>
      <c r="E76" s="49" t="inlineStr">
        <is>
          <t>Y</t>
        </is>
      </c>
    </row>
    <row r="77">
      <c r="A77" s="49" t="inlineStr">
        <is>
          <t>R0050</t>
        </is>
      </c>
      <c r="B77" s="49" t="inlineStr">
        <is>
          <t>FT_EXCLUDE</t>
        </is>
      </c>
      <c r="C77" s="49" t="inlineStr">
        <is>
          <t>Prediction code: import matplotlib.pyplot as plt import seaborn as sns # Add model predictions to a DataFrame X_test_copy = X_test.copy() X_test_copy['quality_predicted'] = model.predict(X_test)</t>
        </is>
      </c>
      <c r="D77" s="49" t="inlineStr">
        <is>
          <t>1. Research methology, code listing before 2. Results and discussion (printed p. 28; digest PDF p. 29)</t>
        </is>
      </c>
      <c r="E77" s="49" t="inlineStr">
        <is>
          <t>Y</t>
        </is>
      </c>
    </row>
    <row r="78">
      <c r="A78" s="49" t="inlineStr">
        <is>
          <t>R0050</t>
        </is>
      </c>
      <c r="B78" s="49" t="inlineStr">
        <is>
          <t>FT_EXCLUDE</t>
        </is>
      </c>
      <c r="C78" s="49" t="inlineStr">
        <is>
          <t>The proposed approach simultaneously accounts for time, production, and economic indicators, utilizes real production data and machine learning methods, and is capable of adapting to changing production system operating conditions and updating as new data accumulates.</t>
        </is>
      </c>
      <c r="D78" s="49" t="inlineStr">
        <is>
          <t>2. Results and discussion (printed p. 33; digest PDF p. 34)</t>
        </is>
      </c>
      <c r="E78" s="49" t="inlineStr">
        <is>
          <t>Y</t>
        </is>
      </c>
    </row>
    <row r="79">
      <c r="A79" s="49" t="inlineStr">
        <is>
          <t>R0054</t>
        </is>
      </c>
      <c r="B79" s="49" t="inlineStr">
        <is>
          <t>FT_INCLUDE</t>
        </is>
      </c>
      <c r="C79" s="49" t="inlineStr">
        <is>
          <t>The interaction between forecasts, routing decisions, and facility siting is validated using a digital twin implemented with SimPy. Orders are generated stochastically based on demand forecasts, while couriers, lockers, and vehicles are modeled as resources subject to capacity constraints.</t>
        </is>
      </c>
      <c r="D79" s="49" t="inlineStr">
        <is>
          <t>Methods – Digital Twin Simulation (SimPy) (printed p. 204; PDF p. 6)</t>
        </is>
      </c>
      <c r="E79" s="49" t="inlineStr">
        <is>
          <t>Y</t>
        </is>
      </c>
    </row>
    <row r="80">
      <c r="A80" s="49" t="inlineStr">
        <is>
          <t>R0054</t>
        </is>
      </c>
      <c r="B80" s="49" t="inlineStr">
        <is>
          <t>FT_INCLUDE</t>
        </is>
      </c>
      <c r="C80" s="49" t="inlineStr">
        <is>
          <t>This study proposes a machine learning–driven smart-sharing framework that integrates predictive analytics with operations research to optimize last-mile delivery in the Kingdom of Saudi Arabia.</t>
        </is>
      </c>
      <c r="D80" s="49" t="inlineStr">
        <is>
          <t>Abstract – Background (printed p. 199; PDF p. 1)</t>
        </is>
      </c>
      <c r="E80" s="49" t="inlineStr">
        <is>
          <t>Y</t>
        </is>
      </c>
    </row>
    <row r="81">
      <c r="A81" s="49" t="inlineStr">
        <is>
          <t>R0054</t>
        </is>
      </c>
      <c r="B81" s="49" t="inlineStr">
        <is>
          <t>FT_INCLUDE</t>
        </is>
      </c>
      <c r="C81" s="49" t="inlineStr">
        <is>
          <t>Demand forecasting models (SARIMAX, XGBoost, LightGBM) capture temporal and event-driven variations, while ETA prediction models (XGBoost, LightGBM, CatBoost with SHAP explainability) refine delivery time estimates. Routing decisions are solved as a VRP-TW with OR-Tools, extended by locker siting through CP-SAT.</t>
        </is>
      </c>
      <c r="D81" s="49" t="inlineStr">
        <is>
          <t>Methods – Digital Twin Simulation (SimPy), closing summary paragraph (printed p. 204; PDF p. 6)</t>
        </is>
      </c>
      <c r="E81" s="49" t="inlineStr">
        <is>
          <t>Y</t>
        </is>
      </c>
    </row>
    <row r="82">
      <c r="A82" s="49" t="inlineStr">
        <is>
          <t>R0054</t>
        </is>
      </c>
      <c r="B82" s="49" t="inlineStr">
        <is>
          <t>FT_INCLUDE</t>
        </is>
      </c>
      <c r="C82" s="49" t="inlineStr">
        <is>
          <t>A Level-1 digital twin was used to validate system resilience under stress scenarios.</t>
        </is>
      </c>
      <c r="D82" s="49" t="inlineStr">
        <is>
          <t>Conclusion (printed p. 209; PDF p. 11)</t>
        </is>
      </c>
      <c r="E82" s="49" t="inlineStr">
        <is>
          <t>Y</t>
        </is>
      </c>
    </row>
    <row r="83">
      <c r="A83" s="49" t="inlineStr">
        <is>
          <t>R0054</t>
        </is>
      </c>
      <c r="B83" s="49" t="inlineStr">
        <is>
          <t>FT_INCLUDE</t>
        </is>
      </c>
      <c r="C83" s="49" t="inlineStr">
        <is>
          <t>Future work should incorporate real OpenStreetMap networks and reinforcement-learning-based dispatching to enable adaptive, real-time fleet control.</t>
        </is>
      </c>
      <c r="D83" s="49" t="inlineStr">
        <is>
          <t>Conclusion, future work (printed p. 209; PDF p. 11)</t>
        </is>
      </c>
      <c r="E83" s="49" t="inlineStr">
        <is>
          <t>Y</t>
        </is>
      </c>
    </row>
    <row r="84">
      <c r="A84" s="49" t="inlineStr">
        <is>
          <t>R0054</t>
        </is>
      </c>
      <c r="B84" s="49" t="inlineStr">
        <is>
          <t>FT_INCLUDE</t>
        </is>
      </c>
      <c r="C84" s="49" t="inlineStr">
        <is>
          <t>From a practical perspective, logistics managers may benefit from integrating demand forecasting into daily fleet dispatch</t>
        </is>
      </c>
      <c r="D84" s="49" t="inlineStr">
        <is>
          <t>Conclusion, practical implications (printed p. 209; PDF p. 11; the sentence continues on p. 210: 'to support data-driven resource allocation')</t>
        </is>
      </c>
      <c r="E84" s="49" t="inlineStr">
        <is>
          <t>Y</t>
        </is>
      </c>
    </row>
    <row r="85">
      <c r="A85" s="49" t="inlineStr">
        <is>
          <t>R0057</t>
        </is>
      </c>
      <c r="B85" s="49" t="inlineStr">
        <is>
          <t>FT_INCLUDE</t>
        </is>
      </c>
      <c r="C85" s="49" t="inlineStr">
        <is>
          <t>The EEDT serves as a virtual replica of decentralized components of the supply chain in the form of inventory systems, transportation networks, and demand nodes, and receives real-time IoT information at the edge to minimize latency.</t>
        </is>
      </c>
      <c r="D85" s="49" t="inlineStr">
        <is>
          <t>III. Proposed GA-MARL Framework</t>
        </is>
      </c>
      <c r="E85" s="49" t="inlineStr">
        <is>
          <t>Y</t>
        </is>
      </c>
    </row>
    <row r="86">
      <c r="A86" s="49" t="inlineStr">
        <is>
          <t>R0057</t>
        </is>
      </c>
      <c r="B86" s="49" t="inlineStr">
        <is>
          <t>FT_INCLUDE</t>
        </is>
      </c>
      <c r="C86" s="49" t="inlineStr">
        <is>
          <t>Warehouses (capacity-constrained storage model), distribution centers (intermediate routing node model), and retailers (end-demand point model) are modeled as simulation environment.</t>
        </is>
      </c>
      <c r="D86" s="49" t="inlineStr">
        <is>
          <t>IV. Experimental Setup</t>
        </is>
      </c>
      <c r="E86" s="49" t="inlineStr">
        <is>
          <t>Y</t>
        </is>
      </c>
    </row>
    <row r="87">
      <c r="A87" s="49" t="inlineStr">
        <is>
          <t>R0057</t>
        </is>
      </c>
      <c r="B87" s="49" t="inlineStr">
        <is>
          <t>FT_INCLUDE</t>
        </is>
      </c>
      <c r="C87" s="49" t="inlineStr">
        <is>
          <t>Transactional SCM data (e.g. UCI and industry inventory datasets) provided publicly are mixed with benchmark synthetic data to model a dynamic demand, lead times and distribution variability.</t>
        </is>
      </c>
      <c r="D87" s="49" t="inlineStr">
        <is>
          <t>IV. Experimental Setup</t>
        </is>
      </c>
      <c r="E87" s="49" t="inlineStr">
        <is>
          <t>Y</t>
        </is>
      </c>
    </row>
    <row r="88">
      <c r="A88" s="49" t="inlineStr">
        <is>
          <t>R0057</t>
        </is>
      </c>
      <c r="B88" s="49" t="inlineStr">
        <is>
          <t>FT_INCLUDE</t>
        </is>
      </c>
      <c r="C88" s="49" t="inlineStr">
        <is>
          <t>GA does global optimization of strategic actions such as selecting suppliers and allocating inventory, whereas MARL allows real-time and adaptive control of distributed agents (e.g., warehouses and retailers).</t>
        </is>
      </c>
      <c r="D88" s="49" t="inlineStr">
        <is>
          <t>III. Proposed GA-MARL Framework</t>
        </is>
      </c>
      <c r="E88" s="49" t="inlineStr">
        <is>
          <t>Y</t>
        </is>
      </c>
    </row>
    <row r="89">
      <c r="A89" s="49" t="inlineStr">
        <is>
          <t>R0057</t>
        </is>
      </c>
      <c r="B89" s="49" t="inlineStr">
        <is>
          <t>FT_INCLUDE</t>
        </is>
      </c>
      <c r="C89" s="49" t="inlineStr">
        <is>
          <t>Both of the modules provide a two-way connection to the digital twin that creates a closed-loop feedback process that constantly modifies decisions based on performance metrics.</t>
        </is>
      </c>
      <c r="D89" s="49" t="inlineStr">
        <is>
          <t>III. Proposed GA-MARL Framework</t>
        </is>
      </c>
      <c r="E89" s="49" t="inlineStr">
        <is>
          <t>Y</t>
        </is>
      </c>
    </row>
    <row r="90">
      <c r="A90" s="49" t="inlineStr">
        <is>
          <t>R0057</t>
        </is>
      </c>
      <c r="B90" s="49" t="inlineStr">
        <is>
          <t>FT_INCLUDE</t>
        </is>
      </c>
      <c r="C90" s="49" t="inlineStr">
        <is>
          <t>The concept of supply chain management (SCM) has been shifting toward manual decision-making to intelligent systems employing artificial intelligence.</t>
        </is>
      </c>
      <c r="D90" s="49" t="inlineStr">
        <is>
          <t>II. Literature Review (only human-related statement in the paper)</t>
        </is>
      </c>
      <c r="E90" s="49" t="inlineStr">
        <is>
          <t>Y</t>
        </is>
      </c>
    </row>
    <row r="91">
      <c r="A91" s="49" t="inlineStr">
        <is>
          <t>R0064</t>
        </is>
      </c>
      <c r="B91" s="49" t="inlineStr">
        <is>
          <t>NOT_RETRIEVED</t>
        </is>
      </c>
      <c r="C91" s="49" t="inlineStr">
        <is>
          <t>this study constructs a supply chain collaborative management system driven by digital twins. A joint optimization mechanism of graph neural networks and reinforcement learning is introduced to achieve structural self-awareness and strategic self-evolution within the supply chain.</t>
        </is>
      </c>
      <c r="D91" s="49" t="inlineStr">
        <is>
          <t>Abstract (only part visible; not usable for coding)</t>
        </is>
      </c>
      <c r="E91" s="49" t="inlineStr">
        <is>
          <t>Y</t>
        </is>
      </c>
    </row>
    <row r="92">
      <c r="A92" s="49" t="inlineStr">
        <is>
          <t>R0064</t>
        </is>
      </c>
      <c r="B92" s="49" t="inlineStr">
        <is>
          <t>NOT_RETRIEVED</t>
        </is>
      </c>
      <c r="C92" s="49" t="inlineStr">
        <is>
          <t>Experimental results show that the DGAT-GNN + Risk-aware SAC model performs well in dynamic perturbation scenarios, achieving a 95% convergence rate of 342 ± 21 steps, approximately 40% higher than the control model.</t>
        </is>
      </c>
      <c r="D92" s="49" t="inlineStr">
        <is>
          <t>Abstract (only part visible; not usable for coding)</t>
        </is>
      </c>
      <c r="E92" s="49" t="inlineStr">
        <is>
          <t>Y</t>
        </is>
      </c>
    </row>
    <row r="93">
      <c r="A93" s="49" t="inlineStr">
        <is>
          <t>R0064</t>
        </is>
      </c>
      <c r="B93" s="49" t="inlineStr">
        <is>
          <t>NOT_RETRIEVED</t>
        </is>
      </c>
      <c r="C93" s="49" t="inlineStr">
        <is>
          <t>Multi-dimensional user ratings indicate an overall system satisfaction score of 4.54, with the highest score of 4.55 for intelligent coordination.</t>
        </is>
      </c>
      <c r="D93" s="49" t="inlineStr">
        <is>
          <t>Abstract (only part visible; possible human-evaluation component to verify in the full text)</t>
        </is>
      </c>
      <c r="E93" s="49" t="inlineStr">
        <is>
          <t>Y</t>
        </is>
      </c>
    </row>
    <row r="94">
      <c r="A94" s="49" t="inlineStr">
        <is>
          <t>R0064</t>
        </is>
      </c>
      <c r="B94" s="49" t="inlineStr">
        <is>
          <t>NOT_RETRIEVED</t>
        </is>
      </c>
      <c r="C94" s="49" t="inlineStr">
        <is>
          <t>Access the full article / Access through your institution / Sign in with an organizational or personal account / Purchase with a subscription</t>
        </is>
      </c>
      <c r="D94" s="49" t="inlineStr">
        <is>
          <t>SPIE article page, sign-in gate below the abstract (id sign-in-gate) next to the 'Get Access' button; no PDF link rendered</t>
        </is>
      </c>
      <c r="E94" s="49" t="inlineStr">
        <is>
          <t>Y</t>
        </is>
      </c>
    </row>
    <row r="95">
      <c r="A95" s="49" t="inlineStr">
        <is>
          <t>R0064</t>
        </is>
      </c>
      <c r="B95" s="49" t="inlineStr">
        <is>
          <t>NOT_RETRIEVED</t>
        </is>
      </c>
      <c r="C95" s="49" t="inlineStr">
        <is>
          <t>www.spiedigitallibrary.org Additional security check is required. To ensure the security and integrity of SPIE, we require CAPTCHA on specific webpages.</t>
        </is>
      </c>
      <c r="D95" s="49" t="inlineStr">
        <is>
          <t>CAPTCHA interstitial shown after the Hull proxy redirected to the un-proxied SPIE hostname (not solved)</t>
        </is>
      </c>
      <c r="E95" s="49" t="inlineStr">
        <is>
          <t>Y</t>
        </is>
      </c>
    </row>
    <row r="96">
      <c r="A96" s="49" t="inlineStr">
        <is>
          <t>R0066</t>
        </is>
      </c>
      <c r="B96" s="49" t="inlineStr">
        <is>
          <t>FT_EXCLUDE</t>
        </is>
      </c>
      <c r="C96" s="49" t="inlineStr">
        <is>
          <t>This study presents an empirically validated, AI-driven framework integrating Graph Neural Networks, Reinforcement Learning, digital twin simulation, and probabilistic forecasting across 14,800 U.S. supplier relationships spanning six industry sectors.</t>
        </is>
      </c>
      <c r="D96" s="49" t="inlineStr">
        <is>
          <t>Abstract (p. 1396) - the claim as asserted; contradicted by Sections 3.2, 3.6, 3.7 and 6 below</t>
        </is>
      </c>
      <c r="E96" s="49" t="inlineStr">
        <is>
          <t>Y</t>
        </is>
      </c>
    </row>
    <row r="97">
      <c r="A97" s="49" t="inlineStr">
        <is>
          <t>R0066</t>
        </is>
      </c>
      <c r="B97" s="49" t="inlineStr">
        <is>
          <t>FT_EXCLUDE</t>
        </is>
      </c>
      <c r="C97" s="49" t="inlineStr">
        <is>
          <t>In total, 14,800 supply connections were generated across different business sectors. On top of that, thirty-one different business scenario profiles were created to test how bad disruptions could get</t>
        </is>
      </c>
      <c r="D97" s="49" t="inlineStr">
        <is>
          <t>3.2 Data Sources and Synthetic Augmentation Strategy (p. 1400) - the '14,800 supplier relationships' and '31 enterprise deployments' are synthetic</t>
        </is>
      </c>
      <c r="E97" s="49" t="inlineStr">
        <is>
          <t>Y</t>
        </is>
      </c>
    </row>
    <row r="98">
      <c r="A98" s="49" t="inlineStr">
        <is>
          <t>R0066</t>
        </is>
      </c>
      <c r="B98" s="49" t="inlineStr">
        <is>
          <t>FT_EXCLUDE</t>
        </is>
      </c>
      <c r="C98" s="49" t="inlineStr">
        <is>
          <t>Since there was no live data feed or link to actual physical equipment, the setup was explicitly labeled as a digital-twin-inspired simulator, rather than a live, functioning digital twin.</t>
        </is>
      </c>
      <c r="D98" s="49" t="inlineStr">
        <is>
          <t>3.6 Digital-Twin-Inspired Simulation, Sustainability Analysis, and Reinforcement Learning Optimization (p. 1402)</t>
        </is>
      </c>
      <c r="E98" s="49" t="inlineStr">
        <is>
          <t>Y</t>
        </is>
      </c>
    </row>
    <row r="99">
      <c r="A99" s="49" t="inlineStr">
        <is>
          <t>R0066</t>
        </is>
      </c>
      <c r="B99" s="49" t="inlineStr">
        <is>
          <t>FT_EXCLUDE</t>
        </is>
      </c>
      <c r="C99" s="49" t="inlineStr">
        <is>
          <t>These setups were clearly marked as synthetic test cases rather than live company operations to make sure the practical validation claims stayed realistic.</t>
        </is>
      </c>
      <c r="D99" s="49" t="inlineStr">
        <is>
          <t>3.7 Scenario Portfolio Evaluation and Computational Environment (p. 1402)</t>
        </is>
      </c>
      <c r="E99" s="49" t="inlineStr">
        <is>
          <t>Y</t>
        </is>
      </c>
    </row>
    <row r="100">
      <c r="A100" s="49" t="inlineStr">
        <is>
          <t>R0066</t>
        </is>
      </c>
      <c r="B100" s="49" t="inlineStr">
        <is>
          <t>FT_EXCLUDE</t>
        </is>
      </c>
      <c r="C100" s="49" t="inlineStr">
        <is>
          <t>the framework linked forecasting, graph-based vulnerability modeling, digital-twin-inspired disruption simulation, Scope 3 emissions estimation, and reinforcement-learning-based rerouting optimization.</t>
        </is>
      </c>
      <c r="D100" s="49" t="inlineStr">
        <is>
          <t>8. Conclusion (p. 1408) - AI methods: ARIMA/XGBoost/LSTM forecasting, GCN/GraphSAGE/GAT via PyTorch Geometric (3.5, 4.2), tabular Q-learning (3.6)</t>
        </is>
      </c>
      <c r="E100" s="49" t="inlineStr">
        <is>
          <t>Y</t>
        </is>
      </c>
    </row>
    <row r="101">
      <c r="A101" s="49" t="inlineStr">
        <is>
          <t>R0066</t>
        </is>
      </c>
      <c r="B101" s="49" t="inlineStr">
        <is>
          <t>FT_EXCLUDE</t>
        </is>
      </c>
      <c r="C101" s="49" t="inlineStr">
        <is>
          <t>Consequently, the network structure is shaped more by basic design assumptions than by real-life maps of operational supply chains.</t>
        </is>
      </c>
      <c r="D101" s="49" t="inlineStr">
        <is>
          <t>6. Limitations and Threats to Validity (p. 1407)</t>
        </is>
      </c>
      <c r="E101" s="49" t="inlineStr">
        <is>
          <t>Y</t>
        </is>
      </c>
    </row>
    <row r="102">
      <c r="A102" s="49" t="inlineStr">
        <is>
          <t>R0076</t>
        </is>
      </c>
      <c r="B102" s="49" t="inlineStr">
        <is>
          <t>NOT_RETRIEVED</t>
        </is>
      </c>
      <c r="C102" s="49" t="inlineStr">
        <is>
          <t>artificial intelligence has been one of the most promising innovation frontiers of manufacturing, especially when integrated into broader architectures such as digital twin simulations or data spaces.</t>
        </is>
      </c>
      <c r="D102" s="49" t="inlineStr">
        <is>
          <t>Abstract (only part visible; not usable for coding)</t>
        </is>
      </c>
      <c r="E102" s="49" t="inlineStr">
        <is>
          <t>Y</t>
        </is>
      </c>
    </row>
    <row r="103">
      <c r="A103" s="49" t="inlineStr">
        <is>
          <t>R0076</t>
        </is>
      </c>
      <c r="B103" s="49" t="inlineStr">
        <is>
          <t>NOT_RETRIEVED</t>
        </is>
      </c>
      <c r="C103" s="49" t="inlineStr">
        <is>
          <t>the collection by transport and logistics operators of the E-mobility battery systems which reach their end-of-life; a preliminary tests of the battery reusability without any manipulation to directly reuse them</t>
        </is>
      </c>
      <c r="D103" s="49" t="inlineStr">
        <is>
          <t>Abstract (only part visible; not usable for coding)</t>
        </is>
      </c>
      <c r="E103" s="49" t="inlineStr">
        <is>
          <t>Y</t>
        </is>
      </c>
    </row>
    <row r="104">
      <c r="A104" s="49" t="inlineStr">
        <is>
          <t>R0076</t>
        </is>
      </c>
      <c r="B104" s="49" t="inlineStr">
        <is>
          <t>NOT_RETRIEVED</t>
        </is>
      </c>
      <c r="C104" s="49" t="inlineStr">
        <is>
          <t>This is a preview of subscription content, log in via an institution to check access.</t>
        </is>
      </c>
      <c r="D104" s="49" t="inlineStr">
        <is>
          <t>Body, immediately after the Abstract (paywall marker shown on the Hull-proxied page link-springer-com.hull.idm.oclc.org)</t>
        </is>
      </c>
      <c r="E104" s="49" t="inlineStr">
        <is>
          <t>Y</t>
        </is>
      </c>
    </row>
    <row r="105">
      <c r="A105" s="49" t="inlineStr">
        <is>
          <t>R0077</t>
        </is>
      </c>
      <c r="B105" s="49" t="inlineStr">
        <is>
          <t>FT_INCLUDE</t>
        </is>
      </c>
      <c r="C105" s="49" t="inlineStr">
        <is>
          <t>node-local digital twins—each hosting a machine learning (ML) disturbance estimator—provide local adaptive compensation without centralised data aggregation. A defining property of the architecture is automatic improvement propagation: learned corrections distribute via federated learning to structurally similar nodes without operator intervention</t>
        </is>
      </c>
      <c r="D105" s="49" t="inlineStr">
        <is>
          <t>Abstract</t>
        </is>
      </c>
      <c r="E105" s="49" t="inlineStr">
        <is>
          <t>Y</t>
        </is>
      </c>
    </row>
    <row r="106">
      <c r="A106" s="49" t="inlineStr">
        <is>
          <t>R0077</t>
        </is>
      </c>
      <c r="B106" s="49" t="inlineStr">
        <is>
          <t>FT_INCLUDE</t>
        </is>
      </c>
      <c r="C106" s="49" t="inlineStr">
        <is>
          <t>The third disturbance class addresses supply chain disruptions arising from proprietary vendor actions: firmware lock-down, component discontinuation, or deliberate incompatibility introduced to capture market share.</t>
        </is>
      </c>
      <c r="D106" s="49" t="inlineStr">
        <is>
          <t>4.3.1 Case C: Supply Chain Disturbance - Disturbance Characterisation</t>
        </is>
      </c>
      <c r="E106" s="49" t="inlineStr">
        <is>
          <t>Y</t>
        </is>
      </c>
    </row>
    <row r="107">
      <c r="A107" s="49" t="inlineStr">
        <is>
          <t>R0077</t>
        </is>
      </c>
      <c r="B107" s="49" t="inlineStr">
        <is>
          <t>FT_INCLUDE</t>
        </is>
      </c>
      <c r="C107" s="49" t="inlineStr">
        <is>
          <t>is the disturbance estimate produced by a local estimator (e.g., a Gaussian Process [47] or neural network [48]) trained on historical process data</t>
        </is>
      </c>
      <c r="D107" s="49" t="inlineStr">
        <is>
          <t>3.3 ML as Disturbance Estimator and Distributed Adaptive Compensator (Eq. 8)</t>
        </is>
      </c>
      <c r="E107" s="49" t="inlineStr">
        <is>
          <t>Y</t>
        </is>
      </c>
    </row>
    <row r="108">
      <c r="A108" s="49" t="inlineStr">
        <is>
          <t>R0077</t>
        </is>
      </c>
      <c r="B108" s="49" t="inlineStr">
        <is>
          <t>FT_INCLUDE</t>
        </is>
      </c>
      <c r="C108" s="49" t="inlineStr">
        <is>
          <t>It is software running on the node’s co-located compute substrate, automating what an experienced human operator would otherwise do manually: diagnosing process drift, fitting compensation models, and closing the gap between nominal design intent and physical output.</t>
        </is>
      </c>
      <c r="D108" s="49" t="inlineStr">
        <is>
          <t>3. Proposed Framework (Cognitive Gateway description)</t>
        </is>
      </c>
      <c r="E108" s="49" t="inlineStr">
        <is>
          <t>Y</t>
        </is>
      </c>
    </row>
    <row r="109">
      <c r="A109" s="49" t="inlineStr">
        <is>
          <t>R0077</t>
        </is>
      </c>
      <c r="B109" s="49" t="inlineStr">
        <is>
          <t>FT_INCLUDE</t>
        </is>
      </c>
      <c r="C109" s="49" t="inlineStr">
        <is>
          <t>At the other extreme, a manual operator reviews and approves each incoming change before it is applied to the local node. Between these poles, semi-autonomous configurations allow operators to whitelist categories of updates</t>
        </is>
      </c>
      <c r="D109" s="49" t="inlineStr">
        <is>
          <t>5.2 Implications for Manufacturing Systems Design</t>
        </is>
      </c>
      <c r="E109" s="49" t="inlineStr">
        <is>
          <t>Y</t>
        </is>
      </c>
    </row>
    <row r="110">
      <c r="A110" s="49" t="inlineStr">
        <is>
          <t>R0077</t>
        </is>
      </c>
      <c r="B110" s="49" t="inlineStr">
        <is>
          <t>FT_INCLUDE</t>
        </is>
      </c>
      <c r="C110" s="49" t="inlineStr">
        <is>
          <t>Second, the ML compensation layer is treated as a conceptual component of the framework; no specific learning algorithms are implemented or benchmarked.</t>
        </is>
      </c>
      <c r="D110" s="49" t="inlineStr">
        <is>
          <t>5.3 Limitations</t>
        </is>
      </c>
      <c r="E110" s="49" t="inlineStr">
        <is>
          <t>Y</t>
        </is>
      </c>
    </row>
    <row r="111">
      <c r="A111" s="49" t="inlineStr">
        <is>
          <t>R0078</t>
        </is>
      </c>
      <c r="B111" s="49" t="inlineStr">
        <is>
          <t>FT_INCLUDE</t>
        </is>
      </c>
      <c r="C111" s="49" t="inlineStr">
        <is>
          <t>Secondly, a digital twin is implemented to monitor the delivery delay and identify the construction supply chain risks for resilient system control.</t>
        </is>
      </c>
      <c r="D111" s="49" t="inlineStr">
        <is>
          <t>1. Introduction</t>
        </is>
      </c>
      <c r="E111" s="49" t="inlineStr">
        <is>
          <t>Y</t>
        </is>
      </c>
    </row>
    <row r="112">
      <c r="A112" s="49" t="inlineStr">
        <is>
          <t>R0078</t>
        </is>
      </c>
      <c r="B112" s="49" t="inlineStr">
        <is>
          <t>FT_INCLUDE</t>
        </is>
      </c>
      <c r="C112" s="49" t="inlineStr">
        <is>
          <t>A digital Kanban is designed to visualise the supply chain and deliver real-time alerts about incidents. It utilises a dataset that includes both historical and real-time data, which is then processed and transmitted to the AI layer.</t>
        </is>
      </c>
      <c r="D112" s="49" t="inlineStr">
        <is>
          <t>4.1. Problem description (Figure 4, digital supply chain twin framework)</t>
        </is>
      </c>
      <c r="E112" s="49" t="inlineStr">
        <is>
          <t>Y</t>
        </is>
      </c>
    </row>
    <row r="113">
      <c r="A113" s="49" t="inlineStr">
        <is>
          <t>R0078</t>
        </is>
      </c>
      <c r="B113" s="49" t="inlineStr">
        <is>
          <t>FT_INCLUDE</t>
        </is>
      </c>
      <c r="C113" s="49" t="inlineStr">
        <is>
          <t>The AI layer provides the decision making support by implementing machine learning after analysing and processing data. Both the real time and forecasted contingency will trigger the warning on the Kanban.</t>
        </is>
      </c>
      <c r="D113" s="49" t="inlineStr">
        <is>
          <t>4.1. Problem description</t>
        </is>
      </c>
      <c r="E113" s="49" t="inlineStr">
        <is>
          <t>Y</t>
        </is>
      </c>
    </row>
    <row r="114">
      <c r="A114" s="49" t="inlineStr">
        <is>
          <t>R0078</t>
        </is>
      </c>
      <c r="B114" s="49" t="inlineStr">
        <is>
          <t>FT_INCLUDE</t>
        </is>
      </c>
      <c r="C114" s="49" t="inlineStr">
        <is>
          <t>The physical supply chain is a network that transports construction materials from raw materials suppliers to construction sites through a distribution system.</t>
        </is>
      </c>
      <c r="D114" s="49" t="inlineStr">
        <is>
          <t>4.1. Problem description</t>
        </is>
      </c>
      <c r="E114" s="49" t="inlineStr">
        <is>
          <t>Y</t>
        </is>
      </c>
    </row>
    <row r="115">
      <c r="A115" s="49" t="inlineStr">
        <is>
          <t>R0078</t>
        </is>
      </c>
      <c r="B115" s="49" t="inlineStr">
        <is>
          <t>FT_INCLUDE</t>
        </is>
      </c>
      <c r="C115" s="49" t="inlineStr">
        <is>
          <t>However, LSTM and M3HMM clearly outperform the other models, with average accuracies of 86.0% and 89.8%, respectively.</t>
        </is>
      </c>
      <c r="D115" s="49" t="inlineStr">
        <is>
          <t>5.2. Comparative analysis with other models</t>
        </is>
      </c>
      <c r="E115" s="49" t="inlineStr">
        <is>
          <t>Y</t>
        </is>
      </c>
    </row>
    <row r="116">
      <c r="A116" s="49" t="inlineStr">
        <is>
          <t>R0078</t>
        </is>
      </c>
      <c r="B116" s="49" t="inlineStr">
        <is>
          <t>FT_INCLUDE</t>
        </is>
      </c>
      <c r="C116" s="49" t="inlineStr">
        <is>
          <t>The industry case study implies that stakeholders can implement decisions based on AALT about five days in advance on average by conducting the proposed M3HMM forecasting model.</t>
        </is>
      </c>
      <c r="D116" s="49" t="inlineStr">
        <is>
          <t>5.3. Managerial implications</t>
        </is>
      </c>
      <c r="E116" s="49" t="inlineStr">
        <is>
          <t>Y</t>
        </is>
      </c>
    </row>
    <row r="117">
      <c r="A117" s="49" t="inlineStr">
        <is>
          <t>R0080</t>
        </is>
      </c>
      <c r="B117" s="49" t="inlineStr">
        <is>
          <t>FT_INCLUDE</t>
        </is>
      </c>
      <c r="C117" s="49" t="inlineStr">
        <is>
          <t>The DT, developed using AnyLogic, captures the complexities of the target supply chain, including the uncertainties and stochastic behaviors inherent in industrial operations.</t>
        </is>
      </c>
      <c r="D117" s="49" t="inlineStr">
        <is>
          <t>9. Conclusions and future research directions</t>
        </is>
      </c>
      <c r="E117" s="49" t="inlineStr">
        <is>
          <t>Y</t>
        </is>
      </c>
    </row>
    <row r="118">
      <c r="A118" s="49" t="inlineStr">
        <is>
          <t>R0080</t>
        </is>
      </c>
      <c r="B118" s="49" t="inlineStr">
        <is>
          <t>FT_INCLUDE</t>
        </is>
      </c>
      <c r="C118" s="49" t="inlineStr">
        <is>
          <t>Consequently, a broader project was launched to develop a supply chain DT. Leveraging data collected through SAP, the company initiated the development of a DT of the production process, also including the supply chain</t>
        </is>
      </c>
      <c r="D118" s="49" t="inlineStr">
        <is>
          <t>3.1 Research setting</t>
        </is>
      </c>
      <c r="E118" s="49" t="inlineStr">
        <is>
          <t>Y</t>
        </is>
      </c>
    </row>
    <row r="119">
      <c r="A119" s="49" t="inlineStr">
        <is>
          <t>R0080</t>
        </is>
      </c>
      <c r="B119" s="49" t="inlineStr">
        <is>
          <t>FT_INCLUDE</t>
        </is>
      </c>
      <c r="C119" s="49" t="inlineStr">
        <is>
          <t>Production also depends on two semifinished components, c1 and c2, supplied externally. Completed machines are transported by trucks to logistics centers, with transportation time being a significant factor.</t>
        </is>
      </c>
      <c r="D119" s="49" t="inlineStr">
        <is>
          <t>4. Problem description and analysis</t>
        </is>
      </c>
      <c r="E119" s="49" t="inlineStr">
        <is>
          <t>Y</t>
        </is>
      </c>
    </row>
    <row r="120">
      <c r="A120" s="49" t="inlineStr">
        <is>
          <t>R0080</t>
        </is>
      </c>
      <c r="B120" s="49" t="inlineStr">
        <is>
          <t>FT_INCLUDE</t>
        </is>
      </c>
      <c r="C120" s="49" t="inlineStr">
        <is>
          <t>For the optimization component, this work builds upon the method proposed in Custode and Iacca (2023), which employs a two-level optimization scheme, implemented in Python, combining evolutionary computation and RL to train interpretable policies represented as decision trees.</t>
        </is>
      </c>
      <c r="D120" s="49" t="inlineStr">
        <is>
          <t>5.1 Evolutionary learning of interpretable decision trees</t>
        </is>
      </c>
      <c r="E120" s="49" t="inlineStr">
        <is>
          <t>Y</t>
        </is>
      </c>
    </row>
    <row r="121">
      <c r="A121" s="49" t="inlineStr">
        <is>
          <t>R0080</t>
        </is>
      </c>
      <c r="B121" s="49" t="inlineStr">
        <is>
          <t>FT_INCLUDE</t>
        </is>
      </c>
      <c r="C121" s="49" t="inlineStr">
        <is>
          <t>Through the interface, the domain expert can cast a vote for the decision tree that best aligns with their preferences. This vote directly influences the next generation by adjusting the selection pressure during the parent selection process</t>
        </is>
      </c>
      <c r="D121" s="49" t="inlineStr">
        <is>
          <t>5.3 Human-driven refinement</t>
        </is>
      </c>
      <c r="E121" s="49" t="inlineStr">
        <is>
          <t>Y</t>
        </is>
      </c>
    </row>
    <row r="122">
      <c r="A122" s="49" t="inlineStr">
        <is>
          <t>R0080</t>
        </is>
      </c>
      <c r="B122" s="49" t="inlineStr">
        <is>
          <t>FT_INCLUDE</t>
        </is>
      </c>
      <c r="C122" s="49" t="inlineStr">
        <is>
          <t>However, by incorporating human feedback into the optimization process, ieldt demonstrates faster convergence, achieving an up to 21% improvement (in terms of number of evaluations needed to achieve the same makespan, on average across 10 runs)</t>
        </is>
      </c>
      <c r="D122" s="49" t="inlineStr">
        <is>
          <t>7. Results</t>
        </is>
      </c>
      <c r="E122" s="49" t="inlineStr">
        <is>
          <t>Y</t>
        </is>
      </c>
    </row>
    <row r="123">
      <c r="A123" s="49" t="inlineStr">
        <is>
          <t>R0081</t>
        </is>
      </c>
      <c r="B123" s="49" t="inlineStr">
        <is>
          <t>FT_EXCLUDE</t>
        </is>
      </c>
      <c r="C123" s="49" t="inlineStr">
        <is>
          <t>With a preliminary dataset from AgriCycle, a preliminary simulation model was developed to demonstrate the practical application of the DT framework in a commercial context.</t>
        </is>
      </c>
      <c r="D123" s="49" t="inlineStr">
        <is>
          <t>3.2 Pilot Study Implementation with AgriCycle Innovation Ltd</t>
        </is>
      </c>
      <c r="E123" s="49" t="inlineStr">
        <is>
          <t>Y</t>
        </is>
      </c>
    </row>
    <row r="124">
      <c r="A124" s="49" t="inlineStr">
        <is>
          <t>R0081</t>
        </is>
      </c>
      <c r="B124" s="49" t="inlineStr">
        <is>
          <t>FT_EXCLUDE</t>
        </is>
      </c>
      <c r="C124" s="49" t="inlineStr">
        <is>
          <t>the main goal was to create a comprehensive DT simulation model to optimize productivity, yield, and resource efficiency in the mushroom waste supply chain.</t>
        </is>
      </c>
      <c r="D124" s="49" t="inlineStr">
        <is>
          <t>3.2 Pilot Study Implementation with AgriCycle Innovation Ltd</t>
        </is>
      </c>
      <c r="E124" s="49" t="inlineStr">
        <is>
          <t>Y</t>
        </is>
      </c>
    </row>
    <row r="125">
      <c r="A125" s="49" t="inlineStr">
        <is>
          <t>R0081</t>
        </is>
      </c>
      <c r="B125" s="49" t="inlineStr">
        <is>
          <t>FT_EXCLUDE</t>
        </is>
      </c>
      <c r="C125" s="49" t="inlineStr">
        <is>
          <t>six key stages in the mushroom waste bio-conversion workflow were identified: mushroom cultivation and SMS collection, controlled transport, bioprocessing with yeasts and microorganisms, twin screw processing, board formation via pressing, and quality testing.</t>
        </is>
      </c>
      <c r="D125" s="49" t="inlineStr">
        <is>
          <t>3.2 Pilot Study Implementation with AgriCycle Innovation Ltd (see also Table 1, row 'Collection and Transport')</t>
        </is>
      </c>
      <c r="E125" s="49" t="inlineStr">
        <is>
          <t>Y</t>
        </is>
      </c>
    </row>
    <row r="126">
      <c r="A126" s="49" t="inlineStr">
        <is>
          <t>R0081</t>
        </is>
      </c>
      <c r="B126" s="49" t="inlineStr">
        <is>
          <t>FT_EXCLUDE</t>
        </is>
      </c>
      <c r="C126" s="49" t="inlineStr">
        <is>
          <t>The conceptual simulation model represents the entire SMS conversion ecosystem, including supply chain partners, environmental monitoring systems, the processing system, quality control mechanisms, and feedback loops for continuous improvement.</t>
        </is>
      </c>
      <c r="D126" s="49" t="inlineStr">
        <is>
          <t>3.2 Pilot Study Implementation with AgriCycle Innovation Ltd</t>
        </is>
      </c>
      <c r="E126" s="49" t="inlineStr">
        <is>
          <t>Y</t>
        </is>
      </c>
    </row>
    <row r="127">
      <c r="A127" s="49" t="inlineStr">
        <is>
          <t>R0081</t>
        </is>
      </c>
      <c r="B127" s="49" t="inlineStr">
        <is>
          <t>FT_EXCLUDE</t>
        </is>
      </c>
      <c r="C127" s="49" t="inlineStr">
        <is>
          <t>the process optimization stage implements machine-learning testing within the DT environment to proactively adjust operational parameters.</t>
        </is>
      </c>
      <c r="D127" s="49" t="inlineStr">
        <is>
          <t>3.1 DT Framework Development</t>
        </is>
      </c>
      <c r="E127" s="49" t="inlineStr">
        <is>
          <t>Y</t>
        </is>
      </c>
    </row>
    <row r="128">
      <c r="A128" s="49" t="inlineStr">
        <is>
          <t>R0081</t>
        </is>
      </c>
      <c r="B128" s="49" t="inlineStr">
        <is>
          <t>FT_EXCLUDE</t>
        </is>
      </c>
      <c r="C128" s="49" t="inlineStr">
        <is>
          <t>However, this optimization phase remains at the conceptual level due to limited data availability.</t>
        </is>
      </c>
      <c r="D128" s="49" t="inlineStr">
        <is>
          <t>3.2 Pilot Study Implementation with AgriCycle Innovation Ltd</t>
        </is>
      </c>
      <c r="E128" s="49" t="inlineStr">
        <is>
          <t>Y</t>
        </is>
      </c>
    </row>
    <row r="129">
      <c r="A129" s="49" t="inlineStr">
        <is>
          <t>R0084</t>
        </is>
      </c>
      <c r="B129" s="49" t="inlineStr">
        <is>
          <t>FT_INCLUDE</t>
        </is>
      </c>
      <c r="C129" s="49" t="inlineStr">
        <is>
          <t>The A-SCDT is a composition of agentic AI, digital twins, and model-based optimization and simulation.</t>
        </is>
      </c>
      <c r="D129" s="49" t="inlineStr">
        <is>
          <t>Sec. 1 Introduction</t>
        </is>
      </c>
      <c r="E129" s="49" t="inlineStr">
        <is>
          <t>Y</t>
        </is>
      </c>
    </row>
    <row r="130">
      <c r="A130" s="49" t="inlineStr">
        <is>
          <t>R0084</t>
        </is>
      </c>
      <c r="B130" s="49" t="inlineStr">
        <is>
          <t>FT_INCLUDE</t>
        </is>
      </c>
      <c r="C130" s="49" t="inlineStr">
        <is>
          <t>Essentially, the A-SCDT is a living model of the supply chain. It connects, orchestrates, and synchronises suppliers, plants, warehouses, production lines, logistics routes, demand signals, disruption alerts, capacities, and constraints into a dynamic environment with real-time and adequately updated data.</t>
        </is>
      </c>
      <c r="D130" s="49" t="inlineStr">
        <is>
          <t>Sec. 6.2 Managerial implications</t>
        </is>
      </c>
      <c r="E130" s="49" t="inlineStr">
        <is>
          <t>Y</t>
        </is>
      </c>
    </row>
    <row r="131">
      <c r="A131" s="49" t="inlineStr">
        <is>
          <t>R0084</t>
        </is>
      </c>
      <c r="B131" s="49" t="inlineStr">
        <is>
          <t>FT_INCLUDE</t>
        </is>
      </c>
      <c r="C131" s="49" t="inlineStr">
        <is>
          <t>A manager communicates with models using the Generative AI Interface, supported by LLM Role Agents (e.g. developed in the Google Agent Development Kit) specialising in network, production, sourcing, and logistics tasks.</t>
        </is>
      </c>
      <c r="D131" s="49" t="inlineStr">
        <is>
          <t>Sec. 4.2 Agentic supply chain digital twin</t>
        </is>
      </c>
      <c r="E131" s="49" t="inlineStr">
        <is>
          <t>Y</t>
        </is>
      </c>
    </row>
    <row r="132">
      <c r="A132" s="49" t="inlineStr">
        <is>
          <t>R0084</t>
        </is>
      </c>
      <c r="B132" s="49" t="inlineStr">
        <is>
          <t>FT_INCLUDE</t>
        </is>
      </c>
      <c r="C132" s="49" t="inlineStr">
        <is>
          <t>Essentially, the user is the central entity in Figure 4, and everything is centred around it.</t>
        </is>
      </c>
      <c r="D132" s="49" t="inlineStr">
        <is>
          <t>Sec. 4.2 Agentic supply chain digital twin</t>
        </is>
      </c>
      <c r="E132" s="49" t="inlineStr">
        <is>
          <t>Y</t>
        </is>
      </c>
    </row>
    <row r="133">
      <c r="A133" s="49" t="inlineStr">
        <is>
          <t>R0084</t>
        </is>
      </c>
      <c r="B133" s="49" t="inlineStr">
        <is>
          <t>FT_INCLUDE</t>
        </is>
      </c>
      <c r="C133" s="49" t="inlineStr">
        <is>
          <t>Data technologies are essential to understand the A-SCDT design: e.g. where do humans lead, where does AI inform, where does AI automate the flow, and where do humans monitor anomalies.</t>
        </is>
      </c>
      <c r="D133" s="49" t="inlineStr">
        <is>
          <t>Sec. 4.3 Data technologies for agentic AI in digital twins</t>
        </is>
      </c>
      <c r="E133" s="49" t="inlineStr">
        <is>
          <t>Y</t>
        </is>
      </c>
    </row>
    <row r="134">
      <c r="A134" s="49" t="inlineStr">
        <is>
          <t>R0084</t>
        </is>
      </c>
      <c r="B134" s="49" t="inlineStr">
        <is>
          <t>FT_INCLUDE</t>
        </is>
      </c>
      <c r="C134" s="49" t="inlineStr">
        <is>
          <t>Through orchestration of agents with adaptable logic of individual models, the competence of making decisions (e.g. placing orders in an inventory control system) can be delegated to algorithms.</t>
        </is>
      </c>
      <c r="D134" s="49" t="inlineStr">
        <is>
          <t>Sec. 3 The ICARUS framework (Synchronisation)</t>
        </is>
      </c>
      <c r="E134" s="49" t="inlineStr">
        <is>
          <t>Y</t>
        </is>
      </c>
    </row>
    <row r="135">
      <c r="A135" s="49" t="inlineStr">
        <is>
          <t>R0089</t>
        </is>
      </c>
      <c r="B135" s="49" t="inlineStr">
        <is>
          <t>NOT_RETRIEVED</t>
        </is>
      </c>
      <c r="C135" s="49" t="inlineStr">
        <is>
          <t>This is a preview of subscription content, log in via an institution to check access.</t>
        </is>
      </c>
      <c r="D135" s="49" t="inlineStr">
        <is>
          <t>Springer chapter landing page via Hull proxy (after abstract)</t>
        </is>
      </c>
      <c r="E135" s="49" t="inlineStr">
        <is>
          <t>Y</t>
        </is>
      </c>
    </row>
    <row r="136">
      <c r="A136" s="49" t="inlineStr">
        <is>
          <t>R0089</t>
        </is>
      </c>
      <c r="B136" s="49" t="inlineStr">
        <is>
          <t>NOT_RETRIEVED</t>
        </is>
      </c>
      <c r="C136" s="49" t="inlineStr">
        <is>
          <t>By constructing a digital twin framework that integrates multi-source data and high-fidelity models, dynamic perception and bidirectional interaction with the physical system are realized.</t>
        </is>
      </c>
      <c r="D136" s="49" t="inlineStr">
        <is>
          <t>Abstract (only part visible; not coded)</t>
        </is>
      </c>
      <c r="E136" s="49" t="inlineStr">
        <is>
          <t>Y</t>
        </is>
      </c>
    </row>
    <row r="137">
      <c r="A137" s="49" t="inlineStr">
        <is>
          <t>R0089</t>
        </is>
      </c>
      <c r="B137" s="49" t="inlineStr">
        <is>
          <t>NOT_RETRIEVED</t>
        </is>
      </c>
      <c r="C137" s="49" t="inlineStr">
        <is>
          <t>This research proposes a collaborative decision-making mechanism based on agent-based modeling and reinforcement learning, and focuses on exploring its application in key scenarios such as dynamic warehouse reservation and emergency logistics channel guarantee.</t>
        </is>
      </c>
      <c r="D137" s="49" t="inlineStr">
        <is>
          <t>Abstract (only part visible; not coded)</t>
        </is>
      </c>
      <c r="E137" s="49" t="inlineStr">
        <is>
          <t>Y</t>
        </is>
      </c>
    </row>
    <row r="138">
      <c r="A138" s="49" t="inlineStr">
        <is>
          <t>R0094</t>
        </is>
      </c>
      <c r="B138" s="49" t="inlineStr">
        <is>
          <t>FT_INCLUDE</t>
        </is>
      </c>
      <c r="C138" s="49" t="inlineStr">
        <is>
          <t>The framework is based on a supply chain digital twin that will be formed with the industrial Internet of Things technology for accessing field data, machine learning models for disruption prediction, simulation methods for disruption scenario analysis</t>
        </is>
      </c>
      <c r="D138" s="49" t="inlineStr">
        <is>
          <t>Abstract</t>
        </is>
      </c>
      <c r="E138" s="49" t="inlineStr">
        <is>
          <t>Y</t>
        </is>
      </c>
    </row>
    <row r="139">
      <c r="A139" s="49" t="inlineStr">
        <is>
          <t>R0094</t>
        </is>
      </c>
      <c r="B139" s="49" t="inlineStr">
        <is>
          <t>FT_INCLUDE</t>
        </is>
      </c>
      <c r="C139" s="49" t="inlineStr">
        <is>
          <t>we propose a conceptual framework for diagnosing the vulnerability of suppliers, logistic providers, and commodities for any size of multi-tier supply chain networks for private and public bodies</t>
        </is>
      </c>
      <c r="D139" s="49" t="inlineStr">
        <is>
          <t>Abstract</t>
        </is>
      </c>
      <c r="E139" s="49" t="inlineStr">
        <is>
          <t>Y</t>
        </is>
      </c>
    </row>
    <row r="140">
      <c r="A140" s="49" t="inlineStr">
        <is>
          <t>R0094</t>
        </is>
      </c>
      <c r="B140" s="49" t="inlineStr">
        <is>
          <t>FT_INCLUDE</t>
        </is>
      </c>
      <c r="C140" s="49" t="inlineStr">
        <is>
          <t>The framework also exploits a deep learning-based surrogate model of the digital supply chain twin.</t>
        </is>
      </c>
      <c r="D140" s="49" t="inlineStr">
        <is>
          <t>Abstract</t>
        </is>
      </c>
      <c r="E140" s="49" t="inlineStr">
        <is>
          <t>Y</t>
        </is>
      </c>
    </row>
    <row r="141">
      <c r="A141" s="49" t="inlineStr">
        <is>
          <t>R0094</t>
        </is>
      </c>
      <c r="B141" s="49" t="inlineStr">
        <is>
          <t>FT_INCLUDE</t>
        </is>
      </c>
      <c r="C141" s="49" t="inlineStr">
        <is>
          <t>The developed combined decision and simulation model mechanism is used for training a metamodel (artificial neural network, ANN) which enables stakeholders to use the stress testing framework without needing decision and simulation modeling tools.</t>
        </is>
      </c>
      <c r="D141" s="49" t="inlineStr">
        <is>
          <t>3 Adaptive Supply Chain Stress Testing Framework</t>
        </is>
      </c>
      <c r="E141" s="49" t="inlineStr">
        <is>
          <t>Y</t>
        </is>
      </c>
    </row>
    <row r="142">
      <c r="A142" s="49" t="inlineStr">
        <is>
          <t>R0094</t>
        </is>
      </c>
      <c r="B142" s="49" t="inlineStr">
        <is>
          <t>FT_INCLUDE</t>
        </is>
      </c>
      <c r="C142" s="49" t="inlineStr">
        <is>
          <t>While each node represents a component/subassembly/product/service in BOM and its relevant facility, edges represent the eligible material flow between facilities and between nodes in BOM.</t>
        </is>
      </c>
      <c r="D142" s="49" t="inlineStr">
        <is>
          <t>3 Adaptive Supply Chain Stress Testing Framework</t>
        </is>
      </c>
      <c r="E142" s="49" t="inlineStr">
        <is>
          <t>Y</t>
        </is>
      </c>
    </row>
    <row r="143">
      <c r="A143" s="49" t="inlineStr">
        <is>
          <t>R0094</t>
        </is>
      </c>
      <c r="B143" s="49" t="inlineStr">
        <is>
          <t>FT_INCLUDE</t>
        </is>
      </c>
      <c r="C143" s="49" t="inlineStr">
        <is>
          <t>Several supply chain networks from academic literature will be used to generate test instances. Disruption scenarios will be generated based on these instances as well as a decision model to develop mitigation plans</t>
        </is>
      </c>
      <c r="D143" s="49" t="inlineStr">
        <is>
          <t>4 Conclusion and the Future Research</t>
        </is>
      </c>
      <c r="E143" s="49" t="inlineStr">
        <is>
          <t>Y</t>
        </is>
      </c>
    </row>
    <row r="144">
      <c r="A144" s="49" t="inlineStr">
        <is>
          <t>R0097</t>
        </is>
      </c>
      <c r="B144" s="49" t="inlineStr">
        <is>
          <t>FT_INCLUDE</t>
        </is>
      </c>
      <c r="C144" s="49" t="inlineStr">
        <is>
          <t>The research in this article does not interface with data from a real manufacturing facility; however, the architecture and operation of the proposed model conform to the fundamental principles of a DT.</t>
        </is>
      </c>
      <c r="D144" s="49" t="inlineStr">
        <is>
          <t>3. Methods</t>
        </is>
      </c>
      <c r="E144" s="49" t="inlineStr">
        <is>
          <t>Y</t>
        </is>
      </c>
    </row>
    <row r="145">
      <c r="A145" s="49" t="inlineStr">
        <is>
          <t>R0097</t>
        </is>
      </c>
      <c r="B145" s="49" t="inlineStr">
        <is>
          <t>FT_INCLUDE</t>
        </is>
      </c>
      <c r="C145" s="49" t="inlineStr">
        <is>
          <t>This necessitates the acquisition of five distinct materials from five suppliers. As shown in Table 2, the lead time in days for each supplier follows a gamma distribution.</t>
        </is>
      </c>
      <c r="D145" s="49" t="inlineStr">
        <is>
          <t>3.2.2. Inventory</t>
        </is>
      </c>
      <c r="E145" s="49" t="inlineStr">
        <is>
          <t>Y</t>
        </is>
      </c>
    </row>
    <row r="146">
      <c r="A146" s="49" t="inlineStr">
        <is>
          <t>R0097</t>
        </is>
      </c>
      <c r="B146" s="49" t="inlineStr">
        <is>
          <t>FT_INCLUDE</t>
        </is>
      </c>
      <c r="C146" s="49" t="inlineStr">
        <is>
          <t>This article presents a framework for using DT simulations integrated with predictive machine learning models to manage supply chain disruptions in manufacturing settings.</t>
        </is>
      </c>
      <c r="D146" s="49" t="inlineStr">
        <is>
          <t>6. Conclusion</t>
        </is>
      </c>
      <c r="E146" s="49" t="inlineStr">
        <is>
          <t>Y</t>
        </is>
      </c>
    </row>
    <row r="147">
      <c r="A147" s="49" t="inlineStr">
        <is>
          <t>R0097</t>
        </is>
      </c>
      <c r="B147" s="49" t="inlineStr">
        <is>
          <t>FT_INCLUDE</t>
        </is>
      </c>
      <c r="C147" s="49" t="inlineStr">
        <is>
          <t>Linear regression was chosen for its simplicity and interpretability, functioning as a linear benchmark. To model nonlinear interactions and enhance predictive performance, we tested K-Nearest Neighbors (KNN), Decision Tree, Random Forest, and Gradient Boosting regression models.</t>
        </is>
      </c>
      <c r="D147" s="49" t="inlineStr">
        <is>
          <t>3.4. Machine learning model</t>
        </is>
      </c>
      <c r="E147" s="49" t="inlineStr">
        <is>
          <t>Y</t>
        </is>
      </c>
    </row>
    <row r="148">
      <c r="A148" s="49" t="inlineStr">
        <is>
          <t>R0097</t>
        </is>
      </c>
      <c r="B148" s="49" t="inlineStr">
        <is>
          <t>FT_INCLUDE</t>
        </is>
      </c>
      <c r="C148" s="49" t="inlineStr">
        <is>
          <t>As described in Fig. 1, this DT functions as a real-time decision support tool, not as a closed-loop control system. The simulation-prediction framework offers suggestions for mitigating disruptions, which are presumed to be evaluated and executed by human decision makers.</t>
        </is>
      </c>
      <c r="D148" s="49" t="inlineStr">
        <is>
          <t>3. Methods</t>
        </is>
      </c>
      <c r="E148" s="49" t="inlineStr">
        <is>
          <t>Y</t>
        </is>
      </c>
    </row>
    <row r="149">
      <c r="A149" s="49" t="inlineStr">
        <is>
          <t>R0097</t>
        </is>
      </c>
      <c r="B149" s="49" t="inlineStr">
        <is>
          <t>FT_INCLUDE</t>
        </is>
      </c>
      <c r="C149" s="49" t="inlineStr">
        <is>
          <t>The model simulates real-time system behavior but does not perform physical control actions directly. This design conceives of a human-in-the-loop DT system, as opposed to entirely autonomous cyber–physical systems.</t>
        </is>
      </c>
      <c r="D149" s="49" t="inlineStr">
        <is>
          <t>3. Methods</t>
        </is>
      </c>
      <c r="E149" s="49" t="inlineStr">
        <is>
          <t>Y</t>
        </is>
      </c>
    </row>
    <row r="150">
      <c r="A150" s="49" t="inlineStr">
        <is>
          <t>R0113</t>
        </is>
      </c>
      <c r="B150" s="49" t="inlineStr">
        <is>
          <t>FT_INCLUDE</t>
        </is>
      </c>
      <c r="C150" s="49" t="inlineStr">
        <is>
          <t>The predictive outputs feed into a digital twin simulation, creating a virtual model that mirrors real-world urban logistics scenarios. The digital twin evaluates multiple scenarios and adjusts routes accordingly, ensuring adaptive and optimized freight movement.</t>
        </is>
      </c>
      <c r="D150" s="49" t="inlineStr">
        <is>
          <t>2.7 Integrating Systems and Cybernetic Theories for Smart City Logistics (Digital Twin and Cybernetic Feedback Loop component, Fig. 1)</t>
        </is>
      </c>
      <c r="E150" s="49" t="inlineStr">
        <is>
          <t>Y</t>
        </is>
      </c>
    </row>
    <row r="151">
      <c r="A151" s="49" t="inlineStr">
        <is>
          <t>R0113</t>
        </is>
      </c>
      <c r="B151" s="49" t="inlineStr">
        <is>
          <t>FT_INCLUDE</t>
        </is>
      </c>
      <c r="C151" s="49" t="inlineStr">
        <is>
          <t>To validate the proposed framework, a case study was conducted in collaboration with a large logistics enterprise based in Yorkshire, UK. The study utilized real-time operational data collected from the company’s IoT-enabled logistics infrastructure</t>
        </is>
      </c>
      <c r="D151" s="49" t="inlineStr">
        <is>
          <t>3.4 Case Study: Application in Smart City Logistics</t>
        </is>
      </c>
      <c r="E151" s="49" t="inlineStr">
        <is>
          <t>Y</t>
        </is>
      </c>
    </row>
    <row r="152">
      <c r="A152" s="49" t="inlineStr">
        <is>
          <t>R0113</t>
        </is>
      </c>
      <c r="B152" s="49" t="inlineStr">
        <is>
          <t>FT_INCLUDE</t>
        </is>
      </c>
      <c r="C152" s="49" t="inlineStr">
        <is>
          <t>The system utilizes this IoT dataset to apply advanced gradient boosting algorithms (XGBoost) and neural networks (MLPs). The model predicts future congestion, estimated delivery times, and optimal routing paths.</t>
        </is>
      </c>
      <c r="D152" s="49" t="inlineStr">
        <is>
          <t>2.7 Integrating Systems and Cybernetic Theories for Smart City Logistics (Machine Learning and Predictive Analytics Layer)</t>
        </is>
      </c>
      <c r="E152" s="49" t="inlineStr">
        <is>
          <t>Y</t>
        </is>
      </c>
    </row>
    <row r="153">
      <c r="A153" s="49" t="inlineStr">
        <is>
          <t>R0113</t>
        </is>
      </c>
      <c r="B153" s="49" t="inlineStr">
        <is>
          <t>FT_INCLUDE</t>
        </is>
      </c>
      <c r="C153" s="49" t="inlineStr">
        <is>
          <t>After the feedback mechanism is applied, the model’s ability to distinguish between correctly and incorrectly predicted delivery outcomes improves significantly, reflected in the 85.0% accuracy.</t>
        </is>
      </c>
      <c r="D153" s="49" t="inlineStr">
        <is>
          <t>4.3.1 ROC Curve for Predictive Model Performance</t>
        </is>
      </c>
      <c r="E153" s="49" t="inlineStr">
        <is>
          <t>Y</t>
        </is>
      </c>
    </row>
    <row r="154">
      <c r="A154" s="49" t="inlineStr">
        <is>
          <t>R0113</t>
        </is>
      </c>
      <c r="B154" s="49" t="inlineStr">
        <is>
          <t>FT_INCLUDE</t>
        </is>
      </c>
      <c r="C154" s="49" t="inlineStr">
        <is>
          <t>While core operational efficiency is achieved through this autonomous decision-making capability, human oversight at the strategic and policy-making levels remains necessary. Rather than managing real-time logistics adjustments, managers and policymakers engage with the system primarily to define objectives, constraints</t>
        </is>
      </c>
      <c r="D154" s="49" t="inlineStr">
        <is>
          <t>3.2.2 Dataset and Feature Engineering (final paragraph)</t>
        </is>
      </c>
      <c r="E154" s="49" t="inlineStr">
        <is>
          <t>Y</t>
        </is>
      </c>
    </row>
    <row r="155">
      <c r="A155" s="49" t="inlineStr">
        <is>
          <t>R0113</t>
        </is>
      </c>
      <c r="B155" s="49" t="inlineStr">
        <is>
          <t>FT_INCLUDE</t>
        </is>
      </c>
      <c r="C155" s="49" t="inlineStr">
        <is>
          <t>For example, if the system detects a sudden increase in congestion in a specific urban corridor, alternative delivery routes are automatically suggested, ensuring that delays are minimized.</t>
        </is>
      </c>
      <c r="D155" s="49" t="inlineStr">
        <is>
          <t>3.3.3 Impact of the Feedback Loop</t>
        </is>
      </c>
      <c r="E155" s="49" t="inlineStr">
        <is>
          <t>Y</t>
        </is>
      </c>
    </row>
    <row r="156">
      <c r="A156" s="49" t="inlineStr">
        <is>
          <t>R0116</t>
        </is>
      </c>
      <c r="B156" s="49" t="inlineStr">
        <is>
          <t>FT_INCLUDE</t>
        </is>
      </c>
      <c r="C156" s="49" t="inlineStr">
        <is>
          <t>In this study, we proposed an approach for reconstructing container yard topologies using a digital twin object editor, powered by AI technology and integrated with a GIS system for topology data extraction.</t>
        </is>
      </c>
      <c r="D156" s="49" t="inlineStr">
        <is>
          <t>2. Related Works</t>
        </is>
      </c>
      <c r="E156" s="49" t="inlineStr">
        <is>
          <t>Y</t>
        </is>
      </c>
    </row>
    <row r="157">
      <c r="A157" s="49" t="inlineStr">
        <is>
          <t>R0116</t>
        </is>
      </c>
      <c r="B157" s="49" t="inlineStr">
        <is>
          <t>FT_INCLUDE</t>
        </is>
      </c>
      <c r="C157" s="49" t="inlineStr">
        <is>
          <t>The editor of the territories and digital twin are two separate modules. The first is responsible for generating the necessary data, processing, pre-visualization, and transmission, whereas the second handles receiving and integrating the data into the software system.</t>
        </is>
      </c>
      <c r="D157" s="49" t="inlineStr">
        <is>
          <t>3.6 Algorithm for Transformation of Topology Coordinate Representations</t>
        </is>
      </c>
      <c r="E157" s="49" t="inlineStr">
        <is>
          <t>Y</t>
        </is>
      </c>
    </row>
    <row r="158">
      <c r="A158" s="49" t="inlineStr">
        <is>
          <t>R0116</t>
        </is>
      </c>
      <c r="B158" s="49" t="inlineStr">
        <is>
          <t>FT_INCLUDE</t>
        </is>
      </c>
      <c r="C158" s="49" t="inlineStr">
        <is>
          <t>Logistics automation is a key component in the digitalization of transport infrastructure companies. Particularly, solutions aimed at optimizing container yard management processes at sea and river ports are being actively proposed.</t>
        </is>
      </c>
      <c r="D158" s="49" t="inlineStr">
        <is>
          <t>Abstract</t>
        </is>
      </c>
      <c r="E158" s="49" t="inlineStr">
        <is>
          <t>Y</t>
        </is>
      </c>
    </row>
    <row r="159">
      <c r="A159" s="49" t="inlineStr">
        <is>
          <t>R0116</t>
        </is>
      </c>
      <c r="B159" s="49" t="inlineStr">
        <is>
          <t>FT_INCLUDE</t>
        </is>
      </c>
      <c r="C159" s="49" t="inlineStr">
        <is>
          <t>A set of computer vision algorithms, consisting of two U-Net models and a refined YOLOv8 model, was developed. The contour detection achieved an mAP@0.5 score of 0.95.</t>
        </is>
      </c>
      <c r="D159" s="49" t="inlineStr">
        <is>
          <t>Abstract</t>
        </is>
      </c>
      <c r="E159" s="49" t="inlineStr">
        <is>
          <t>Y</t>
        </is>
      </c>
    </row>
    <row r="160">
      <c r="A160" s="49" t="inlineStr">
        <is>
          <t>R0116</t>
        </is>
      </c>
      <c r="B160" s="49" t="inlineStr">
        <is>
          <t>FT_INCLUDE</t>
        </is>
      </c>
      <c r="C160" s="49" t="inlineStr">
        <is>
          <t>The editor is then switched to offline mode, where it passively monitors the placement of container yards and alerts the user if significant changes occur. In such cases, the user can initiate a topology update</t>
        </is>
      </c>
      <c r="D160" s="49" t="inlineStr">
        <is>
          <t>3. Methodology</t>
        </is>
      </c>
      <c r="E160" s="49" t="inlineStr">
        <is>
          <t>Y</t>
        </is>
      </c>
    </row>
    <row r="161">
      <c r="A161" s="49" t="inlineStr">
        <is>
          <t>R0116</t>
        </is>
      </c>
      <c r="B161" s="49" t="inlineStr">
        <is>
          <t>FT_INCLUDE</t>
        </is>
      </c>
      <c r="C161" s="49" t="inlineStr">
        <is>
          <t>Additionally, the editor requires additional confirmation. Minor geometric adjustments by users are often needed for high-quality reconstructions. While the system can operate without such validation, optimal efficiency is achieved with these external corrections.</t>
        </is>
      </c>
      <c r="D161" s="49" t="inlineStr">
        <is>
          <t>5. Conclusions and Discussion</t>
        </is>
      </c>
      <c r="E161" s="49" t="inlineStr">
        <is>
          <t>Y</t>
        </is>
      </c>
    </row>
    <row r="162">
      <c r="A162" s="49" t="inlineStr">
        <is>
          <t>R0118</t>
        </is>
      </c>
      <c r="B162" s="49" t="inlineStr">
        <is>
          <t>FT_INCLUDE</t>
        </is>
      </c>
      <c r="C162" s="49" t="inlineStr">
        <is>
          <t>To evaluate the productivity improvements associated with Industrial IoT (IIoT) adoption, a simulated smart manufacturing environment was developed using a digital twin model of a CNC machining cell.</t>
        </is>
      </c>
      <c r="D162" s="49" t="inlineStr">
        <is>
          <t>3.1 Prediction After the Use of BN-SE-PO (Results and Discussions)</t>
        </is>
      </c>
      <c r="E162" s="49" t="inlineStr">
        <is>
          <t>Y</t>
        </is>
      </c>
    </row>
    <row r="163">
      <c r="A163" s="49" t="inlineStr">
        <is>
          <t>R0118</t>
        </is>
      </c>
      <c r="B163" s="49" t="inlineStr">
        <is>
          <t>FT_INCLUDE</t>
        </is>
      </c>
      <c r="C163" s="49" t="inlineStr">
        <is>
          <t>In this layer, real-time data updates virtual replicas of digital twins of machines, processes, or entire production lines that allow exact simulation and analysis of production scenarios.</t>
        </is>
      </c>
      <c r="D163" s="49" t="inlineStr">
        <is>
          <t>2.5 Role of Generative AI in Productivity Enhancement (Fig. 6 architecture, digital twin modeling layer)</t>
        </is>
      </c>
      <c r="E163" s="49" t="inlineStr">
        <is>
          <t>Y</t>
        </is>
      </c>
    </row>
    <row r="164">
      <c r="A164" s="49" t="inlineStr">
        <is>
          <t>R0118</t>
        </is>
      </c>
      <c r="B164" s="49" t="inlineStr">
        <is>
          <t>FT_INCLUDE</t>
        </is>
      </c>
      <c r="C164" s="49" t="inlineStr">
        <is>
          <t>Integrating IoT with supply chain management, proposed approach leverages advanced techniques such as the stacked encoder optimized using the Puma optimization algorithm.</t>
        </is>
      </c>
      <c r="D164" s="49" t="inlineStr">
        <is>
          <t>2.4 Proposed Methodology Formulation for IoT and Supply Chain Integration</t>
        </is>
      </c>
      <c r="E164" s="49" t="inlineStr">
        <is>
          <t>Y</t>
        </is>
      </c>
    </row>
    <row r="165">
      <c r="A165" s="49" t="inlineStr">
        <is>
          <t>R0118</t>
        </is>
      </c>
      <c r="B165" s="49" t="inlineStr">
        <is>
          <t>FT_INCLUDE</t>
        </is>
      </c>
      <c r="C165" s="49" t="inlineStr">
        <is>
          <t>Next, the BN-SE-PO Intelligence Layer integration of Bayesian networks, stacked encoders, and the Puma Optimizer expands the intelligence within the system via the provision for anomaly detection, risk analysis, and providing decision-making suggestions as an auto-controlled process.</t>
        </is>
      </c>
      <c r="D165" s="49" t="inlineStr">
        <is>
          <t>2.5 Role of Generative AI in Productivity Enhancement (Fig. 6 architecture, BN-SE-PO Intelligence Layer)</t>
        </is>
      </c>
      <c r="E165" s="49" t="inlineStr">
        <is>
          <t>Y</t>
        </is>
      </c>
    </row>
    <row r="166">
      <c r="A166" s="49" t="inlineStr">
        <is>
          <t>R0118</t>
        </is>
      </c>
      <c r="B166" s="49" t="inlineStr">
        <is>
          <t>FT_INCLUDE</t>
        </is>
      </c>
      <c r="C166" s="49" t="inlineStr">
        <is>
          <t>These interfaces enable operators or autonomous systems to make informed, adaptive decisions regarding quality control, maintenance planning, or adjustments in operations, closing the smart manufacturing loop.</t>
        </is>
      </c>
      <c r="D166" s="49" t="inlineStr">
        <is>
          <t>2.5 Role of Generative AI in Productivity Enhancement (action layer / human-machine interface)</t>
        </is>
      </c>
      <c r="E166" s="49" t="inlineStr">
        <is>
          <t>Y</t>
        </is>
      </c>
    </row>
    <row r="167">
      <c r="A167" s="49" t="inlineStr">
        <is>
          <t>R0118</t>
        </is>
      </c>
      <c r="B167" s="49" t="inlineStr">
        <is>
          <t>FT_INCLUDE</t>
        </is>
      </c>
      <c r="C167" s="49" t="inlineStr">
        <is>
          <t>Data sharing not applicable to this article as no datasets were generated or analyzed during the current study.</t>
        </is>
      </c>
      <c r="D167" s="49" t="inlineStr">
        <is>
          <t>Data Availability statement</t>
        </is>
      </c>
      <c r="E167" s="49" t="inlineStr">
        <is>
          <t>Y</t>
        </is>
      </c>
    </row>
    <row r="168">
      <c r="A168" s="49" t="inlineStr">
        <is>
          <t>R0119</t>
        </is>
      </c>
      <c r="B168" s="49" t="inlineStr">
        <is>
          <t>FT_INCLUDE</t>
        </is>
      </c>
      <c r="C168" s="49" t="inlineStr">
        <is>
          <t>The VFC is a digital mirror of the PFC, comprising geometric, physical, behavioral, and rule-based models to simulate real-world conditions and predict food quality under various scenarios</t>
        </is>
      </c>
      <c r="D168" s="49" t="inlineStr">
        <is>
          <t>2.1 Architecture of digital twin enabled cold supply chains</t>
        </is>
      </c>
      <c r="E168" s="49" t="inlineStr">
        <is>
          <t>Y</t>
        </is>
      </c>
    </row>
    <row r="169">
      <c r="A169" s="49" t="inlineStr">
        <is>
          <t>R0119</t>
        </is>
      </c>
      <c r="B169" s="49" t="inlineStr">
        <is>
          <t>FT_INCLUDE</t>
        </is>
      </c>
      <c r="C169" s="49" t="inlineStr">
        <is>
          <t>The experiment replicated a typical fresh-produce cold chain, comprising pre-cooling, cold storage, refrigerated transport, and loading/unloading (temperature breaks).</t>
        </is>
      </c>
      <c r="D169" s="49" t="inlineStr">
        <is>
          <t>2.3 Experimental design for data collection</t>
        </is>
      </c>
      <c r="E169" s="49" t="inlineStr">
        <is>
          <t>Y</t>
        </is>
      </c>
    </row>
    <row r="170">
      <c r="A170" s="49" t="inlineStr">
        <is>
          <t>R0119</t>
        </is>
      </c>
      <c r="B170" s="49" t="inlineStr">
        <is>
          <t>FT_INCLUDE</t>
        </is>
      </c>
      <c r="C170" s="49" t="inlineStr">
        <is>
          <t>In the first stage, multi-source data—including experimental temperature measurements, food attributes, and equipment/environmental parameters—were used to train a Bidirectional LSTM (BiLSTM) model with an attention mechanism to minimize temperature prediction error.</t>
        </is>
      </c>
      <c r="D170" s="49" t="inlineStr">
        <is>
          <t>2.2.1 Prediction process</t>
        </is>
      </c>
      <c r="E170" s="49" t="inlineStr">
        <is>
          <t>Y</t>
        </is>
      </c>
    </row>
    <row r="171">
      <c r="A171" s="49" t="inlineStr">
        <is>
          <t>R0119</t>
        </is>
      </c>
      <c r="B171" s="49" t="inlineStr">
        <is>
          <t>FT_INCLUDE</t>
        </is>
      </c>
      <c r="C171" s="49" t="inlineStr">
        <is>
          <t>The AS provides functional and business tools for real-time decision-making, enabling users to monitor, manage, and optimize supply chain activities.</t>
        </is>
      </c>
      <c r="D171" s="49" t="inlineStr">
        <is>
          <t>2.1 Architecture of digital twin enabled cold supply chains</t>
        </is>
      </c>
      <c r="E171" s="49" t="inlineStr">
        <is>
          <t>Y</t>
        </is>
      </c>
    </row>
    <row r="172">
      <c r="A172" s="49" t="inlineStr">
        <is>
          <t>R0119</t>
        </is>
      </c>
      <c r="B172" s="49" t="inlineStr">
        <is>
          <t>FT_INCLUDE</t>
        </is>
      </c>
      <c r="C172" s="49" t="inlineStr">
        <is>
          <t>Ultimately, this model reduces food loss by approximately 8.6 %–15.5 % among the fruit types tested, outperforming both static shelf-life assumptions and simpler ambient-based methods.</t>
        </is>
      </c>
      <c r="D172" s="49" t="inlineStr">
        <is>
          <t>5. Conclusion</t>
        </is>
      </c>
      <c r="E172" s="49" t="inlineStr">
        <is>
          <t>Y</t>
        </is>
      </c>
    </row>
    <row r="173">
      <c r="A173" s="49" t="inlineStr">
        <is>
          <t>R0119</t>
        </is>
      </c>
      <c r="B173" s="49" t="inlineStr">
        <is>
          <t>FT_INCLUDE</t>
        </is>
      </c>
      <c r="C173" s="49" t="inlineStr">
        <is>
          <t>Future efforts can refine this approach by incorporating additional management systems (e.g., anomaly detection and logistics optimization)</t>
        </is>
      </c>
      <c r="D173" s="49" t="inlineStr">
        <is>
          <t>5. Conclusion</t>
        </is>
      </c>
      <c r="E173" s="49" t="inlineStr">
        <is>
          <t>Y</t>
        </is>
      </c>
    </row>
    <row r="174">
      <c r="A174" s="49" t="inlineStr">
        <is>
          <t>R0129</t>
        </is>
      </c>
      <c r="B174" s="49" t="inlineStr">
        <is>
          <t>FT_INCLUDE</t>
        </is>
      </c>
      <c r="C174" s="49" t="inlineStr">
        <is>
          <t>In the context of our study, an SC digital twin is a virtual replica of a physical SC able to simulate financial and operational scenarios using data shared via blockchain</t>
        </is>
      </c>
      <c r="D174" s="49" t="inlineStr">
        <is>
          <t>1. Introduction</t>
        </is>
      </c>
      <c r="E174" s="49" t="inlineStr">
        <is>
          <t>Y</t>
        </is>
      </c>
    </row>
    <row r="175">
      <c r="A175" s="49" t="inlineStr">
        <is>
          <t>R0129</t>
        </is>
      </c>
      <c r="B175" s="49" t="inlineStr">
        <is>
          <t>FT_INCLUDE</t>
        </is>
      </c>
      <c r="C175" s="49" t="inlineStr">
        <is>
          <t>In this study, a single-product SC is analyzed. The SC contains three echelons: one manufacturer, two distributors, and three retailers, as illustrated in Figure 1.</t>
        </is>
      </c>
      <c r="D175" s="49" t="inlineStr">
        <is>
          <t>3.1. SC structure and modelling technique</t>
        </is>
      </c>
      <c r="E175" s="49" t="inlineStr">
        <is>
          <t>Y</t>
        </is>
      </c>
    </row>
    <row r="176">
      <c r="A176" s="49" t="inlineStr">
        <is>
          <t>R0129</t>
        </is>
      </c>
      <c r="B176" s="49" t="inlineStr">
        <is>
          <t>FT_INCLUDE</t>
        </is>
      </c>
      <c r="C176" s="49" t="inlineStr">
        <is>
          <t>To answer the second question, the framework utilises machine learning, another component of the SC digital twin, to analyze the relationships between controllable working capital policies and performance.</t>
        </is>
      </c>
      <c r="D176" s="49" t="inlineStr">
        <is>
          <t>1. Introduction</t>
        </is>
      </c>
      <c r="E176" s="49" t="inlineStr">
        <is>
          <t>Y</t>
        </is>
      </c>
    </row>
    <row r="177">
      <c r="A177" s="49" t="inlineStr">
        <is>
          <t>R0129</t>
        </is>
      </c>
      <c r="B177" s="49" t="inlineStr">
        <is>
          <t>FT_INCLUDE</t>
        </is>
      </c>
      <c r="C177" s="49" t="inlineStr">
        <is>
          <t>Our proposed framework employs eight supervised learning algorithms, i.e. Decision Trees, Random Forests, K-Nearest Neighbours (kNN), Support Vector Machines (SVM), Logistic Regression, Naive Bayes, AdaBoost, and Neural Networks, to analyze simulation outputs</t>
        </is>
      </c>
      <c r="D177" s="49" t="inlineStr">
        <is>
          <t>5.2. Blockchain-enabled data sharing vs. integrated digital twin and blockchain</t>
        </is>
      </c>
      <c r="E177" s="49" t="inlineStr">
        <is>
          <t>Y</t>
        </is>
      </c>
    </row>
    <row r="178">
      <c r="A178" s="49" t="inlineStr">
        <is>
          <t>R0129</t>
        </is>
      </c>
      <c r="B178" s="49" t="inlineStr">
        <is>
          <t>FT_INCLUDE</t>
        </is>
      </c>
      <c r="C178" s="49" t="inlineStr">
        <is>
          <t>The simulation model is then refreshed, generating an updated dataset that is fed into the ML model. The ML model subsequently produces revised policy recommendations tailored to the emerging situation.</t>
        </is>
      </c>
      <c r="D178" s="49" t="inlineStr">
        <is>
          <t>4. Integrated digital twin and blockchain framework, Step 4: Real-Time Disruption Response</t>
        </is>
      </c>
      <c r="E178" s="49" t="inlineStr">
        <is>
          <t>Y</t>
        </is>
      </c>
    </row>
    <row r="179">
      <c r="A179" s="49" t="inlineStr">
        <is>
          <t>R0129</t>
        </is>
      </c>
      <c r="B179" s="49" t="inlineStr">
        <is>
          <t>FT_INCLUDE</t>
        </is>
      </c>
      <c r="C179" s="49" t="inlineStr">
        <is>
          <t>Although feature importance assessment helps identify the most influential factors, it does not provide clear decision rules for decision makers. Rule-based models, such as decision tree, create ‘if-then’ rules that directly describe the paths to classification outcomes.</t>
        </is>
      </c>
      <c r="D179" s="49" t="inlineStr">
        <is>
          <t>5.2. Blockchain-enabled data sharing vs. integrated digital twin and blockchain</t>
        </is>
      </c>
      <c r="E179" s="49" t="inlineStr">
        <is>
          <t>Y</t>
        </is>
      </c>
    </row>
    <row r="180">
      <c r="A180" s="49" t="inlineStr">
        <is>
          <t>R0137</t>
        </is>
      </c>
      <c r="B180" s="49" t="inlineStr">
        <is>
          <t>FT_INCLUDE</t>
        </is>
      </c>
      <c r="C180" s="49" t="inlineStr">
        <is>
          <t>iDT is a human – AI collaboration system that digitally represents physical SCs, gathers and processes data for modeling using analytical methods, imitates human decision processes, and develops new knowledge and decision-support algorithms.</t>
        </is>
      </c>
      <c r="D180" s="49" t="inlineStr">
        <is>
          <t>Section 1 Introduction (p. 72)</t>
        </is>
      </c>
      <c r="E180" s="49" t="inlineStr">
        <is>
          <t>Y</t>
        </is>
      </c>
    </row>
    <row r="181">
      <c r="A181" s="49" t="inlineStr">
        <is>
          <t>R0137</t>
        </is>
      </c>
      <c r="B181" s="49" t="inlineStr">
        <is>
          <t>FT_INCLUDE</t>
        </is>
      </c>
      <c r="C181" s="49" t="inlineStr">
        <is>
          <t>A conventional DT (we refer to it as a DT of the first level) for a SC serves to replicate key components of the network, such as its structure, products, customers, and associated processes like production, distribution, and sourcing</t>
        </is>
      </c>
      <c r="D181" s="49" t="inlineStr">
        <is>
          <t>Section 2 From digital replicas to intelligent digital twins (p. 73)</t>
        </is>
      </c>
      <c r="E181" s="49" t="inlineStr">
        <is>
          <t>Y</t>
        </is>
      </c>
    </row>
    <row r="182">
      <c r="A182" s="49" t="inlineStr">
        <is>
          <t>R0137</t>
        </is>
      </c>
      <c r="B182" s="49" t="inlineStr">
        <is>
          <t>FT_INCLUDE</t>
        </is>
      </c>
      <c r="C182" s="49" t="inlineStr">
        <is>
          <t>enabling the system to build its model and, more importantly, adapt this model dynamically based on evolving knowledge (e.g., using a combination of ontologies and generative AI) and constantly updated data.</t>
        </is>
      </c>
      <c r="D182" s="49" t="inlineStr">
        <is>
          <t>Section 3 Digital supply chain ecosystems (p. 74)</t>
        </is>
      </c>
      <c r="E182" s="49" t="inlineStr">
        <is>
          <t>Y</t>
        </is>
      </c>
    </row>
    <row r="183">
      <c r="A183" s="49" t="inlineStr">
        <is>
          <t>R0137</t>
        </is>
      </c>
      <c r="B183" s="49" t="inlineStr">
        <is>
          <t>FT_INCLUDE</t>
        </is>
      </c>
      <c r="C183" s="49" t="inlineStr">
        <is>
          <t>a knowledge base of previous disruptions can be used in combination with generative AI to construct future crisis scenarios and perform stress tests [...] AI-based decision recommendations (e.g., for recovery policies after disruption), what-if testing, and alerting about disruptions</t>
        </is>
      </c>
      <c r="D183" s="49" t="inlineStr">
        <is>
          <t>Section 4 Supply chain resilience modeling in digital ecosystems (p. 75; two consecutive paragraphs)</t>
        </is>
      </c>
      <c r="E183" s="49" t="inlineStr">
        <is>
          <t>Y</t>
        </is>
      </c>
    </row>
    <row r="184">
      <c r="A184" s="49" t="inlineStr">
        <is>
          <t>R0137</t>
        </is>
      </c>
      <c r="B184" s="49" t="inlineStr">
        <is>
          <t>FT_INCLUDE</t>
        </is>
      </c>
      <c r="C184" s="49" t="inlineStr">
        <is>
          <t>iDTs enable humans and AI to collaborate, learn from each other, and delegate decision-making tasks back and forth [...]. The aim of iDTs is not full automation, but rather a balanced approach with a human-in-the-loop.</t>
        </is>
      </c>
      <c r="D184" s="49" t="inlineStr">
        <is>
          <t>Section 2 From digital replicas to intelligent digital twins (pp. 73-74)</t>
        </is>
      </c>
      <c r="E184" s="49" t="inlineStr">
        <is>
          <t>Y</t>
        </is>
      </c>
    </row>
    <row r="185">
      <c r="A185" s="49" t="inlineStr">
        <is>
          <t>R0137</t>
        </is>
      </c>
      <c r="B185" s="49" t="inlineStr">
        <is>
          <t>FT_INCLUDE</t>
        </is>
      </c>
      <c r="C185" s="49" t="inlineStr">
        <is>
          <t>AI algorithms typically excel in standardized tasks, but humans bring experience, creativity, and adaptability, complementing AI's capabilities in non-standardized situations. [...] AI algorithms, through training, can not only improve their performance but also help enhance human metaknowledge.</t>
        </is>
      </c>
      <c r="D185" s="49" t="inlineStr">
        <is>
          <t>Section 2, 'Human – AI collaboration in iDTs' paragraphs (p. 74)</t>
        </is>
      </c>
      <c r="E185" s="49" t="inlineStr">
        <is>
          <t>Y</t>
        </is>
      </c>
    </row>
    <row r="186">
      <c r="A186" s="49" t="inlineStr">
        <is>
          <t>R0146</t>
        </is>
      </c>
      <c r="B186" s="49" t="inlineStr">
        <is>
          <t>FT_EXCLUDE</t>
        </is>
      </c>
      <c r="C186" s="49" t="inlineStr">
        <is>
          <t>CQRAS samples risk-weighted schedules through quantum annealing and feeds its output into a Quantum-Integrated Digital Twin Optimizer (QIDTO) that stress-tests plans against detailed virtual replicas of trucks, warehouses, and fuel markets</t>
        </is>
      </c>
      <c r="D186" s="49" t="inlineStr">
        <is>
          <t>Abstract (p. 1) - the only description of what the twin replicates; 'CQRAS' is never expanded anywhere in the paper</t>
        </is>
      </c>
      <c r="E186" s="49" t="inlineStr">
        <is>
          <t>Y</t>
        </is>
      </c>
    </row>
    <row r="187">
      <c r="A187" s="49" t="inlineStr">
        <is>
          <t>R0146</t>
        </is>
      </c>
      <c r="B187" s="49" t="inlineStr">
        <is>
          <t>FT_EXCLUDE</t>
        </is>
      </c>
      <c r="C187" s="49" t="inlineStr">
        <is>
          <t>Digital twin integration requires limited variational principle sets. The simulator forecasts flow f(x, t) using mass conservation</t>
        </is>
      </c>
      <c r="D187" s="49" t="inlineStr">
        <is>
          <t>3. Proposed Model Design Analysis (p. 2, before eq. 5; math symbols normalised from the rendered page) - the whole specification of the twin: one generic mass-conservation equation plus the boxes 'Quantum Integrated Digital Twin -&gt; Transport Flow Simulator -&gt; Quantum Bayesian Tuner -&gt; Operational Plan P_t' in Figure 1 (p. 3); no data, components or validation</t>
        </is>
      </c>
      <c r="E187" s="49" t="inlineStr">
        <is>
          <t>check</t>
        </is>
      </c>
    </row>
    <row r="188">
      <c r="A188" s="49" t="inlineStr">
        <is>
          <t>R0146</t>
        </is>
      </c>
      <c r="B188" s="49" t="inlineStr">
        <is>
          <t>FT_EXCLUDE</t>
        </is>
      </c>
      <c r="C188" s="49" t="inlineStr">
        <is>
          <t>The reinforcement layer optimizes a variational policy π to reduce long-term cost, driven by the global quantum state Ψt</t>
        </is>
      </c>
      <c r="D188" s="49" t="inlineStr">
        <is>
          <t>3. Proposed Model Design Analysis (p. 2, before eq. 2; symbols normalised) - AI method: quantum reinforcement learning with variational circuits, parameter-shift gradients (eq. 3) and a hybrid quantum-classical GNN embedding (eq. 1)</t>
        </is>
      </c>
      <c r="E188" s="49" t="inlineStr">
        <is>
          <t>check</t>
        </is>
      </c>
    </row>
    <row r="189">
      <c r="A189" s="49" t="inlineStr">
        <is>
          <t>R0146</t>
        </is>
      </c>
      <c r="B189" s="49" t="inlineStr">
        <is>
          <t>FT_EXCLUDE</t>
        </is>
      </c>
      <c r="C189" s="49" t="inlineStr">
        <is>
          <t>The experimental setup simulated a continental supply network, not a lab analysis. The contextual visualizations were produced from three years of container movements, real-time weather reports, and metals and grain price increases in process.</t>
        </is>
      </c>
      <c r="D189" s="49" t="inlineStr">
        <is>
          <t>4. Comparative Result Analysis (p. 4) - the entire description of data and setting; no source, simulator, code or parameters are given</t>
        </is>
      </c>
      <c r="E189" s="49" t="inlineStr">
        <is>
          <t>Y</t>
        </is>
      </c>
    </row>
    <row r="190">
      <c r="A190" s="49" t="inlineStr">
        <is>
          <t>R0146</t>
        </is>
      </c>
      <c r="B190" s="49" t="inlineStr">
        <is>
          <t>FT_EXCLUDE</t>
        </is>
      </c>
      <c r="C190" s="49" t="inlineStr">
        <is>
          <t>To approach near-term hardware restrictions, 64-qubit noisy simulated backends ran qubits. Baseline methods supplanted deep reinforcement and hybrid stochastic optimizers [3, 8, and 15].</t>
        </is>
      </c>
      <c r="D190" s="49" t="inlineStr">
        <is>
          <t>4. Comparative Result Analysis (p. 4) - inconsistent with the reference list, where [3] is a dynamic-pricing paper, [8] a meta-heuristic network-design paper and [15] an ML supplier-selection paper, yet Tables 1-6 benchmark them on delivery delay, fuel per 1,000 km, schedule stability and training epochs</t>
        </is>
      </c>
      <c r="E190" s="49" t="inlineStr">
        <is>
          <t>Y</t>
        </is>
      </c>
    </row>
    <row r="191">
      <c r="A191" s="49" t="inlineStr">
        <is>
          <t>R0146</t>
        </is>
      </c>
      <c r="B191" s="49" t="inlineStr">
        <is>
          <t>FT_EXCLUDE</t>
        </is>
      </c>
      <c r="C191" s="49" t="inlineStr">
        <is>
          <t>Fuel use appears to decrease with tighter scheduling and quantum Informed rerouting sets. The digital twin's Bayesian tuner likely smoothed stop – start patterns traditional optimizers missed for the process.</t>
        </is>
      </c>
      <c r="D191" s="49" t="inlineStr">
        <is>
          <t>4. Comparative Result Analysis (p. 4, after Table 2) - the authors speculate ('likely') about their own system; the 'Bayesian tuner' is never defined in the text (only a box in Figure 1). No human, operator or approval step appears anywhere; the loop is described as 'self-correcting' (p. 6)</t>
        </is>
      </c>
      <c r="E191" s="49" t="inlineStr">
        <is>
          <t>Y</t>
        </is>
      </c>
    </row>
    <row r="192">
      <c r="A192" s="49" t="inlineStr">
        <is>
          <t>R0150</t>
        </is>
      </c>
      <c r="B192" s="49" t="inlineStr">
        <is>
          <t>FT_EXCLUDE</t>
        </is>
      </c>
      <c r="C192" s="49" t="inlineStr">
        <is>
          <t>This review paper proposes a new way to use RCM and AI/IoT data to update inventory levels in a dynamic model.</t>
        </is>
      </c>
      <c r="D192" s="49" t="inlineStr">
        <is>
          <t>1. Introduction (journal header labels the paper 'Review article')</t>
        </is>
      </c>
      <c r="E192" s="49" t="inlineStr">
        <is>
          <t>Y</t>
        </is>
      </c>
    </row>
    <row r="193">
      <c r="A193" s="49" t="inlineStr">
        <is>
          <t>R0150</t>
        </is>
      </c>
      <c r="B193" s="49" t="inlineStr">
        <is>
          <t>FT_EXCLUDE</t>
        </is>
      </c>
      <c r="C193" s="49" t="inlineStr">
        <is>
          <t>By using real-time data and digital twin simulations, the model helps predict spare parts usage more successfully, leading to better and less costly inventory control.</t>
        </is>
      </c>
      <c r="D193" s="49" t="inlineStr">
        <is>
          <t>1. Introduction (only assertion of the twin in the proposed model; no twin appears in the implementation section 1.3)</t>
        </is>
      </c>
      <c r="E193" s="49" t="inlineStr">
        <is>
          <t>Y</t>
        </is>
      </c>
    </row>
    <row r="194">
      <c r="A194" s="49" t="inlineStr">
        <is>
          <t>R0150</t>
        </is>
      </c>
      <c r="B194" s="49" t="inlineStr">
        <is>
          <t>FT_EXCLUDE</t>
        </is>
      </c>
      <c r="C194" s="49" t="inlineStr">
        <is>
          <t>Predicting the RUL of components in time-series sensor signals is possible with LSTM neural networks. 2. Using Random Forest, we could find out which categories of fault and how severe they were by reading the labeled upkeep records.</t>
        </is>
      </c>
      <c r="D194" s="49" t="inlineStr">
        <is>
          <t>1.3.2 Analytical tools and predictive modeling</t>
        </is>
      </c>
      <c r="E194" s="49" t="inlineStr">
        <is>
          <t>Y</t>
        </is>
      </c>
    </row>
    <row r="195">
      <c r="A195" s="49" t="inlineStr">
        <is>
          <t>R0150</t>
        </is>
      </c>
      <c r="B195" s="49" t="inlineStr">
        <is>
          <t>FT_EXCLUDE</t>
        </is>
      </c>
      <c r="C195" s="49" t="inlineStr">
        <is>
          <t>Using the predicted chances of failure and the time needed for new parts, the amount of spare parts in stock was constantly tuned to prevent both excess and short stocks.</t>
        </is>
      </c>
      <c r="D195" s="49" t="inlineStr">
        <is>
          <t>1.3.4 Case study: application in a commercial airline (pilot at a 100-aircraft regional airline; sensors + ML pipeline, no twin)</t>
        </is>
      </c>
      <c r="E195" s="49" t="inlineStr">
        <is>
          <t>Y</t>
        </is>
      </c>
    </row>
    <row r="196">
      <c r="A196" s="49" t="inlineStr">
        <is>
          <t>R0150</t>
        </is>
      </c>
      <c r="B196" s="49" t="inlineStr">
        <is>
          <t>FT_EXCLUDE</t>
        </is>
      </c>
      <c r="C196" s="49" t="inlineStr">
        <is>
          <t>These virtual replicas of physical assets allow for simulations of complex operations that can prelude the failure and assess the impact of maintenance strategies on the operations.</t>
        </is>
      </c>
      <c r="D196" s="49" t="inlineStr">
        <is>
          <t>8.1 Emerging Technologies Impacting Inventory Management (generic review statement on digital twins)</t>
        </is>
      </c>
      <c r="E196" s="49" t="inlineStr">
        <is>
          <t>Y</t>
        </is>
      </c>
    </row>
    <row r="197">
      <c r="A197" s="49" t="inlineStr">
        <is>
          <t>R0150</t>
        </is>
      </c>
      <c r="B197" s="49" t="inlineStr">
        <is>
          <t>FT_EXCLUDE</t>
        </is>
      </c>
      <c r="C197" s="49" t="inlineStr">
        <is>
          <t>...platforms that combine automated scheduling with human supervision for smooth task execution. ... while the routine tasks are handled by the automation, the skilled technician is going to take up the complex decision-making challenges.</t>
        </is>
      </c>
      <c r="D197" s="49" t="inlineStr">
        <is>
          <t>10.2 Evolving Standards and Practices Within the Industry (only HITL statement; generic, not tied to the proposed framework)</t>
        </is>
      </c>
      <c r="E197" s="49" t="inlineStr">
        <is>
          <t>Y</t>
        </is>
      </c>
    </row>
    <row r="198">
      <c r="A198" s="49" t="inlineStr">
        <is>
          <t>R0152</t>
        </is>
      </c>
      <c r="B198" s="49" t="inlineStr">
        <is>
          <t>FT_INCLUDE</t>
        </is>
      </c>
      <c r="C198" s="49" t="inlineStr">
        <is>
          <t>To investigate the behavior of the CHE under potential disturbances, the DT replicates real-time monitoring and predicts disruptions before they occur.</t>
        </is>
      </c>
      <c r="D198" s="49" t="inlineStr">
        <is>
          <t>2.2. Stage 2(a): Digital-twin driven Aspen HYSYS</t>
        </is>
      </c>
      <c r="E198" s="49" t="inlineStr">
        <is>
          <t>Y</t>
        </is>
      </c>
    </row>
    <row r="199">
      <c r="A199" s="49" t="inlineStr">
        <is>
          <t>R0152</t>
        </is>
      </c>
      <c r="B199" s="49" t="inlineStr">
        <is>
          <t>FT_INCLUDE</t>
        </is>
      </c>
      <c r="C199" s="49" t="inlineStr">
        <is>
          <t>This paper proposes a systematic and general framework for enhancing the robustness of the LNG supply chain, using the CHE as a specific case study.</t>
        </is>
      </c>
      <c r="D199" s="49" t="inlineStr">
        <is>
          <t>2. Methods</t>
        </is>
      </c>
      <c r="E199" s="49" t="inlineStr">
        <is>
          <t>Y</t>
        </is>
      </c>
    </row>
    <row r="200">
      <c r="A200" s="49" t="inlineStr">
        <is>
          <t>R0152</t>
        </is>
      </c>
      <c r="B200" s="49" t="inlineStr">
        <is>
          <t>FT_INCLUDE</t>
        </is>
      </c>
      <c r="C200" s="49" t="inlineStr">
        <is>
          <t>The ripple effect of disruptions can significantly impact continuity and resilience by spreading disturbances throughout the system, ultimately compromising LNG supply chain resilience</t>
        </is>
      </c>
      <c r="D200" s="49" t="inlineStr">
        <is>
          <t>1. Introduction</t>
        </is>
      </c>
      <c r="E200" s="49" t="inlineStr">
        <is>
          <t>Y</t>
        </is>
      </c>
    </row>
    <row r="201">
      <c r="A201" s="49" t="inlineStr">
        <is>
          <t>R0152</t>
        </is>
      </c>
      <c r="B201" s="49" t="inlineStr">
        <is>
          <t>FT_INCLUDE</t>
        </is>
      </c>
      <c r="C201" s="49" t="inlineStr">
        <is>
          <t>This hybrid system operates in two stages: (1) the VAR model predicts future state variables, and (2) the selected ML model uses the VAR predictions to generate operational state forecasts (success or failure).</t>
        </is>
      </c>
      <c r="D201" s="49" t="inlineStr">
        <is>
          <t>2.4. Stage 3: Machine learning integration for enhanced predictive maintenance</t>
        </is>
      </c>
      <c r="E201" s="49" t="inlineStr">
        <is>
          <t>Y</t>
        </is>
      </c>
    </row>
    <row r="202">
      <c r="A202" s="49" t="inlineStr">
        <is>
          <t>R0152</t>
        </is>
      </c>
      <c r="B202" s="49" t="inlineStr">
        <is>
          <t>FT_INCLUDE</t>
        </is>
      </c>
      <c r="C202" s="49" t="inlineStr">
        <is>
          <t>By identifying potential risks, the system can implement proactive measures in real-time, including dynamic parameter adjustments, real-time control optimizations, and automated corrective actions.</t>
        </is>
      </c>
      <c r="D202" s="49" t="inlineStr">
        <is>
          <t>2.4. Stage 3: Machine learning integration for enhanced predictive maintenance</t>
        </is>
      </c>
      <c r="E202" s="49" t="inlineStr">
        <is>
          <t>Y</t>
        </is>
      </c>
    </row>
    <row r="203">
      <c r="A203" s="49" t="inlineStr">
        <is>
          <t>R0152</t>
        </is>
      </c>
      <c r="B203" s="49" t="inlineStr">
        <is>
          <t>FT_INCLUDE</t>
        </is>
      </c>
      <c r="C203" s="49" t="inlineStr">
        <is>
          <t>skilled personnel in DT, ML and prediction techniques, and seamless integration with existing control systems. These considerations were not fully addressed in this study, highlighting the need for further investigation.</t>
        </is>
      </c>
      <c r="D203" s="49" t="inlineStr">
        <is>
          <t>4. Discussion</t>
        </is>
      </c>
      <c r="E203" s="49" t="inlineStr">
        <is>
          <t>Y</t>
        </is>
      </c>
    </row>
    <row r="204">
      <c r="A204" s="49" t="inlineStr">
        <is>
          <t>R0157</t>
        </is>
      </c>
      <c r="B204" s="49" t="inlineStr">
        <is>
          <t>FT_INCLUDE</t>
        </is>
      </c>
      <c r="C204" s="49" t="inlineStr">
        <is>
          <t>The proposed analytics architecture, as a specialized extension of the architecture proposed in [6], comprises a digital twin-attached, independent service with potential integrations to external service providers and overseeing authorities (Figure 1).</t>
        </is>
      </c>
      <c r="D204" s="49" t="inlineStr">
        <is>
          <t>3.2 Conceptual Architecture</t>
        </is>
      </c>
      <c r="E204" s="49" t="inlineStr">
        <is>
          <t>Y</t>
        </is>
      </c>
    </row>
    <row r="205">
      <c r="A205" s="49" t="inlineStr">
        <is>
          <t>R0157</t>
        </is>
      </c>
      <c r="B205" s="49" t="inlineStr">
        <is>
          <t>FT_INCLUDE</t>
        </is>
      </c>
      <c r="C205" s="49" t="inlineStr">
        <is>
          <t>By integrating in the digital twin of the factory, real-time data from decanter and molasses products become accessible in the data analytics platform, where algorithms continuously monitor and analyze the production process for anomalies.</t>
        </is>
      </c>
      <c r="D205" s="49" t="inlineStr">
        <is>
          <t>4.1.1 Greek Pilot</t>
        </is>
      </c>
      <c r="E205" s="49" t="inlineStr">
        <is>
          <t>Y</t>
        </is>
      </c>
    </row>
    <row r="206">
      <c r="A206" s="49" t="inlineStr">
        <is>
          <t>R0157</t>
        </is>
      </c>
      <c r="B206" s="49" t="inlineStr">
        <is>
          <t>FT_INCLUDE</t>
        </is>
      </c>
      <c r="C206" s="49" t="inlineStr">
        <is>
          <t>Together, they cover different steps in a supply chain that requires the exchange of information in order to optimize their production, analyze their costs and be aware of the materials that they will receive.</t>
        </is>
      </c>
      <c r="D206" s="49" t="inlineStr">
        <is>
          <t>4.1.2 Spanish Pilot</t>
        </is>
      </c>
      <c r="E206" s="49" t="inlineStr">
        <is>
          <t>Y</t>
        </is>
      </c>
    </row>
    <row r="207">
      <c r="A207" s="49" t="inlineStr">
        <is>
          <t>R0157</t>
        </is>
      </c>
      <c r="B207" s="49" t="inlineStr">
        <is>
          <t>FT_INCLUDE</t>
        </is>
      </c>
      <c r="C207" s="49" t="inlineStr">
        <is>
          <t>For the magnetic properties, a set of ML regressors with different parameters was trained using manufacturing data, together with the magnetic properties after each process was performed.</t>
        </is>
      </c>
      <c r="D207" s="49" t="inlineStr">
        <is>
          <t>4.2 Analytic Tools for Each Demonstrator</t>
        </is>
      </c>
      <c r="E207" s="49" t="inlineStr">
        <is>
          <t>Y</t>
        </is>
      </c>
    </row>
    <row r="208">
      <c r="A208" s="49" t="inlineStr">
        <is>
          <t>R0157</t>
        </is>
      </c>
      <c r="B208" s="49" t="inlineStr">
        <is>
          <t>FT_INCLUDE</t>
        </is>
      </c>
      <c r="C208" s="49" t="inlineStr">
        <is>
          <t>While these tools do not make decisions, they help determine the energy required to recycle a batch of EOL magnets and predict their potential final magnetic properties.</t>
        </is>
      </c>
      <c r="D208" s="49" t="inlineStr">
        <is>
          <t>4.2 Analytic Tools for Each Demonstrator</t>
        </is>
      </c>
      <c r="E208" s="49" t="inlineStr">
        <is>
          <t>Y</t>
        </is>
      </c>
    </row>
    <row r="209">
      <c r="A209" s="49" t="inlineStr">
        <is>
          <t>R0157</t>
        </is>
      </c>
      <c r="B209" s="49" t="inlineStr">
        <is>
          <t>FT_INCLUDE</t>
        </is>
      </c>
      <c r="C209" s="49" t="inlineStr">
        <is>
          <t>This can trigger a notification to the factory’s production engineers, alerting them to the issue and prompting immediate action. With this information, the production engineer can use the platform’s process simulation and modeling tool to experiment with different production parameters.</t>
        </is>
      </c>
      <c r="D209" s="49" t="inlineStr">
        <is>
          <t>4.1.1 Greek Pilot</t>
        </is>
      </c>
      <c r="E209" s="49" t="inlineStr">
        <is>
          <t>Y</t>
        </is>
      </c>
    </row>
    <row r="210">
      <c r="A210" s="49" t="inlineStr">
        <is>
          <t>R0162</t>
        </is>
      </c>
      <c r="B210" s="49" t="inlineStr">
        <is>
          <t>NOT_RETRIEVED</t>
        </is>
      </c>
      <c r="C210" s="49" t="inlineStr">
        <is>
          <t>these techniques support the goal to provide AI generated plans which are to be understood, assessed, modified, and approved by the human planner.</t>
        </is>
      </c>
      <c r="D210" s="49" t="inlineStr">
        <is>
          <t>Abstract (only part visible; not usable for coding)</t>
        </is>
      </c>
      <c r="E210" s="49" t="inlineStr">
        <is>
          <t>Y</t>
        </is>
      </c>
    </row>
    <row r="211">
      <c r="A211" s="49" t="inlineStr">
        <is>
          <t>R0162</t>
        </is>
      </c>
      <c r="B211" s="49" t="inlineStr">
        <is>
          <t>NOT_RETRIEVED</t>
        </is>
      </c>
      <c r="C211" s="49" t="inlineStr">
        <is>
          <t>A logistics-based land delivery scenario looks at a constrained set of routes from the departure point to delivery destinations. Metrics applied were distance, time, risk, and delivery point.</t>
        </is>
      </c>
      <c r="D211" s="49" t="inlineStr">
        <is>
          <t>Abstract (only part visible; not usable for coding)</t>
        </is>
      </c>
      <c r="E211" s="49" t="inlineStr">
        <is>
          <t>Y</t>
        </is>
      </c>
    </row>
    <row r="212">
      <c r="A212" s="49" t="inlineStr">
        <is>
          <t>R0162</t>
        </is>
      </c>
      <c r="B212" s="49" t="inlineStr">
        <is>
          <t>NOT_RETRIEVED</t>
        </is>
      </c>
      <c r="C212" s="49" t="inlineStr">
        <is>
          <t>Phase Two is a continuation of examining the validation of the approach through use of digital twin simulation with an embedded Goal-Oriented Action Planning (GOAP) AI algorithm.</t>
        </is>
      </c>
      <c r="D212" s="49" t="inlineStr">
        <is>
          <t>Abstract (only part visible; not usable for coding)</t>
        </is>
      </c>
      <c r="E212" s="49" t="inlineStr">
        <is>
          <t>Y</t>
        </is>
      </c>
    </row>
    <row r="213">
      <c r="A213" s="49" t="inlineStr">
        <is>
          <t>R0162</t>
        </is>
      </c>
      <c r="B213" s="49" t="inlineStr">
        <is>
          <t>NOT_RETRIEVED</t>
        </is>
      </c>
      <c r="C213" s="49" t="inlineStr">
        <is>
          <t>This is a preview of subscription content, log in via an institution to check access.</t>
        </is>
      </c>
      <c r="D213" s="49" t="inlineStr">
        <is>
          <t>Body placeholder, immediately after the Abstract (paywall marker on the Hull-proxied Springer page after waiting 8 s)</t>
        </is>
      </c>
      <c r="E213" s="49" t="inlineStr">
        <is>
          <t>Y</t>
        </is>
      </c>
    </row>
    <row r="214">
      <c r="A214" s="49" t="inlineStr">
        <is>
          <t>R0164</t>
        </is>
      </c>
      <c r="B214" s="49" t="inlineStr">
        <is>
          <t>FT_INCLUDE</t>
        </is>
      </c>
      <c r="C214" s="49" t="inlineStr">
        <is>
          <t>As shown in Figure 1, the architecture builds a symbiotic relationship between a geo-aware MARL decision engine and a digital twin-enabled supply chain simulation platform, thus facilitating the evolutionary optimisation of cross-border logistics paths.</t>
        </is>
      </c>
      <c r="D214" s="49" t="inlineStr">
        <is>
          <t>4 Design Validation</t>
        </is>
      </c>
      <c r="E214" s="49" t="inlineStr">
        <is>
          <t>Y</t>
        </is>
      </c>
    </row>
    <row r="215">
      <c r="A215" s="49" t="inlineStr">
        <is>
          <t>R0164</t>
        </is>
      </c>
      <c r="B215" s="49" t="inlineStr">
        <is>
          <t>FT_INCLUDE</t>
        </is>
      </c>
      <c r="C215" s="49" t="inlineStr">
        <is>
          <t>Digital Twin Environment Configuration.Geospatial resolution: 1km² per grid cell (150×150 grid).Dynamic event modeling:Port congestion: Modified Poisson process (λ=0.35 ± 0.12 during typhoon season).</t>
        </is>
      </c>
      <c r="D215" s="49" t="inlineStr">
        <is>
          <t>3.1.2 Experimental Validation (the 'twin' is a synthetic simulation environment: Poisson congestion, ARIMA fuel prices, Weibull customs delays)</t>
        </is>
      </c>
      <c r="E215" s="49" t="inlineStr">
        <is>
          <t>Y</t>
        </is>
      </c>
    </row>
    <row r="216">
      <c r="A216" s="49" t="inlineStr">
        <is>
          <t>R0164</t>
        </is>
      </c>
      <c r="B216" s="49" t="inlineStr">
        <is>
          <t>FT_INCLUDE</t>
        </is>
      </c>
      <c r="C216" s="49" t="inlineStr">
        <is>
          <t>we build a three-layer interactive model comprising manufacturers, logistics providers, and customs regulators, thereby overcoming the limitations of traditional static path planning.</t>
        </is>
      </c>
      <c r="D216" s="49" t="inlineStr">
        <is>
          <t>Abstract</t>
        </is>
      </c>
      <c r="E216" s="49" t="inlineStr">
        <is>
          <t>Y</t>
        </is>
      </c>
    </row>
    <row r="217">
      <c r="A217" s="49" t="inlineStr">
        <is>
          <t>R0164</t>
        </is>
      </c>
      <c r="B217" s="49" t="inlineStr">
        <is>
          <t>FT_INCLUDE</t>
        </is>
      </c>
      <c r="C217" s="49" t="inlineStr">
        <is>
          <t>Built on Mesa-ABM 1.2.3 and Ray RLlib 2.8.1, the multi-agent simulation environment implements a decentralized decision-making protocol. Each intelligent agent (n=387 in full-scale simulation) employs modified Double Dueling DQN architecture with prioritized experience replay</t>
        </is>
      </c>
      <c r="D217" s="49" t="inlineStr">
        <is>
          <t>3.1.1 Algorithmic Implementation</t>
        </is>
      </c>
      <c r="E217" s="49" t="inlineStr">
        <is>
          <t>Y</t>
        </is>
      </c>
    </row>
    <row r="218">
      <c r="A218" s="49" t="inlineStr">
        <is>
          <t>R0164</t>
        </is>
      </c>
      <c r="B218" s="49" t="inlineStr">
        <is>
          <t>FT_INCLUDE</t>
        </is>
      </c>
      <c r="C218" s="49" t="inlineStr">
        <is>
          <t>By linking each participant's rewards to global KPIs, including carbon emissions (down 14.2%), infrastructure utilisation (up 31%), and clearance times (down 27%), the model facilitates the formation of collaborative strategies without the need for centralised oversight.</t>
        </is>
      </c>
      <c r="D218" s="49" t="inlineStr">
        <is>
          <t>5 Conclusions (HITL: no human/central oversight in the loop)</t>
        </is>
      </c>
      <c r="E218" s="49" t="inlineStr">
        <is>
          <t>Y</t>
        </is>
      </c>
    </row>
    <row r="219">
      <c r="A219" s="49" t="inlineStr">
        <is>
          <t>R0164</t>
        </is>
      </c>
      <c r="B219" s="49" t="inlineStr">
        <is>
          <t>FT_INCLUDE</t>
        </is>
      </c>
      <c r="C219" s="49" t="inlineStr">
        <is>
          <t>Validation with electronics exporters in the Dongguan region (17 companies in total) confirms its practical feasibility [...] The average response time for emergency reprogramming was 22 minutes (compared to 6.3 hours for manual processes).</t>
        </is>
      </c>
      <c r="D219" s="49" t="inlineStr">
        <is>
          <t>3.1.4 Industrial Impacts (HITL: system replaces manual re-planning; contrast with Abstract: 'real trade data from 300 Dongguan export enterprises' and 'deployed in the Smart Port Brain System of Dongguan')</t>
        </is>
      </c>
      <c r="E219" s="49" t="inlineStr">
        <is>
          <t>Y</t>
        </is>
      </c>
    </row>
    <row r="220">
      <c r="A220" s="49" t="inlineStr">
        <is>
          <t>R0173</t>
        </is>
      </c>
      <c r="B220" s="49" t="inlineStr">
        <is>
          <t>FT_INCLUDE</t>
        </is>
      </c>
      <c r="C220" s="49" t="inlineStr">
        <is>
          <t>The Digital Twin Platform functions as a virtual duplicate which creates a real-time simulation of manufacturing assets, production lines, operational workflows, and supply chain operations that exactly match physical factory operations.</t>
        </is>
      </c>
      <c r="D220" s="49" t="inlineStr">
        <is>
          <t>III. Research Methodology, A.2 Digital Twin Layer (p. 4)</t>
        </is>
      </c>
      <c r="E220" s="49" t="inlineStr">
        <is>
          <t>Y</t>
        </is>
      </c>
    </row>
    <row r="221">
      <c r="A221" s="49" t="inlineStr">
        <is>
          <t>R0173</t>
        </is>
      </c>
      <c r="B221" s="49" t="inlineStr">
        <is>
          <t>FT_INCLUDE</t>
        </is>
      </c>
      <c r="C221" s="49" t="inlineStr">
        <is>
          <t>(6) original equipment manufacturer (OEM) and (7) Third Party Logistics' warehouse management systems (WMS) are also connected with (4) ERP systems through B2B messages.</t>
        </is>
      </c>
      <c r="D221" s="49" t="inlineStr">
        <is>
          <t>III. Research Methodology, description of Fig. 1 (p. 4)</t>
        </is>
      </c>
      <c r="E221" s="49" t="inlineStr">
        <is>
          <t>Y</t>
        </is>
      </c>
    </row>
    <row r="222">
      <c r="A222" s="49" t="inlineStr">
        <is>
          <t>R0173</t>
        </is>
      </c>
      <c r="B222" s="49" t="inlineStr">
        <is>
          <t>FT_INCLUDE</t>
        </is>
      </c>
      <c r="C222" s="49" t="inlineStr">
        <is>
          <t>The AI-Orchestration Layer runs demand forecasting, predictive maintenance, inventory optimization, quality inspection, and dynamic scheduling operations through AI technology like machine learning (ML), predictive analytics, computer vision, natural language processing (NLP), and Generative AI.</t>
        </is>
      </c>
      <c r="D222" s="49" t="inlineStr">
        <is>
          <t>III. Research Methodology, A.5 ERP-AI-Orchestration Layer (p. 5)</t>
        </is>
      </c>
      <c r="E222" s="49" t="inlineStr">
        <is>
          <t>Y</t>
        </is>
      </c>
    </row>
    <row r="223">
      <c r="A223" s="49" t="inlineStr">
        <is>
          <t>R0173</t>
        </is>
      </c>
      <c r="B223" s="49" t="inlineStr">
        <is>
          <t>FT_INCLUDE</t>
        </is>
      </c>
      <c r="C223" s="49" t="inlineStr">
        <is>
          <t>AI agents are embedded into ERP modules for supply chain optimization, supplier risk prediction, and real-time production cost modeling. This will use DT simulations for "what-if" analysis before ERP commits decisions.</t>
        </is>
      </c>
      <c r="D223" s="49" t="inlineStr">
        <is>
          <t>III. Research Methodology, B.2 AI-Enabled ERP (p. 5)</t>
        </is>
      </c>
      <c r="E223" s="49" t="inlineStr">
        <is>
          <t>Y</t>
        </is>
      </c>
    </row>
    <row r="224">
      <c r="A224" s="49" t="inlineStr">
        <is>
          <t>R0173</t>
        </is>
      </c>
      <c r="B224" s="49" t="inlineStr">
        <is>
          <t>FT_INCLUDE</t>
        </is>
      </c>
      <c r="C224" s="49" t="inlineStr">
        <is>
          <t>The DT health models of Predictive Maintenance automatically produce ERP work orders and use ERP procurement to purchase any replacement part.</t>
        </is>
      </c>
      <c r="D224" s="49" t="inlineStr">
        <is>
          <t>III. Research Methodology, C.3 Predictive Maintenance (p. 5)</t>
        </is>
      </c>
      <c r="E224" s="49" t="inlineStr">
        <is>
          <t>Y</t>
        </is>
      </c>
    </row>
    <row r="225">
      <c r="A225" s="49" t="inlineStr">
        <is>
          <t>R0173</t>
        </is>
      </c>
      <c r="B225" s="49" t="inlineStr">
        <is>
          <t>FT_INCLUDE</t>
        </is>
      </c>
      <c r="C225" s="49" t="inlineStr">
        <is>
          <t>Human-AI Collaborative interface: Operators and planners can access ERP user interface and DT visualizations through Augmented Reality / Virtual Reality technology for their training needs and decision support.</t>
        </is>
      </c>
      <c r="D225" s="49" t="inlineStr">
        <is>
          <t>III. Research Methodology, D.2 Novel Contributions (p. 5)</t>
        </is>
      </c>
      <c r="E225" s="49" t="inlineStr">
        <is>
          <t>Y</t>
        </is>
      </c>
    </row>
    <row r="226">
      <c r="A226" s="49" t="inlineStr">
        <is>
          <t>R0174</t>
        </is>
      </c>
      <c r="B226" s="49" t="inlineStr">
        <is>
          <t>FT_INCLUDE</t>
        </is>
      </c>
      <c r="C226" s="49" t="inlineStr">
        <is>
          <t>a digital twin model is constructed for each critical asset or location represented in the BDT MBA Supply Chain Dataset. These digital twins serve as virtual replicas that continuously mirror the real-time state of physical entities</t>
        </is>
      </c>
      <c r="D226" s="49" t="inlineStr">
        <is>
          <t>IV. Methodology, B. Digital Twin-Based Condition Monitoring and Maintenance Feedback (p.3)</t>
        </is>
      </c>
      <c r="E226" s="49" t="inlineStr">
        <is>
          <t>Y</t>
        </is>
      </c>
    </row>
    <row r="227">
      <c r="A227" s="49" t="inlineStr">
        <is>
          <t>R0174</t>
        </is>
      </c>
      <c r="B227" s="49" t="inlineStr">
        <is>
          <t>FT_INCLUDE</t>
        </is>
      </c>
      <c r="C227" s="49" t="inlineStr">
        <is>
          <t>Each agent autonomously handles maintenance scheduling, inventory restocking, and route adjustments using digital twin data like Condition_Score, Inventory_Level, and Downtime_Hours to enable real-time, localized decision-making in smart supply chains.</t>
        </is>
      </c>
      <c r="D227" s="49" t="inlineStr">
        <is>
          <t>IV. Methodology, C. Distributed Decision-Making via Multi-Agent System Integration (p.4)</t>
        </is>
      </c>
      <c r="E227" s="49" t="inlineStr">
        <is>
          <t>Y</t>
        </is>
      </c>
    </row>
    <row r="228">
      <c r="A228" s="49" t="inlineStr">
        <is>
          <t>R0174</t>
        </is>
      </c>
      <c r="B228" s="49" t="inlineStr">
        <is>
          <t>FT_INCLUDE</t>
        </is>
      </c>
      <c r="C228" s="49" t="inlineStr">
        <is>
          <t>Federated Learning (FL) is employed to enable decentralized yet collaborative machine learning across multiple supply chain nodes, without requiring raw data transfer to a central server.</t>
        </is>
      </c>
      <c r="D228" s="49" t="inlineStr">
        <is>
          <t>IV. Methodology, D. Federated Learning Architecture for Distributed Supply Chain Intelligence (p.4)</t>
        </is>
      </c>
      <c r="E228" s="49" t="inlineStr">
        <is>
          <t>Y</t>
        </is>
      </c>
    </row>
    <row r="229">
      <c r="A229" s="49" t="inlineStr">
        <is>
          <t>R0174</t>
        </is>
      </c>
      <c r="B229" s="49" t="inlineStr">
        <is>
          <t>FT_INCLUDE</t>
        </is>
      </c>
      <c r="C229" s="49" t="inlineStr">
        <is>
          <t>Decision-making can follow either a rule-based approach (for structured control tasks) or a RL strategy for dynamic environments. In RL-based agents, decisions are driven by reward maximization.</t>
        </is>
      </c>
      <c r="D229" s="49" t="inlineStr">
        <is>
          <t>IV. Methodology, C. Distributed Decision-Making via Multi-Agent System Integration (p.4)</t>
        </is>
      </c>
      <c r="E229" s="49" t="inlineStr">
        <is>
          <t>Y</t>
        </is>
      </c>
    </row>
    <row r="230">
      <c r="A230" s="49" t="inlineStr">
        <is>
          <t>R0174</t>
        </is>
      </c>
      <c r="B230" s="49" t="inlineStr">
        <is>
          <t>FT_INCLUDE</t>
        </is>
      </c>
      <c r="C230" s="49" t="inlineStr">
        <is>
          <t>This trust layer eliminates the need for manual verification and ensures that all stakeholder actions (agents, twins, service providers) are verifiable, consistent, and tamper-resistant</t>
        </is>
      </c>
      <c r="D230" s="49" t="inlineStr">
        <is>
          <t>IV. Methodology, E. Smart Contract-Driven Blockchain Layer for Secure Event Automation and Trust (p.4)</t>
        </is>
      </c>
      <c r="E230" s="49" t="inlineStr">
        <is>
          <t>Y</t>
        </is>
      </c>
    </row>
    <row r="231">
      <c r="A231" s="49" t="inlineStr">
        <is>
          <t>R0174</t>
        </is>
      </c>
      <c r="B231" s="49" t="inlineStr">
        <is>
          <t>FT_INCLUDE</t>
        </is>
      </c>
      <c r="C231" s="49" t="inlineStr">
        <is>
          <t>By integrating MAS into the digital twin architecture, the system achieves autonomous decision-making, collaborative behavior, and real-time responsiveness</t>
        </is>
      </c>
      <c r="D231" s="49" t="inlineStr">
        <is>
          <t>IV. Methodology, C. Distributed Decision-Making via Multi-Agent System Integration (p.4)</t>
        </is>
      </c>
      <c r="E231" s="49" t="inlineStr">
        <is>
          <t>Y</t>
        </is>
      </c>
    </row>
    <row r="232">
      <c r="A232" s="49" t="inlineStr">
        <is>
          <t>R0178</t>
        </is>
      </c>
      <c r="B232" s="49" t="inlineStr">
        <is>
          <t>FT_INCLUDE</t>
        </is>
      </c>
      <c r="C232" s="49" t="inlineStr">
        <is>
          <t>Using the Digital Twin Definition Language (DTDL) [28], we created a JSON-based model depicting the virtual representation of our operations, syncing in real time with our data lakehouse.</t>
        </is>
      </c>
      <c r="D232" s="49" t="inlineStr">
        <is>
          <t>Sect. 2.3 Digital Twin Framework - Tools</t>
        </is>
      </c>
      <c r="E232" s="49" t="inlineStr">
        <is>
          <t>Y</t>
        </is>
      </c>
    </row>
    <row r="233">
      <c r="A233" s="49" t="inlineStr">
        <is>
          <t>R0178</t>
        </is>
      </c>
      <c r="B233" s="49" t="inlineStr">
        <is>
          <t>FT_INCLUDE</t>
        </is>
      </c>
      <c r="C233" s="49" t="inlineStr">
        <is>
          <t>The case study is simply that of the pick-up and drop-off segment of the transport company in which assets are transported based on customer orders across the UK.</t>
        </is>
      </c>
      <c r="D233" s="49" t="inlineStr">
        <is>
          <t>Sect. 1.3 Case Study</t>
        </is>
      </c>
      <c r="E233" s="49" t="inlineStr">
        <is>
          <t>Y</t>
        </is>
      </c>
    </row>
    <row r="234">
      <c r="A234" s="49" t="inlineStr">
        <is>
          <t>R0178</t>
        </is>
      </c>
      <c r="B234" s="49" t="inlineStr">
        <is>
          <t>FT_INCLUDE</t>
        </is>
      </c>
      <c r="C234" s="49" t="inlineStr">
        <is>
          <t>The recommendation system is based on a reinforcement learning with human feedback model and a traveling salesman problem algorithm for route optimization.</t>
        </is>
      </c>
      <c r="D234" s="49" t="inlineStr">
        <is>
          <t>Sect. 1 Introduction</t>
        </is>
      </c>
      <c r="E234" s="49" t="inlineStr">
        <is>
          <t>Y</t>
        </is>
      </c>
    </row>
    <row r="235">
      <c r="A235" s="49" t="inlineStr">
        <is>
          <t>R0178</t>
        </is>
      </c>
      <c r="B235" s="49" t="inlineStr">
        <is>
          <t>FT_INCLUDE</t>
        </is>
      </c>
      <c r="C235" s="49" t="inlineStr">
        <is>
          <t>The RL model formulated as an MDP is trained with the environment, specifying the state, action, transition and reward, as described in Section 2 of this paper.</t>
        </is>
      </c>
      <c r="D235" s="49" t="inlineStr">
        <is>
          <t>Sect. 4.2 Training and Inference</t>
        </is>
      </c>
      <c r="E235" s="49" t="inlineStr">
        <is>
          <t>Y</t>
        </is>
      </c>
    </row>
    <row r="236">
      <c r="A236" s="49" t="inlineStr">
        <is>
          <t>R0178</t>
        </is>
      </c>
      <c r="B236" s="49" t="inlineStr">
        <is>
          <t>FT_INCLUDE</t>
        </is>
      </c>
      <c r="C236" s="49" t="inlineStr">
        <is>
          <t>The system recommends optimized plans to transport planners, who accept or reject the proposal, from which the RL model uses as a reward (human feedback) to improve.</t>
        </is>
      </c>
      <c r="D236" s="49" t="inlineStr">
        <is>
          <t>Sect. 3 Proposed Solution</t>
        </is>
      </c>
      <c r="E236" s="49" t="inlineStr">
        <is>
          <t>Y</t>
        </is>
      </c>
    </row>
    <row r="237">
      <c r="A237" s="49" t="inlineStr">
        <is>
          <t>R0178</t>
        </is>
      </c>
      <c r="B237" s="49" t="inlineStr">
        <is>
          <t>FT_INCLUDE</t>
        </is>
      </c>
      <c r="C237" s="49" t="inlineStr">
        <is>
          <t>The use of a human-in-the-loop approach enables the model to learn from other factors such as internal business rules that require human intelligence, which the data and trends about jobs and driver proximity do not take into account.</t>
        </is>
      </c>
      <c r="D237" s="49" t="inlineStr">
        <is>
          <t>Sect. 3 Proposed Solution - Human in the Loop</t>
        </is>
      </c>
      <c r="E237" s="49" t="inlineStr">
        <is>
          <t>Y</t>
        </is>
      </c>
    </row>
    <row r="238">
      <c r="A238" s="49" t="inlineStr">
        <is>
          <t>R0184</t>
        </is>
      </c>
      <c r="B238" s="49" t="inlineStr">
        <is>
          <t>FT_EXCLUDE</t>
        </is>
      </c>
      <c r="C238" s="49" t="inlineStr">
        <is>
          <t>Digital twins enable the replication of physical supply chain operations in a digital environment, creating a closed loop between digital simulations and real-world processes.</t>
        </is>
      </c>
      <c r="D238" s="49" t="inlineStr">
        <is>
          <t>4.7 The Lingfeng intelligent logistics centre (only definitional description of the twin; cited to Lening, 2022)</t>
        </is>
      </c>
      <c r="E238" s="49" t="inlineStr">
        <is>
          <t>Y</t>
        </is>
      </c>
    </row>
    <row r="239">
      <c r="A239" s="49" t="inlineStr">
        <is>
          <t>R0184</t>
        </is>
      </c>
      <c r="B239" s="49" t="inlineStr">
        <is>
          <t>FT_EXCLUDE</t>
        </is>
      </c>
      <c r="C239" s="49" t="inlineStr">
        <is>
          <t>performs automated risk assessments and generates recommendations for process adjustments with minimal human intervention. Updates are automatically relayed to relevant managers, improving responsiveness and supporting the development of supply chain digital twins</t>
        </is>
      </c>
      <c r="D239" s="49" t="inlineStr">
        <is>
          <t>4.7 The Lingfeng intelligent logistics centre (Intelligent Operation Centre; HITL statement for the deployment)</t>
        </is>
      </c>
      <c r="E239" s="49" t="inlineStr">
        <is>
          <t>Y</t>
        </is>
      </c>
    </row>
    <row r="240">
      <c r="A240" s="49" t="inlineStr">
        <is>
          <t>R0184</t>
        </is>
      </c>
      <c r="B240" s="49" t="inlineStr">
        <is>
          <t>FT_EXCLUDE</t>
        </is>
      </c>
      <c r="C240" s="49" t="inlineStr">
        <is>
          <t>Hybrid algorithms are used to solve these large-scale problems efficiently. Linear Programming (LP) addresses linear relationships and constraints, while Mixed-Integer Programming (MIP) models discrete decisions, such as shipment quantities and facility operations.</t>
        </is>
      </c>
      <c r="D240" s="49" t="inlineStr">
        <is>
          <t>4.6 Algorithmic modelling for the intelligent supply chain (MOCO model, Figure 4; the only specified method)</t>
        </is>
      </c>
      <c r="E240" s="49" t="inlineStr">
        <is>
          <t>Y</t>
        </is>
      </c>
    </row>
    <row r="241">
      <c r="A241" s="49" t="inlineStr">
        <is>
          <t>R0184</t>
        </is>
      </c>
      <c r="B241" s="49" t="inlineStr">
        <is>
          <t>FT_EXCLUDE</t>
        </is>
      </c>
      <c r="C241" s="49" t="inlineStr">
        <is>
          <t>The ISC + project incorporates self-learning algorithms to enhance decision-making within logistics operations, enabling real-time adjustments based on simulated or observed data.</t>
        </is>
      </c>
      <c r="D241" s="49" t="inlineStr">
        <is>
          <t>5. Discussion (self-learning/ML named only here and in the Conclusion, never specified; absent from 4. Results)</t>
        </is>
      </c>
      <c r="E241" s="49" t="inlineStr">
        <is>
          <t>Y</t>
        </is>
      </c>
    </row>
    <row r="242">
      <c r="A242" s="49" t="inlineStr">
        <is>
          <t>R0184</t>
        </is>
      </c>
      <c r="B242" s="49" t="inlineStr">
        <is>
          <t>FT_EXCLUDE</t>
        </is>
      </c>
      <c r="C242" s="49" t="inlineStr">
        <is>
          <t>From this circular flowchart, a right-pointing arrow arises and points to a box labeled “Automatic execution of substitution-splitting-adjustment”.</t>
        </is>
      </c>
      <c r="D242" s="49" t="inlineStr">
        <is>
          <t>Figure 5 alt-text, 4.7 ('After' workflow; the 'Before' row lists manual steps such as “Determine supply-demand matching using experience”)</t>
        </is>
      </c>
      <c r="E242" s="49" t="inlineStr">
        <is>
          <t>Y</t>
        </is>
      </c>
    </row>
    <row r="243">
      <c r="A243" s="49" t="inlineStr">
        <is>
          <t>R0184</t>
        </is>
      </c>
      <c r="B243" s="49" t="inlineStr">
        <is>
          <t>FT_EXCLUDE</t>
        </is>
      </c>
      <c r="C243" s="49" t="inlineStr">
        <is>
          <t>However, these benefits can only be realised when AI outputs are validated through human judgment, ensuring accountability and accuracy in decision-making.</t>
        </is>
      </c>
      <c r="D243" s="49" t="inlineStr">
        <is>
          <t>5.4 Advanced risk management (normative HITL statement, not observed in the case)</t>
        </is>
      </c>
      <c r="E243" s="49" t="inlineStr">
        <is>
          <t>Y</t>
        </is>
      </c>
    </row>
    <row r="244">
      <c r="A244" s="49" t="inlineStr">
        <is>
          <t>R0194</t>
        </is>
      </c>
      <c r="B244" s="49" t="inlineStr">
        <is>
          <t>FT_INCLUDE</t>
        </is>
      </c>
      <c r="C244" s="49" t="inlineStr">
        <is>
          <t>This study presents a three-phase digital supply chain twin framework, leveraging discrete event simulation and neural networks to anticipate floods—a typical natural catastrophe and disruptive event—and predict recovery indicators.</t>
        </is>
      </c>
      <c r="D244" s="49" t="inlineStr">
        <is>
          <t>Abstract</t>
        </is>
      </c>
      <c r="E244" s="49" t="inlineStr">
        <is>
          <t>Y</t>
        </is>
      </c>
    </row>
    <row r="245">
      <c r="A245" s="49" t="inlineStr">
        <is>
          <t>R0194</t>
        </is>
      </c>
      <c r="B245" s="49" t="inlineStr">
        <is>
          <t>FT_INCLUDE</t>
        </is>
      </c>
      <c r="C245" s="49" t="inlineStr">
        <is>
          <t>This DT framework integrates ERP systems with cloud-connected servers and trained algorithms to streamline SC management. The built-in DES using FlexSim enables managers to evaluate the potential impact of predicted capacity reductions during scenario planning.</t>
        </is>
      </c>
      <c r="D245" s="49" t="inlineStr">
        <is>
          <t>4.3 Resultant framework for DSCT for disruption and recovery prediction indicator</t>
        </is>
      </c>
      <c r="E245" s="49" t="inlineStr">
        <is>
          <t>Y</t>
        </is>
      </c>
    </row>
    <row r="246">
      <c r="A246" s="49" t="inlineStr">
        <is>
          <t>R0194</t>
        </is>
      </c>
      <c r="B246" s="49" t="inlineStr">
        <is>
          <t>FT_INCLUDE</t>
        </is>
      </c>
      <c r="C246" s="49" t="inlineStr">
        <is>
          <t>The SC model has five suppliers (SP1, SP2, SP3, SP4, and SP5) providing parts for the manufacturing and processing plants. The processing plants are divided into manufacturing (M1 and M2) and packaging (PKG1 and PKG2) operations.</t>
        </is>
      </c>
      <c r="D246" s="49" t="inlineStr">
        <is>
          <t>3.2.1 Supply chain structure</t>
        </is>
      </c>
      <c r="E246" s="49" t="inlineStr">
        <is>
          <t>Y</t>
        </is>
      </c>
    </row>
    <row r="247">
      <c r="A247" s="49" t="inlineStr">
        <is>
          <t>R0194</t>
        </is>
      </c>
      <c r="B247" s="49" t="inlineStr">
        <is>
          <t>FT_INCLUDE</t>
        </is>
      </c>
      <c r="C247" s="49" t="inlineStr">
        <is>
          <t>LSTM performs slightly better than logistic regression, achieving 73 % recall, 75 % accuracy, and 84 % AUC-ROC score in flood prediction.</t>
        </is>
      </c>
      <c r="D247" s="49" t="inlineStr">
        <is>
          <t>4.1 Analysis of flooding forecasting using logistic regression and long short-term memory</t>
        </is>
      </c>
      <c r="E247" s="49" t="inlineStr">
        <is>
          <t>Y</t>
        </is>
      </c>
    </row>
    <row r="248">
      <c r="A248" s="49" t="inlineStr">
        <is>
          <t>R0194</t>
        </is>
      </c>
      <c r="B248" s="49" t="inlineStr">
        <is>
          <t>FT_INCLUDE</t>
        </is>
      </c>
      <c r="C248" s="49" t="inlineStr">
        <is>
          <t>The projection of recovery indicators involves training a multilayer neural perceptron network (MLPNN) using the data generated in FlexSim.</t>
        </is>
      </c>
      <c r="D248" s="49" t="inlineStr">
        <is>
          <t>3.3 Third phase: prediction of recovery indicator</t>
        </is>
      </c>
      <c r="E248" s="49" t="inlineStr">
        <is>
          <t>Y</t>
        </is>
      </c>
    </row>
    <row r="249">
      <c r="A249" s="49" t="inlineStr">
        <is>
          <t>R0194</t>
        </is>
      </c>
      <c r="B249" s="49" t="inlineStr">
        <is>
          <t>FT_INCLUDE</t>
        </is>
      </c>
      <c r="C249" s="49" t="inlineStr">
        <is>
          <t>SC planners can determine the most appropriate epoch for the algorithm by simulating data parameters related to disruption percentages. Identifying the recovery indicator allows planners to make more informed decisions, enhancing their ability to mitigate SC disruptions effectively.</t>
        </is>
      </c>
      <c r="D249" s="49" t="inlineStr">
        <is>
          <t>4.3 Resultant framework for DSCT for disruption and recovery prediction indicator</t>
        </is>
      </c>
      <c r="E249" s="49" t="inlineStr">
        <is>
          <t>Y</t>
        </is>
      </c>
    </row>
    <row r="250">
      <c r="A250" s="49" t="inlineStr">
        <is>
          <t>R0201</t>
        </is>
      </c>
      <c r="B250" s="49" t="inlineStr">
        <is>
          <t>FT_INCLUDE</t>
        </is>
      </c>
      <c r="C250" s="49" t="inlineStr">
        <is>
          <t>This digital twin is a model that represents both the product (ship) and the production process. This initiative is driven by the need to address labor shortages and enhance control during ship construction.</t>
        </is>
      </c>
      <c r="D250" s="49" t="inlineStr">
        <is>
          <t>Sec. 1 Introduction, p. 1138 (PDF page 2)</t>
        </is>
      </c>
      <c r="E250" s="49" t="inlineStr">
        <is>
          <t>Y</t>
        </is>
      </c>
    </row>
    <row r="251">
      <c r="A251" s="49" t="inlineStr">
        <is>
          <t>R0201</t>
        </is>
      </c>
      <c r="B251" s="49" t="inlineStr">
        <is>
          <t>FT_INCLUDE</t>
        </is>
      </c>
      <c r="C251" s="49" t="inlineStr">
        <is>
          <t>Simulation (AI): the digital model enables on which analyses and simulation scenarios can be performed with the AI to make better decisions. For example, in the event of a production issue, the simulation provides supervisors with the ability to decide</t>
        </is>
      </c>
      <c r="D251" s="49" t="inlineStr">
        <is>
          <t>Sec. 2 Digital Twin: Vision &amp; concept, p. 1139 (PDF page 3)</t>
        </is>
      </c>
      <c r="E251" s="49" t="inlineStr">
        <is>
          <t>Y</t>
        </is>
      </c>
    </row>
    <row r="252">
      <c r="A252" s="49" t="inlineStr">
        <is>
          <t>R0201</t>
        </is>
      </c>
      <c r="B252" s="49" t="inlineStr">
        <is>
          <t>FT_INCLUDE</t>
        </is>
      </c>
      <c r="C252" s="49" t="inlineStr">
        <is>
          <t>Logistics systems are in place for the digitization of the transport bill and the scheduling of the arrival of trucks for the management of materials through an artificial intelligence algorithm, optimizing the reordering of materials</t>
        </is>
      </c>
      <c r="D252" s="49" t="inlineStr">
        <is>
          <t>Sec. 3.1.3 Logistics &amp; Supply Chain, p. 1142 (PDF page 6)</t>
        </is>
      </c>
      <c r="E252" s="49" t="inlineStr">
        <is>
          <t>Y</t>
        </is>
      </c>
    </row>
    <row r="253">
      <c r="A253" s="49" t="inlineStr">
        <is>
          <t>R0201</t>
        </is>
      </c>
      <c r="B253" s="49" t="inlineStr">
        <is>
          <t>FT_INCLUDE</t>
        </is>
      </c>
      <c r="C253" s="49" t="inlineStr">
        <is>
          <t>Through the reinforcement learning technique, it is possible to perform thousands of simulations in parallel where robots can interact freely in space and thus refine the neural networks that govern their movements to achieve specific goals.</t>
        </is>
      </c>
      <c r="D253" s="49" t="inlineStr">
        <is>
          <t>Sec. 3.1.6 Industrial Metaverse, p. 1143 (PDF page 7)</t>
        </is>
      </c>
      <c r="E253" s="49" t="inlineStr">
        <is>
          <t>Y</t>
        </is>
      </c>
    </row>
    <row r="254">
      <c r="A254" s="49" t="inlineStr">
        <is>
          <t>R0201</t>
        </is>
      </c>
      <c r="B254" s="49" t="inlineStr">
        <is>
          <t>FT_INCLUDE</t>
        </is>
      </c>
      <c r="C254" s="49" t="inlineStr">
        <is>
          <t>For example, the AI can suggest possible causes or solutions for a non-conformity, which will then be confirmed by the operator</t>
        </is>
      </c>
      <c r="D254" s="49" t="inlineStr">
        <is>
          <t>Sec. 3.1.4 Quality, p. 1143 (PDF page 7)</t>
        </is>
      </c>
      <c r="E254" s="49" t="inlineStr">
        <is>
          <t>Y</t>
        </is>
      </c>
    </row>
    <row r="255">
      <c r="A255" s="49" t="inlineStr">
        <is>
          <t>R0201</t>
        </is>
      </c>
      <c r="B255" s="49" t="inlineStr">
        <is>
          <t>FT_INCLUDE</t>
        </is>
      </c>
      <c r="C255" s="49" t="inlineStr">
        <is>
          <t>This evolution of the production model also involves a change in the skills and abilities of the staff, especially for Blue Collar workers, who will transition from an operational role to one of controlling automated tools.</t>
        </is>
      </c>
      <c r="D255" s="49" t="inlineStr">
        <is>
          <t>Sec. 3 Digital Twin: Pillars, p. 1140 (PDF page 4)</t>
        </is>
      </c>
      <c r="E255" s="49" t="inlineStr">
        <is>
          <t>Y</t>
        </is>
      </c>
    </row>
    <row r="256">
      <c r="A256" s="49" t="inlineStr">
        <is>
          <t>R0203</t>
        </is>
      </c>
      <c r="B256" s="49" t="inlineStr">
        <is>
          <t>FT_INCLUDE</t>
        </is>
      </c>
      <c r="C256" s="49" t="inlineStr">
        <is>
          <t>Using the digital twin of the warehouse (created via GIS software and CAD imports), we conducted simulations to assess: Optimal AMR paths for material transport, Zones of high human-robot interaction (shared working space)</t>
        </is>
      </c>
      <c r="D256" s="49" t="inlineStr">
        <is>
          <t>Materials and Methods, IV. Case Study Application, 2. Simulation Goals and Methodology (PDF p.4 = journal p.218)</t>
        </is>
      </c>
      <c r="E256" s="49" t="inlineStr">
        <is>
          <t>Y</t>
        </is>
      </c>
    </row>
    <row r="257">
      <c r="A257" s="49" t="inlineStr">
        <is>
          <t>R0203</t>
        </is>
      </c>
      <c r="B257" s="49" t="inlineStr">
        <is>
          <t>FT_INCLUDE</t>
        </is>
      </c>
      <c r="C257" s="49" t="inlineStr">
        <is>
          <t>The selected facility is a 7000 m2 warehouse that supports a production plant manufacturing automotive component. Its internal logistics process involves material movement between receiving docks, storage zones, production lines, and dispatch areas.</t>
        </is>
      </c>
      <c r="D257" s="49" t="inlineStr">
        <is>
          <t>Materials and Methods, IV. Case Study Application, 1. Operational Scenario and Layout (PDF p.3 = journal p.217)</t>
        </is>
      </c>
      <c r="E257" s="49" t="inlineStr">
        <is>
          <t>Y</t>
        </is>
      </c>
    </row>
    <row r="258">
      <c r="A258" s="49" t="inlineStr">
        <is>
          <t>R0203</t>
        </is>
      </c>
      <c r="B258" s="49" t="inlineStr">
        <is>
          <t>FT_INCLUDE</t>
        </is>
      </c>
      <c r="C258" s="49" t="inlineStr">
        <is>
          <t>Following SGEM recommendations, the simulation incorporated multiple AI-driven control systems, allowing for adaptive decision-making: Path Planning Algorithms: Dynamic shortest-path calculation using A*, D*, and probabilistic roadmaps adapted to real-time sensor feedback</t>
        </is>
      </c>
      <c r="D258" s="49" t="inlineStr">
        <is>
          <t>Materials and Methods, II. AI Algorithms Integrated into AMR Simulation (PDF p.3 = journal p.217)</t>
        </is>
      </c>
      <c r="E258" s="49" t="inlineStr">
        <is>
          <t>Y</t>
        </is>
      </c>
    </row>
    <row r="259">
      <c r="A259" s="49" t="inlineStr">
        <is>
          <t>R0203</t>
        </is>
      </c>
      <c r="B259" s="49" t="inlineStr">
        <is>
          <t>FT_INCLUDE</t>
        </is>
      </c>
      <c r="C259" s="49" t="inlineStr">
        <is>
          <t>Moreover, in high-traffic simulations, the system's machine learning algorithms adapted routing to avoid repeat exposure to dynamic hazard zones - such as unloading zones with manual pallet jacks.</t>
        </is>
      </c>
      <c r="D259" s="49" t="inlineStr">
        <is>
          <t>Materials and Methods, IV. Case Study Application, 3. Key Outcomes (PDF p.4 = journal p.218)</t>
        </is>
      </c>
      <c r="E259" s="49" t="inlineStr">
        <is>
          <t>Y</t>
        </is>
      </c>
    </row>
    <row r="260">
      <c r="A260" s="49" t="inlineStr">
        <is>
          <t>R0203</t>
        </is>
      </c>
      <c r="B260" s="49" t="inlineStr">
        <is>
          <t>FT_INCLUDE</t>
        </is>
      </c>
      <c r="C260" s="49" t="inlineStr">
        <is>
          <t>Ergonomic risk mapping identified zones with historically high injury rates, primarily linked to manual pallet handling, tight-space forklift maneuvering, and prolonged seated driving with repetitive neck-torso motion - all tasks targeted for full automation by AMRs.</t>
        </is>
      </c>
      <c r="D260" s="49" t="inlineStr">
        <is>
          <t>Results, II. Ergonomics and Human-Robot Interaction Improvements (PDF p.5 = journal p.219)</t>
        </is>
      </c>
      <c r="E260" s="49" t="inlineStr">
        <is>
          <t>Y</t>
        </is>
      </c>
    </row>
    <row r="261">
      <c r="A261" s="49" t="inlineStr">
        <is>
          <t>R0203</t>
        </is>
      </c>
      <c r="B261" s="49" t="inlineStr">
        <is>
          <t>FT_INCLUDE</t>
        </is>
      </c>
      <c r="C261" s="49" t="inlineStr">
        <is>
          <t>Human-Robot Interaction (HRI) protocols, including controlled speed, transparent motion, and multimodal safety alerts, contributed to safer shared workspaces and improved operator trust</t>
        </is>
      </c>
      <c r="D261" s="49" t="inlineStr">
        <is>
          <t>Conclusion (PDF p.7 = journal p.221)</t>
        </is>
      </c>
      <c r="E261" s="49" t="inlineStr">
        <is>
          <t>Y</t>
        </is>
      </c>
    </row>
    <row r="262">
      <c r="A262" s="49" t="inlineStr">
        <is>
          <t>R0221</t>
        </is>
      </c>
      <c r="B262" s="49" t="inlineStr">
        <is>
          <t>FT_INCLUDE</t>
        </is>
      </c>
      <c r="C262" s="49" t="inlineStr">
        <is>
          <t>This component includes creating an FM-driven DT for each machine within the physical plant. These DTs act as virtual counterparts to physical operations, allowing for in-depth analysis and virtual testing of production processes without interrupting production lines</t>
        </is>
      </c>
      <c r="D262" s="49" t="inlineStr">
        <is>
          <t>6.1. FM-powered DT</t>
        </is>
      </c>
      <c r="E262" s="49" t="inlineStr">
        <is>
          <t>Y</t>
        </is>
      </c>
    </row>
    <row r="263">
      <c r="A263" s="49" t="inlineStr">
        <is>
          <t>R0221</t>
        </is>
      </c>
      <c r="B263" s="49" t="inlineStr">
        <is>
          <t>FT_INCLUDE</t>
        </is>
      </c>
      <c r="C263" s="49" t="inlineStr">
        <is>
          <t>The KBS model harnesses the advanced capabilities of the fine-tuned AI kernel and provides expert knowledge, diagnostics, and predictions that influence DT's behavior or outcomes</t>
        </is>
      </c>
      <c r="D263" s="49" t="inlineStr">
        <is>
          <t>6.2.2. Components of the technical framework</t>
        </is>
      </c>
      <c r="E263" s="49" t="inlineStr">
        <is>
          <t>Y</t>
        </is>
      </c>
    </row>
    <row r="264">
      <c r="A264" s="49" t="inlineStr">
        <is>
          <t>R0221</t>
        </is>
      </c>
      <c r="B264" s="49" t="inlineStr">
        <is>
          <t>FT_INCLUDE</t>
        </is>
      </c>
      <c r="C264" s="49" t="inlineStr">
        <is>
          <t>The AI kernel, a centralized decision engine, is a key component of the system. It leverages the refined LLM to gain predictive insights and make decisions based on real-time data streams</t>
        </is>
      </c>
      <c r="D264" s="49" t="inlineStr">
        <is>
          <t>6.2.2. Components of the technical framework</t>
        </is>
      </c>
      <c r="E264" s="49" t="inlineStr">
        <is>
          <t>Y</t>
        </is>
      </c>
    </row>
    <row r="265">
      <c r="A265" s="49" t="inlineStr">
        <is>
          <t>R0221</t>
        </is>
      </c>
      <c r="B265" s="49" t="inlineStr">
        <is>
          <t>FT_INCLUDE</t>
        </is>
      </c>
      <c r="C265" s="49" t="inlineStr">
        <is>
          <t>This paper analyzes these improvements and looks at them through the SCOR components by modeling and extending them: plan, source, make, deliver, return, and enable</t>
        </is>
      </c>
      <c r="D265" s="49" t="inlineStr">
        <is>
          <t>5. FMs for LSCM (Table 1: AI Tools in LSCM via SCOR Model)</t>
        </is>
      </c>
      <c r="E265" s="49" t="inlineStr">
        <is>
          <t>Y</t>
        </is>
      </c>
    </row>
    <row r="266">
      <c r="A266" s="49" t="inlineStr">
        <is>
          <t>R0221</t>
        </is>
      </c>
      <c r="B266" s="49" t="inlineStr">
        <is>
          <t>FT_INCLUDE</t>
        </is>
      </c>
      <c r="C266" s="49" t="inlineStr">
        <is>
          <t>Surrogate simulations, closely aligned with the concept of DT, support design and development activities and enable engineers to evaluate and optimize performance in a virtual environment.</t>
        </is>
      </c>
      <c r="D266" s="49" t="inlineStr">
        <is>
          <t>7. An implementation</t>
        </is>
      </c>
      <c r="E266" s="49" t="inlineStr">
        <is>
          <t>Y</t>
        </is>
      </c>
    </row>
    <row r="267">
      <c r="A267" s="49" t="inlineStr">
        <is>
          <t>R0221</t>
        </is>
      </c>
      <c r="B267" s="49" t="inlineStr">
        <is>
          <t>FT_INCLUDE</t>
        </is>
      </c>
      <c r="C267" s="49" t="inlineStr">
        <is>
          <t>While FMs threaten to disrupt traditional workflows, human expertise remains essential to monitor ethical compliance, interpret complex scenarios, and make strategic decisions.</t>
        </is>
      </c>
      <c r="D267" s="49" t="inlineStr">
        <is>
          <t>9. Discussion</t>
        </is>
      </c>
      <c r="E267" s="49" t="inlineStr">
        <is>
          <t>Y</t>
        </is>
      </c>
    </row>
    <row r="268">
      <c r="A268" s="49" t="inlineStr">
        <is>
          <t>R0223</t>
        </is>
      </c>
      <c r="B268" s="49" t="inlineStr">
        <is>
          <t>FT_INCLUDE</t>
        </is>
      </c>
      <c r="C268" s="49" t="inlineStr">
        <is>
          <t>Fig. 2 illustrates the three-layer architecture of the proposed digital twin framework for demand prediction. The Physical World layer (bottom) depicts real-world entities like customers and distribution centers, with data collected through IoT sensors and ERP systems.</t>
        </is>
      </c>
      <c r="D268" s="49" t="inlineStr">
        <is>
          <t>3. Digital twin development</t>
        </is>
      </c>
      <c r="E268" s="49" t="inlineStr">
        <is>
          <t>Y</t>
        </is>
      </c>
    </row>
    <row r="269">
      <c r="A269" s="49" t="inlineStr">
        <is>
          <t>R0223</t>
        </is>
      </c>
      <c r="B269" s="49" t="inlineStr">
        <is>
          <t>FT_INCLUDE</t>
        </is>
      </c>
      <c r="C269" s="49" t="inlineStr">
        <is>
          <t>A real industrial case a company is presented in this section, that manufactures glass and plastic products, established 50 years ago in collaboration with a bank, is examined.</t>
        </is>
      </c>
      <c r="D269" s="49" t="inlineStr">
        <is>
          <t>4. Digital twin conceptualization in a case problem</t>
        </is>
      </c>
      <c r="E269" s="49" t="inlineStr">
        <is>
          <t>Y</t>
        </is>
      </c>
    </row>
    <row r="270">
      <c r="A270" s="49" t="inlineStr">
        <is>
          <t>R0223</t>
        </is>
      </c>
      <c r="B270" s="49" t="inlineStr">
        <is>
          <t>FT_INCLUDE</t>
        </is>
      </c>
      <c r="C270" s="49" t="inlineStr">
        <is>
          <t>the predictive core of the proposed digital twin employs scikit-learn's (v1.1.2) ElasticNet regression (α = 0.5, l1_ratio = 0.7) as the primary algorithm, trained on 18 months of historical data from the case study company</t>
        </is>
      </c>
      <c r="D270" s="49" t="inlineStr">
        <is>
          <t>3.1. Data-driven framework</t>
        </is>
      </c>
      <c r="E270" s="49" t="inlineStr">
        <is>
          <t>Y</t>
        </is>
      </c>
    </row>
    <row r="271">
      <c r="A271" s="49" t="inlineStr">
        <is>
          <t>R0223</t>
        </is>
      </c>
      <c r="B271" s="49" t="inlineStr">
        <is>
          <t>FT_INCLUDE</t>
        </is>
      </c>
      <c r="C271" s="49" t="inlineStr">
        <is>
          <t>Hence, the system automatically triggers increasing production at F2 (shown in Table 3's state change), rerouting shipments from F1 (evident in reduced outflows), and adjusting safety stock parameters (Table 2).</t>
        </is>
      </c>
      <c r="D271" s="49" t="inlineStr">
        <is>
          <t>4.2. Digital model and results</t>
        </is>
      </c>
      <c r="E271" s="49" t="inlineStr">
        <is>
          <t>Y</t>
        </is>
      </c>
    </row>
    <row r="272">
      <c r="A272" s="49" t="inlineStr">
        <is>
          <t>R0223</t>
        </is>
      </c>
      <c r="B272" s="49" t="inlineStr">
        <is>
          <t>FT_INCLUDE</t>
        </is>
      </c>
      <c r="C272" s="49" t="inlineStr">
        <is>
          <t>The proposed approach includes fundamental steps such as design, implementation, monitoring, and evaluation of the DT model, in which all main stakeholders, such as supply chain managers, actively participate.</t>
        </is>
      </c>
      <c r="D272" s="49" t="inlineStr">
        <is>
          <t>4.2. Digital model and results</t>
        </is>
      </c>
      <c r="E272" s="49" t="inlineStr">
        <is>
          <t>Y</t>
        </is>
      </c>
    </row>
    <row r="273">
      <c r="A273" s="49" t="inlineStr">
        <is>
          <t>R0223</t>
        </is>
      </c>
      <c r="B273" s="49" t="inlineStr">
        <is>
          <t>FT_INCLUDE</t>
        </is>
      </c>
      <c r="C273" s="49" t="inlineStr">
        <is>
          <t>In this final step, the output data is reported to the planning unit, and the results are integrated with existing systems (such as logistics and warehousing units), which are typically managed using ERP systems.</t>
        </is>
      </c>
      <c r="D273" s="49" t="inlineStr">
        <is>
          <t>3.1. Data-driven framework (Step 6)</t>
        </is>
      </c>
      <c r="E273" s="49" t="inlineStr">
        <is>
          <t>Y</t>
        </is>
      </c>
    </row>
    <row r="274">
      <c r="A274" s="49" t="inlineStr">
        <is>
          <t>R0233</t>
        </is>
      </c>
      <c r="B274" s="49" t="inlineStr">
        <is>
          <t>NOT_RETRIEVED</t>
        </is>
      </c>
      <c r="C274" s="49" t="inlineStr">
        <is>
          <t>This paper proposes a novel approach, Digital Twin (DT)-driven reinforcement learning (RL) for dynamic path planning of automated guided vehicles (AGVs) systems.</t>
        </is>
      </c>
      <c r="D274" s="49" t="inlineStr">
        <is>
          <t>Abstract (only part visible; not usable for coding)</t>
        </is>
      </c>
      <c r="E274" s="49" t="inlineStr">
        <is>
          <t>Y</t>
        </is>
      </c>
    </row>
    <row r="275">
      <c r="A275" s="49" t="inlineStr">
        <is>
          <t>R0233</t>
        </is>
      </c>
      <c r="B275" s="49" t="inlineStr">
        <is>
          <t>NOT_RETRIEVED</t>
        </is>
      </c>
      <c r="C275" s="49" t="inlineStr">
        <is>
          <t>The complex real-world path planning problem is represented as a Markov Decision Process (MDP) and a DT-based Q learning algorithm that can solve the represented path planning problem is proposed.</t>
        </is>
      </c>
      <c r="D275" s="49" t="inlineStr">
        <is>
          <t>Abstract (only part visible; not usable for coding)</t>
        </is>
      </c>
      <c r="E275" s="49" t="inlineStr">
        <is>
          <t>Y</t>
        </is>
      </c>
    </row>
    <row r="276">
      <c r="A276" s="49" t="inlineStr">
        <is>
          <t>R0233</t>
        </is>
      </c>
      <c r="B276" s="49" t="inlineStr">
        <is>
          <t>NOT_RETRIEVED</t>
        </is>
      </c>
      <c r="C276" s="49" t="inlineStr">
        <is>
          <t>To validate the effectiveness and adaptability of the proposed approach, a system is implemented and applied to an actual manufacturing site.</t>
        </is>
      </c>
      <c r="D276" s="49" t="inlineStr">
        <is>
          <t>Abstract (only part visible; not usable for coding)</t>
        </is>
      </c>
      <c r="E276" s="49" t="inlineStr">
        <is>
          <t>Y</t>
        </is>
      </c>
    </row>
    <row r="277">
      <c r="A277" s="49" t="inlineStr">
        <is>
          <t>R0233</t>
        </is>
      </c>
      <c r="B277" s="49" t="inlineStr">
        <is>
          <t>NOT_RETRIEVED</t>
        </is>
      </c>
      <c r="C277" s="49" t="inlineStr">
        <is>
          <t>This is a preview of subscription content, log in via an institution to check access.</t>
        </is>
      </c>
      <c r="D277" s="49" t="inlineStr">
        <is>
          <t>Body placeholder, immediately after the Abstract (paywall marker on the Hull-proxied Springer page after waiting 8 s)</t>
        </is>
      </c>
      <c r="E277" s="49" t="inlineStr">
        <is>
          <t>Y</t>
        </is>
      </c>
    </row>
    <row r="278">
      <c r="A278" s="49" t="inlineStr">
        <is>
          <t>R0233</t>
        </is>
      </c>
      <c r="B278" s="49" t="inlineStr">
        <is>
          <t>NOT_RETRIEVED</t>
        </is>
      </c>
      <c r="C278" s="49" t="inlineStr">
        <is>
          <t>Wanted document is access protected until 2027-01-01 !</t>
        </is>
      </c>
      <c r="D278" s="49" t="inlineStr">
        <is>
          <t>HAL file URL https://inria.hal.science/hal-05283256/document (the only open-access copy, embargoed)</t>
        </is>
      </c>
      <c r="E278" s="49" t="inlineStr">
        <is>
          <t>Y</t>
        </is>
      </c>
    </row>
    <row r="279">
      <c r="A279" s="49" t="inlineStr">
        <is>
          <t>R0237</t>
        </is>
      </c>
      <c r="B279" s="49" t="inlineStr">
        <is>
          <t>FT_INCLUDE</t>
        </is>
      </c>
      <c r="C279" s="49" t="inlineStr">
        <is>
          <t>implementing a CDT architecture in food supply chains, able to handle multiple data-sources and conflicting goals under uncertainties, combining a DT framework, a lean, agile, resilient, and green (LARG) index and value stream mapping</t>
        </is>
      </c>
      <c r="D279" s="49" t="inlineStr">
        <is>
          <t>Abstract (p. 1)</t>
        </is>
      </c>
      <c r="E279" s="49" t="inlineStr">
        <is>
          <t>Y</t>
        </is>
      </c>
    </row>
    <row r="280">
      <c r="A280" s="49" t="inlineStr">
        <is>
          <t>R0237</t>
        </is>
      </c>
      <c r="B280" s="49" t="inlineStr">
        <is>
          <t>FT_INCLUDE</t>
        </is>
      </c>
      <c r="C280" s="49" t="inlineStr">
        <is>
          <t>The DT domain deals with establishing the connection between the IIoT devices and the multi-objective optimization engine, through a virtual model that relies on the VSM model and on the LARG index.</t>
        </is>
      </c>
      <c r="D280" s="49" t="inlineStr">
        <is>
          <t>3.3 Defining a CDT architecture (p. 8)</t>
        </is>
      </c>
      <c r="E280" s="49" t="inlineStr">
        <is>
          <t>Y</t>
        </is>
      </c>
    </row>
    <row r="281">
      <c r="A281" s="49" t="inlineStr">
        <is>
          <t>R0237</t>
        </is>
      </c>
      <c r="B281" s="49" t="inlineStr">
        <is>
          <t>FT_INCLUDE</t>
        </is>
      </c>
      <c r="C281" s="49" t="inlineStr">
        <is>
          <t>the decision maker interacts at DT domain level defining the VSM model and selecting the optimal solution among the ones delivered by the multi-objective optimization engine.</t>
        </is>
      </c>
      <c r="D281" s="49" t="inlineStr">
        <is>
          <t>3.3 Defining a CDT architecture (p. 8)</t>
        </is>
      </c>
      <c r="E281" s="49" t="inlineStr">
        <is>
          <t>Y</t>
        </is>
      </c>
    </row>
    <row r="282">
      <c r="A282" s="49" t="inlineStr">
        <is>
          <t>R0237</t>
        </is>
      </c>
      <c r="B282" s="49" t="inlineStr">
        <is>
          <t>FT_INCLUDE</t>
        </is>
      </c>
      <c r="C282" s="49" t="inlineStr">
        <is>
          <t>Doing so he provides a semantic description to the top-level ontology within the CDT domain and trains the machine learning engine towards a sufficient level of confidentiality to perform autonomously decision actions.</t>
        </is>
      </c>
      <c r="D282" s="49" t="inlineStr">
        <is>
          <t>3.3 Defining a CDT architecture (p. 8)</t>
        </is>
      </c>
      <c r="E282" s="49" t="inlineStr">
        <is>
          <t>Y</t>
        </is>
      </c>
    </row>
    <row r="283">
      <c r="A283" s="49" t="inlineStr">
        <is>
          <t>R0237</t>
        </is>
      </c>
      <c r="B283" s="49" t="inlineStr">
        <is>
          <t>FT_INCLUDE</t>
        </is>
      </c>
      <c r="C283" s="49" t="inlineStr">
        <is>
          <t>the models could get back to the user when they are not confident enough about their prediction. This should reduce the risk of inappropriate decisions from a CDT and allow human-machine co-piloting of a food supply chain.</t>
        </is>
      </c>
      <c r="D283" s="49" t="inlineStr">
        <is>
          <t>4.2 Outlining a machine-learning aided decision-making system (p. 10)</t>
        </is>
      </c>
      <c r="E283" s="49" t="inlineStr">
        <is>
          <t>Y</t>
        </is>
      </c>
    </row>
    <row r="284">
      <c r="A284" s="49" t="inlineStr">
        <is>
          <t>R0237</t>
        </is>
      </c>
      <c r="B284" s="49" t="inlineStr">
        <is>
          <t>FT_INCLUDE</t>
        </is>
      </c>
      <c r="C284" s="49" t="inlineStr">
        <is>
          <t>Applying a Selective Classification implies an obvious trade-off between accuracy and the percentage of abstentions which, in the DSS4LCO initiative, translates into the amount of decisional independence of the CDT framework.</t>
        </is>
      </c>
      <c r="D284" s="49" t="inlineStr">
        <is>
          <t>4.2 Outlining a machine-learning aided decision-making system (p. 10)</t>
        </is>
      </c>
      <c r="E284" s="49" t="inlineStr">
        <is>
          <t>Y</t>
        </is>
      </c>
    </row>
    <row r="285">
      <c r="A285" s="49" t="inlineStr">
        <is>
          <t>R0249</t>
        </is>
      </c>
      <c r="B285" s="49" t="inlineStr">
        <is>
          <t>FT_INCLUDE</t>
        </is>
      </c>
      <c r="C285" s="49" t="inlineStr">
        <is>
          <t>This paper integrated digital twins with reinforcement learning algorithms to investigate the logistics of torpedoes and hot metal ladles.</t>
        </is>
      </c>
      <c r="D285" s="49" t="inlineStr">
        <is>
          <t>Abstract (p. 37)</t>
        </is>
      </c>
      <c r="E285" s="49" t="inlineStr">
        <is>
          <t>Y</t>
        </is>
      </c>
    </row>
    <row r="286">
      <c r="A286" s="49" t="inlineStr">
        <is>
          <t>R0249</t>
        </is>
      </c>
      <c r="B286" s="49" t="inlineStr">
        <is>
          <t>FT_INCLUDE</t>
        </is>
      </c>
      <c r="C286" s="49" t="inlineStr">
        <is>
          <t>A digital environment was set up to simulate torpedo operations, as shown in Fig. 4. This environment represents a simplified version of torpedo movements, including the blast furnace, buffers, and BOS plant.</t>
        </is>
      </c>
      <c r="D286" s="49" t="inlineStr">
        <is>
          <t>4 Results (p. 39); figure caption reads "Fig. 4 Digital twin for the torpedo operation"</t>
        </is>
      </c>
      <c r="E286" s="49" t="inlineStr">
        <is>
          <t>Y</t>
        </is>
      </c>
    </row>
    <row r="287">
      <c r="A287" s="49" t="inlineStr">
        <is>
          <t>R0249</t>
        </is>
      </c>
      <c r="B287" s="49" t="inlineStr">
        <is>
          <t>FT_INCLUDE</t>
        </is>
      </c>
      <c r="C287" s="49" t="inlineStr">
        <is>
          <t>The hot metal ladles cycles in the digital twin were compared with the actual data and process. It showed a good agreement, with a maximum average difference of eight minutes, demonstrating its potential use in optimizing hot metal ladle logistics.</t>
        </is>
      </c>
      <c r="D287" s="49" t="inlineStr">
        <is>
          <t>4 Results (p. 40)</t>
        </is>
      </c>
      <c r="E287" s="49" t="inlineStr">
        <is>
          <t>Y</t>
        </is>
      </c>
    </row>
    <row r="288">
      <c r="A288" s="49" t="inlineStr">
        <is>
          <t>R0249</t>
        </is>
      </c>
      <c r="B288" s="49" t="inlineStr">
        <is>
          <t>FT_INCLUDE</t>
        </is>
      </c>
      <c r="C288" s="49" t="inlineStr">
        <is>
          <t>Reinforcement learning models (Table 1) were then used in the digital environment. The agents were responsible not only for selecting the most thermally suitable ladle and torpedo but also for optimizing the entire hot metal route.</t>
        </is>
      </c>
      <c r="D288" s="49" t="inlineStr">
        <is>
          <t>4 Results (p. 40)</t>
        </is>
      </c>
      <c r="E288" s="49" t="inlineStr">
        <is>
          <t>Y</t>
        </is>
      </c>
    </row>
    <row r="289">
      <c r="A289" s="49" t="inlineStr">
        <is>
          <t>R0249</t>
        </is>
      </c>
      <c r="B289" s="49" t="inlineStr">
        <is>
          <t>FT_INCLUDE</t>
        </is>
      </c>
      <c r="C289" s="49" t="inlineStr">
        <is>
          <t>Currently, most decisions are made by human operators and involve a significant amount of data, multiple factors, constraints, and conflicting objectives, which add complexity to the decision-making process.</t>
        </is>
      </c>
      <c r="D289" s="49" t="inlineStr">
        <is>
          <t>1 Introduction (p. 37)</t>
        </is>
      </c>
      <c r="E289" s="49" t="inlineStr">
        <is>
          <t>Y</t>
        </is>
      </c>
    </row>
    <row r="290">
      <c r="A290" s="49" t="inlineStr">
        <is>
          <t>R0249</t>
        </is>
      </c>
      <c r="B290" s="49" t="inlineStr">
        <is>
          <t>FT_INCLUDE</t>
        </is>
      </c>
      <c r="C290" s="49" t="inlineStr">
        <is>
          <t>RL systems can be adapted to diverse problem domains without explicit human expertise as they learn from experiences and feedback over time</t>
        </is>
      </c>
      <c r="D290" s="49" t="inlineStr">
        <is>
          <t>3.3 Optimization Algorithms (p. 39)</t>
        </is>
      </c>
      <c r="E290" s="49" t="inlineStr">
        <is>
          <t>Y</t>
        </is>
      </c>
    </row>
    <row r="291">
      <c r="A291" s="49" t="inlineStr">
        <is>
          <t>R0252</t>
        </is>
      </c>
      <c r="B291" s="49" t="inlineStr">
        <is>
          <t>FT_INCLUDE</t>
        </is>
      </c>
      <c r="C291" s="49" t="inlineStr">
        <is>
          <t>the proposed DT consists of the Physical System (PS), which represents the real-world production–distribution processes, and the digital counterpart, denoted as Cyber System (CS), which is the virtual replica of the PS.</t>
        </is>
      </c>
      <c r="D291" s="49" t="inlineStr">
        <is>
          <t>3. Digital twin model</t>
        </is>
      </c>
      <c r="E291" s="49" t="inlineStr">
        <is>
          <t>Y</t>
        </is>
      </c>
    </row>
    <row r="292">
      <c r="A292" s="49" t="inlineStr">
        <is>
          <t>R0252</t>
        </is>
      </c>
      <c r="B292" s="49" t="inlineStr">
        <is>
          <t>FT_INCLUDE</t>
        </is>
      </c>
      <c r="C292" s="49" t="inlineStr">
        <is>
          <t>Our focus is on the warehouse, which needs to issue orders to the supplier to satisfy the demand for raw materials from the production plant.</t>
        </is>
      </c>
      <c r="D292" s="49" t="inlineStr">
        <is>
          <t>2. Problem statement</t>
        </is>
      </c>
      <c r="E292" s="49" t="inlineStr">
        <is>
          <t>Y</t>
        </is>
      </c>
    </row>
    <row r="293">
      <c r="A293" s="49" t="inlineStr">
        <is>
          <t>R0252</t>
        </is>
      </c>
      <c r="B293" s="49" t="inlineStr">
        <is>
          <t>FT_INCLUDE</t>
        </is>
      </c>
      <c r="C293" s="49" t="inlineStr">
        <is>
          <t>the CS consists of a combination of a simulation model, data analytics with the Moving Average (MA) technique, an Artificial Neural Network (ANN) as an ML model, and Particle Swarm Optimization (PSO) as a metaheuristic algorithm for the optimization procedure.</t>
        </is>
      </c>
      <c r="D293" s="49" t="inlineStr">
        <is>
          <t>3. Digital twin model</t>
        </is>
      </c>
      <c r="E293" s="49" t="inlineStr">
        <is>
          <t>Y</t>
        </is>
      </c>
    </row>
    <row r="294">
      <c r="A294" s="49" t="inlineStr">
        <is>
          <t>R0252</t>
        </is>
      </c>
      <c r="B294" s="49" t="inlineStr">
        <is>
          <t>FT_INCLUDE</t>
        </is>
      </c>
      <c r="C294" s="49" t="inlineStr">
        <is>
          <t>Then, the two surrogate models are integrated into a PSO metaheuristic to select the optimal replenishment parameters that minimize the provided objective function.</t>
        </is>
      </c>
      <c r="D294" s="49" t="inlineStr">
        <is>
          <t>3.2. Cyber system</t>
        </is>
      </c>
      <c r="E294" s="49" t="inlineStr">
        <is>
          <t>Y</t>
        </is>
      </c>
    </row>
    <row r="295">
      <c r="A295" s="49" t="inlineStr">
        <is>
          <t>R0252</t>
        </is>
      </c>
      <c r="B295" s="49" t="inlineStr">
        <is>
          <t>FT_INCLUDE</t>
        </is>
      </c>
      <c r="C295" s="49" t="inlineStr">
        <is>
          <t>the digital twin learns from the real production–distribution data and periodically self-adjusts the replenishment parameters based on the evolution of the external environment.</t>
        </is>
      </c>
      <c r="D295" s="49" t="inlineStr">
        <is>
          <t>Abstract</t>
        </is>
      </c>
      <c r="E295" s="49" t="inlineStr">
        <is>
          <t>Y</t>
        </is>
      </c>
    </row>
    <row r="296">
      <c r="A296" s="49" t="inlineStr">
        <is>
          <t>R0252</t>
        </is>
      </c>
      <c r="B296" s="49" t="inlineStr">
        <is>
          <t>FT_INCLUDE</t>
        </is>
      </c>
      <c r="C296" s="49" t="inlineStr">
        <is>
          <t>The optimal triplet of parameters determined by the PSO is then utilized in the PS.</t>
        </is>
      </c>
      <c r="D296" s="49" t="inlineStr">
        <is>
          <t>3.2. Cyber system</t>
        </is>
      </c>
      <c r="E296" s="49" t="inlineStr">
        <is>
          <t>Y</t>
        </is>
      </c>
    </row>
    <row r="297">
      <c r="A297" s="49" t="inlineStr">
        <is>
          <t>R0253</t>
        </is>
      </c>
      <c r="B297" s="49" t="inlineStr">
        <is>
          <t>NOT_RETRIEVED</t>
        </is>
      </c>
      <c r="C297" s="49" t="inlineStr">
        <is>
          <t>This study focuses on the implementation of a DT in a railway train manufacturing plant. Specifically, this study discusses the use of object detection through instance segmentation to track train body parts, particularly underframes.</t>
        </is>
      </c>
      <c r="D297" s="49" t="inlineStr">
        <is>
          <t>Abstract (only part visible; not usable for coding)</t>
        </is>
      </c>
      <c r="E297" s="49" t="inlineStr">
        <is>
          <t>Y</t>
        </is>
      </c>
    </row>
    <row r="298">
      <c r="A298" s="49" t="inlineStr">
        <is>
          <t>R0253</t>
        </is>
      </c>
      <c r="B298" s="49" t="inlineStr">
        <is>
          <t>NOT_RETRIEVED</t>
        </is>
      </c>
      <c r="C298" s="49" t="inlineStr">
        <is>
          <t>Using this method, manufacturers can identify status changes in each production process, enabling them to facilitate work-in-process logistics within factory workstations.</t>
        </is>
      </c>
      <c r="D298" s="49" t="inlineStr">
        <is>
          <t>Abstract (only part visible; not usable for coding)</t>
        </is>
      </c>
      <c r="E298" s="49" t="inlineStr">
        <is>
          <t>Y</t>
        </is>
      </c>
    </row>
    <row r="299">
      <c r="A299" s="49" t="inlineStr">
        <is>
          <t>R0253</t>
        </is>
      </c>
      <c r="B299" s="49" t="inlineStr">
        <is>
          <t>NOT_RETRIEVED</t>
        </is>
      </c>
      <c r="C299" s="49" t="inlineStr">
        <is>
          <t>These technologies allow for the automatic creation and consolidation of key production and logistics information, resulting in improved manufacturing productivity.</t>
        </is>
      </c>
      <c r="D299" s="49" t="inlineStr">
        <is>
          <t>Abstract (only part visible; not usable for coding)</t>
        </is>
      </c>
      <c r="E299" s="49" t="inlineStr">
        <is>
          <t>Y</t>
        </is>
      </c>
    </row>
    <row r="300">
      <c r="A300" s="49" t="inlineStr">
        <is>
          <t>R0253</t>
        </is>
      </c>
      <c r="B300" s="49" t="inlineStr">
        <is>
          <t>NOT_RETRIEVED</t>
        </is>
      </c>
      <c r="C300" s="49" t="inlineStr">
        <is>
          <t>This is a preview of subscription content, log in via an institution to check access.</t>
        </is>
      </c>
      <c r="D300" s="49" t="inlineStr">
        <is>
          <t>Body placeholder, immediately after the Abstract (paywall marker on the Hull-proxied Springer page after waiting 8 s)</t>
        </is>
      </c>
      <c r="E300" s="49" t="inlineStr">
        <is>
          <t>Y</t>
        </is>
      </c>
    </row>
    <row r="301">
      <c r="A301" s="49" t="inlineStr">
        <is>
          <t>R0253</t>
        </is>
      </c>
      <c r="B301" s="49" t="inlineStr">
        <is>
          <t>NOT_RETRIEVED</t>
        </is>
      </c>
      <c r="C301" s="49" t="inlineStr">
        <is>
          <t>Wanted document is access protected until 2027-01-01 !</t>
        </is>
      </c>
      <c r="D301" s="49" t="inlineStr">
        <is>
          <t>HAL file URL https://inria.hal.science/hal-05283247/document (the only open-access copy, embargoed)</t>
        </is>
      </c>
      <c r="E301" s="49" t="inlineStr">
        <is>
          <t>Y</t>
        </is>
      </c>
    </row>
    <row r="302">
      <c r="A302" s="49" t="inlineStr">
        <is>
          <t>R0270</t>
        </is>
      </c>
      <c r="B302" s="49" t="inlineStr">
        <is>
          <t>FT_INCLUDE</t>
        </is>
      </c>
      <c r="C302" s="49" t="inlineStr">
        <is>
          <t>This work implemented the system framework in the Aalto Industrial Internet Campus (AIIC), which is a factory-scale lab containing autonomous robots, an overhead crane, and network infrastructures.</t>
        </is>
      </c>
      <c r="D302" s="49" t="inlineStr">
        <is>
          <t>V. System Implementation (p. 5)</t>
        </is>
      </c>
      <c r="E302" s="49" t="inlineStr">
        <is>
          <t>Y</t>
        </is>
      </c>
    </row>
    <row r="303">
      <c r="A303" s="49" t="inlineStr">
        <is>
          <t>R0270</t>
        </is>
      </c>
      <c r="B303" s="49" t="inlineStr">
        <is>
          <t>FT_INCLUDE</t>
        </is>
      </c>
      <c r="C303" s="49" t="inlineStr">
        <is>
          <t>This paper presents a detailed implementation of the proposed system framework and validates it through a practical in-plant logistics transport use case.</t>
        </is>
      </c>
      <c r="D303" s="49" t="inlineStr">
        <is>
          <t>Abstract (p. 2)</t>
        </is>
      </c>
      <c r="E303" s="49" t="inlineStr">
        <is>
          <t>Y</t>
        </is>
      </c>
    </row>
    <row r="304">
      <c r="A304" s="49" t="inlineStr">
        <is>
          <t>R0270</t>
        </is>
      </c>
      <c r="B304" s="49" t="inlineStr">
        <is>
          <t>FT_INCLUDE</t>
        </is>
      </c>
      <c r="C304" s="49" t="inlineStr">
        <is>
          <t>In-plant logistics, distinct from fully automated systems, frequently require human intervention both on-site and for remote supervision. This study selects the in-plant logistics scenario as a testbed to demonstrate the applicability of the proposed framework.</t>
        </is>
      </c>
      <c r="D304" s="49" t="inlineStr">
        <is>
          <t>VI. Case Study: In-plant Logistics (p. 5)</t>
        </is>
      </c>
      <c r="E304" s="49" t="inlineStr">
        <is>
          <t>Y</t>
        </is>
      </c>
    </row>
    <row r="305">
      <c r="A305" s="49" t="inlineStr">
        <is>
          <t>R0270</t>
        </is>
      </c>
      <c r="B305" s="49" t="inlineStr">
        <is>
          <t>FT_INCLUDE</t>
        </is>
      </c>
      <c r="C305" s="49" t="inlineStr">
        <is>
          <t>The AI Engine incorporates ChatGPT-4 as its core AI model, with LangChain providing seamless connectivity to data sources within the Knowledge Engine's graph database.</t>
        </is>
      </c>
      <c r="D305" s="49" t="inlineStr">
        <is>
          <t>V. System Implementation (p. 5)</t>
        </is>
      </c>
      <c r="E305" s="49" t="inlineStr">
        <is>
          <t>Y</t>
        </is>
      </c>
    </row>
    <row r="306">
      <c r="A306" s="49" t="inlineStr">
        <is>
          <t>R0270</t>
        </is>
      </c>
      <c r="B306" s="49" t="inlineStr">
        <is>
          <t>FT_INCLUDE</t>
        </is>
      </c>
      <c r="C306" s="49" t="inlineStr">
        <is>
          <t>To bridge this gap, we introduce a Retrieval Augmented Generation (RAG) approach, which combines LLMs with external knowledge bases to improve their outputs.</t>
        </is>
      </c>
      <c r="D306" s="49" t="inlineStr">
        <is>
          <t>VI.C.2 Information Retrieval (p. 6)</t>
        </is>
      </c>
      <c r="E306" s="49" t="inlineStr">
        <is>
          <t>check</t>
        </is>
      </c>
    </row>
    <row r="307">
      <c r="A307" s="49" t="inlineStr">
        <is>
          <t>R0270</t>
        </is>
      </c>
      <c r="B307" s="49" t="inlineStr">
        <is>
          <t>FT_INCLUDE</t>
        </is>
      </c>
      <c r="C307" s="49" t="inlineStr">
        <is>
          <t>while the proposed DT architecture emphasizes providing advanced interfaces and real-time insights to end users to facilitate informed decision-making, it falls short of fully integrating human behavior into the system for more adaptive control</t>
        </is>
      </c>
      <c r="D307" s="49" t="inlineStr">
        <is>
          <t>VII. Discussion and Limitation (p. 8)</t>
        </is>
      </c>
      <c r="E307" s="49" t="inlineStr">
        <is>
          <t>Y</t>
        </is>
      </c>
    </row>
    <row r="308">
      <c r="A308" s="49" t="inlineStr">
        <is>
          <t>R0272</t>
        </is>
      </c>
      <c r="B308" s="49" t="inlineStr">
        <is>
          <t>FT_INCLUDE</t>
        </is>
      </c>
      <c r="C308" s="49" t="inlineStr">
        <is>
          <t>To fill this gap, we develop a SC digital twin which incorporates simulation, optimisation, and machine learning to minimise the impact of lead time and demand disruptions on SC performance.</t>
        </is>
      </c>
      <c r="D308" s="49" t="inlineStr">
        <is>
          <t>2.4 Digital twins for production</t>
        </is>
      </c>
      <c r="E308" s="49" t="inlineStr">
        <is>
          <t>Y</t>
        </is>
      </c>
    </row>
    <row r="309">
      <c r="A309" s="49" t="inlineStr">
        <is>
          <t>R0272</t>
        </is>
      </c>
      <c r="B309" s="49" t="inlineStr">
        <is>
          <t>FT_INCLUDE</t>
        </is>
      </c>
      <c r="C309" s="49" t="inlineStr">
        <is>
          <t>Figure 2 captures the essence of digital twins with the flow of data between the physical supply chain and the digital model equivalent and back.</t>
        </is>
      </c>
      <c r="D309" s="49" t="inlineStr">
        <is>
          <t>3.1 Hybrid modelling framework</t>
        </is>
      </c>
      <c r="E309" s="49" t="inlineStr">
        <is>
          <t>Y</t>
        </is>
      </c>
    </row>
    <row r="310">
      <c r="A310" s="49" t="inlineStr">
        <is>
          <t>R0272</t>
        </is>
      </c>
      <c r="B310" s="49" t="inlineStr">
        <is>
          <t>FT_INCLUDE</t>
        </is>
      </c>
      <c r="C310" s="49" t="inlineStr">
        <is>
          <t>As it was shown in Figure 1, in this study, a two-echelon SC with 2 manufacturers and 3 DCs which supply 5 products to 6 customers is considered.</t>
        </is>
      </c>
      <c r="D310" s="49" t="inlineStr">
        <is>
          <t>3.1.2 Simulation model</t>
        </is>
      </c>
      <c r="E310" s="49" t="inlineStr">
        <is>
          <t>Y</t>
        </is>
      </c>
    </row>
    <row r="311">
      <c r="A311" s="49" t="inlineStr">
        <is>
          <t>R0272</t>
        </is>
      </c>
      <c r="B311" s="49" t="inlineStr">
        <is>
          <t>FT_INCLUDE</t>
        </is>
      </c>
      <c r="C311" s="49" t="inlineStr">
        <is>
          <t>We employ the CART algorithm in the Scikit-learn library to structure the inventory management knowledge obtained from the training dataset into a decision tree. The 10-fold cross-validation method is used to validate the results.</t>
        </is>
      </c>
      <c r="D311" s="49" t="inlineStr">
        <is>
          <t>5.1 Insights on inventory management using the decision tree algorithm</t>
        </is>
      </c>
      <c r="E311" s="49" t="inlineStr">
        <is>
          <t>Y</t>
        </is>
      </c>
    </row>
    <row r="312">
      <c r="A312" s="49" t="inlineStr">
        <is>
          <t>R0272</t>
        </is>
      </c>
      <c r="B312" s="49" t="inlineStr">
        <is>
          <t>FT_INCLUDE</t>
        </is>
      </c>
      <c r="C312" s="49" t="inlineStr">
        <is>
          <t>The decision maker defines the minimum inventory levels of products at SC members into an optimisation model where the SC master plan is determined (feature (b)).</t>
        </is>
      </c>
      <c r="D312" s="49" t="inlineStr">
        <is>
          <t>3.1 Hybrid modelling framework</t>
        </is>
      </c>
      <c r="E312" s="49" t="inlineStr">
        <is>
          <t>Y</t>
        </is>
      </c>
    </row>
    <row r="313">
      <c r="A313" s="49" t="inlineStr">
        <is>
          <t>R0272</t>
        </is>
      </c>
      <c r="B313" s="49" t="inlineStr">
        <is>
          <t>FT_INCLUDE</t>
        </is>
      </c>
      <c r="C313" s="49" t="inlineStr">
        <is>
          <t>In turn, the SC master plan which consists of the optimal production, storage and distribution decisions is outputted to the physical SC for execution.</t>
        </is>
      </c>
      <c r="D313" s="49" t="inlineStr">
        <is>
          <t>3.1 Hybrid modelling framework</t>
        </is>
      </c>
      <c r="E313" s="49" t="inlineStr">
        <is>
          <t>Y</t>
        </is>
      </c>
    </row>
    <row r="314">
      <c r="A314" s="49" t="inlineStr">
        <is>
          <t>R0273</t>
        </is>
      </c>
      <c r="B314" s="49" t="inlineStr">
        <is>
          <t>FT_INCLUDE</t>
        </is>
      </c>
      <c r="C314" s="49" t="inlineStr">
        <is>
          <t>the digital twin always behaves synchronously with its real counterpart, and they influence each other. It mirrors both the state and the performance of the real system and can also send control signals back to the real system.</t>
        </is>
      </c>
      <c r="D314" s="49" t="inlineStr">
        <is>
          <t>1. Introduction</t>
        </is>
      </c>
      <c r="E314" s="49" t="inlineStr">
        <is>
          <t>Y</t>
        </is>
      </c>
    </row>
    <row r="315">
      <c r="A315" s="49" t="inlineStr">
        <is>
          <t>R0273</t>
        </is>
      </c>
      <c r="B315" s="49" t="inlineStr">
        <is>
          <t>FT_INCLUDE</t>
        </is>
      </c>
      <c r="C315" s="49" t="inlineStr">
        <is>
          <t>We define the seven major elements of a digital twin in SCOM: technology, people, management, organisation, scope, task, and modelling. We also distinguish five major types of digital twins in SCOM: product, process, organisation, supply chain and network-of-networks.</t>
        </is>
      </c>
      <c r="D315" s="49" t="inlineStr">
        <is>
          <t>Abstract</t>
        </is>
      </c>
      <c r="E315" s="49" t="inlineStr">
        <is>
          <t>Y</t>
        </is>
      </c>
    </row>
    <row r="316">
      <c r="A316" s="49" t="inlineStr">
        <is>
          <t>R0273</t>
        </is>
      </c>
      <c r="B316" s="49" t="inlineStr">
        <is>
          <t>FT_INCLUDE</t>
        </is>
      </c>
      <c r="C316" s="49" t="inlineStr">
        <is>
          <t>Optimisation, discrete-event simulation, neural networks, machine and reinforcement learning, agent-based modelling and system dynamics allow for the implementation of the full variety of descriptive, predictive and prescriptive algorithms in SCOM.</t>
        </is>
      </c>
      <c r="D316" s="49" t="inlineStr">
        <is>
          <t>3. Framing the research landscape – Modelling</t>
        </is>
      </c>
      <c r="E316" s="49" t="inlineStr">
        <is>
          <t>Y</t>
        </is>
      </c>
    </row>
    <row r="317">
      <c r="A317" s="49" t="inlineStr">
        <is>
          <t>R0273</t>
        </is>
      </c>
      <c r="B317" s="49" t="inlineStr">
        <is>
          <t>FT_INCLUDE</t>
        </is>
      </c>
      <c r="C317" s="49" t="inlineStr">
        <is>
          <t>Analytics capabilities are the backbone of digital twins. Modelling can presume decision-making support (final decisions with humans) or decision-making by AI.</t>
        </is>
      </c>
      <c r="D317" s="49" t="inlineStr">
        <is>
          <t>3. Framing the research landscape – Modelling</t>
        </is>
      </c>
      <c r="E317" s="49" t="inlineStr">
        <is>
          <t>Y</t>
        </is>
      </c>
    </row>
    <row r="318">
      <c r="A318" s="49" t="inlineStr">
        <is>
          <t>R0273</t>
        </is>
      </c>
      <c r="B318" s="49" t="inlineStr">
        <is>
          <t>FT_INCLUDE</t>
        </is>
      </c>
      <c r="C318" s="49" t="inlineStr">
        <is>
          <t>Digital twins can also consider the competence of making decisions (e.g. placing orders in an inventory control system). Most centrally, digital twins offer real-time, data-driven decision-making support.</t>
        </is>
      </c>
      <c r="D318" s="49" t="inlineStr">
        <is>
          <t>3. Framing the research landscape – People</t>
        </is>
      </c>
      <c r="E318" s="49" t="inlineStr">
        <is>
          <t>Y</t>
        </is>
      </c>
    </row>
    <row r="319">
      <c r="A319" s="49" t="inlineStr">
        <is>
          <t>R0273</t>
        </is>
      </c>
      <c r="B319" s="49" t="inlineStr">
        <is>
          <t>FT_INCLUDE</t>
        </is>
      </c>
      <c r="C319" s="49" t="inlineStr">
        <is>
          <t>The seven elements show that digital twins in SCOM are not merely a simulation-based replica of a real object but a complex sociotechnical phenomenon involving continuous human–artificial intelligence interactions.</t>
        </is>
      </c>
      <c r="D319" s="49" t="inlineStr">
        <is>
          <t>5. Conclusion</t>
        </is>
      </c>
      <c r="E319" s="49" t="inlineStr">
        <is>
          <t>Y</t>
        </is>
      </c>
    </row>
    <row r="320">
      <c r="A320" s="49" t="inlineStr">
        <is>
          <t>R0289</t>
        </is>
      </c>
      <c r="B320" s="49" t="inlineStr">
        <is>
          <t>FT_EXCLUDE</t>
        </is>
      </c>
      <c r="C320" s="49" t="inlineStr">
        <is>
          <t>The demand for carbon dioxide is predicted through artificial intelligence technology, and carbon capture is conducted according to the prediction results</t>
        </is>
      </c>
      <c r="D320" s="49" t="inlineStr">
        <is>
          <t>Abstract (p. 1)</t>
        </is>
      </c>
      <c r="E320" s="49" t="inlineStr">
        <is>
          <t>Y</t>
        </is>
      </c>
    </row>
    <row r="321">
      <c r="A321" s="49" t="inlineStr">
        <is>
          <t>R0289</t>
        </is>
      </c>
      <c r="B321" s="49" t="inlineStr">
        <is>
          <t>FT_EXCLUDE</t>
        </is>
      </c>
      <c r="C321" s="49" t="inlineStr">
        <is>
          <t>realizes the accurate evaluation, standardized management, visual real-time early warning, personalized analysis, intelligent decision-making and fine control of the whole process of agricultural CCUS supply chain</t>
        </is>
      </c>
      <c r="D321" s="49" t="inlineStr">
        <is>
          <t>Abstract (p. 1)</t>
        </is>
      </c>
      <c r="E321" s="49" t="inlineStr">
        <is>
          <t>Y</t>
        </is>
      </c>
    </row>
    <row r="322">
      <c r="A322" s="49" t="inlineStr">
        <is>
          <t>R0289</t>
        </is>
      </c>
      <c r="B322" s="49" t="inlineStr">
        <is>
          <t>FT_EXCLUDE</t>
        </is>
      </c>
      <c r="C322" s="49" t="inlineStr">
        <is>
          <t>a typical model of deep reinforcement learning, namely deep Q learning network (DQN), is used as the basis. To enable the DQN controller to meet control requirements, the DQN controller needs to constantly interact with the thermal process environment</t>
        </is>
      </c>
      <c r="D322" s="49" t="inlineStr">
        <is>
          <t>2. Material and Methods (p. 2)</t>
        </is>
      </c>
      <c r="E322" s="49" t="inlineStr">
        <is>
          <t>Y</t>
        </is>
      </c>
    </row>
    <row r="323">
      <c r="A323" s="49" t="inlineStr">
        <is>
          <t>R0289</t>
        </is>
      </c>
      <c r="B323" s="49" t="inlineStr">
        <is>
          <t>FT_EXCLUDE</t>
        </is>
      </c>
      <c r="C323" s="49" t="inlineStr">
        <is>
          <t>the data amount of each cycle running of the system can be recorded in the server without manual participation in the process</t>
        </is>
      </c>
      <c r="D323" s="49" t="inlineStr">
        <is>
          <t>2. Material and Methods (p. 2)</t>
        </is>
      </c>
      <c r="E323" s="49" t="inlineStr">
        <is>
          <t>Y</t>
        </is>
      </c>
    </row>
    <row r="324">
      <c r="A324" s="49" t="inlineStr">
        <is>
          <t>R0289</t>
        </is>
      </c>
      <c r="B324" s="49" t="inlineStr">
        <is>
          <t>FT_EXCLUDE</t>
        </is>
      </c>
      <c r="C324" s="49" t="inlineStr">
        <is>
          <t>The purpose of this design is to provide a self-learning and self-deployment system based on the field of CCUS, real-time data collection of different modules, and through the self-analysis ability to give the optimization scheme</t>
        </is>
      </c>
      <c r="D324" s="49" t="inlineStr">
        <is>
          <t>3. Results (p. 3)</t>
        </is>
      </c>
      <c r="E324" s="49" t="inlineStr">
        <is>
          <t>Y</t>
        </is>
      </c>
    </row>
    <row r="325">
      <c r="A325" s="49" t="inlineStr">
        <is>
          <t>R0289</t>
        </is>
      </c>
      <c r="B325" s="49" t="inlineStr">
        <is>
          <t>FT_EXCLUDE</t>
        </is>
      </c>
      <c r="C325" s="49" t="inlineStr">
        <is>
          <t>In the process of experimental design and verification, we found that digital empowerment is extremely advantageous in this field.</t>
        </is>
      </c>
      <c r="D325" s="49" t="inlineStr">
        <is>
          <t>5. Conclusions (p. 4)</t>
        </is>
      </c>
      <c r="E325" s="49" t="inlineStr">
        <is>
          <t>Y</t>
        </is>
      </c>
    </row>
    <row r="326">
      <c r="A326" s="49" t="inlineStr">
        <is>
          <t>R0291</t>
        </is>
      </c>
      <c r="B326" s="49" t="inlineStr">
        <is>
          <t>FT_INCLUDE</t>
        </is>
      </c>
      <c r="C326" s="49" t="inlineStr">
        <is>
          <t>To achieve the digital twinning of the warehouse, the physical layout and equipment are cloned in the digital space.</t>
        </is>
      </c>
      <c r="D326" s="49" t="inlineStr">
        <is>
          <t>Sect. 3.1 Problem scenario (Architecture of digital twinning with MR and AI)</t>
        </is>
      </c>
      <c r="E326" s="49" t="inlineStr">
        <is>
          <t>Y</t>
        </is>
      </c>
    </row>
    <row r="327">
      <c r="A327" s="49" t="inlineStr">
        <is>
          <t>R0291</t>
        </is>
      </c>
      <c r="B327" s="49" t="inlineStr">
        <is>
          <t>FT_INCLUDE</t>
        </is>
      </c>
      <c r="C327" s="49" t="inlineStr">
        <is>
          <t>In this research, an integrated deep learning object recognition application in a DT scenario using an MR device was developed as a prototype for a warehouse.</t>
        </is>
      </c>
      <c r="D327" s="49" t="inlineStr">
        <is>
          <t>Sect. 6 Conclusions</t>
        </is>
      </c>
      <c r="E327" s="49" t="inlineStr">
        <is>
          <t>Y</t>
        </is>
      </c>
    </row>
    <row r="328">
      <c r="A328" s="49" t="inlineStr">
        <is>
          <t>R0291</t>
        </is>
      </c>
      <c r="B328" s="49" t="inlineStr">
        <is>
          <t>FT_INCLUDE</t>
        </is>
      </c>
      <c r="C328" s="49" t="inlineStr">
        <is>
          <t>In the DT framework, we propose to adopt the YOLOv5-s [52] model for object detection in order to achieve a higher detection rate with fewer parameters for edge computing.</t>
        </is>
      </c>
      <c r="D328" s="49" t="inlineStr">
        <is>
          <t>Sect. 4.1 Design of object recognition model</t>
        </is>
      </c>
      <c r="E328" s="49" t="inlineStr">
        <is>
          <t>Y</t>
        </is>
      </c>
    </row>
    <row r="329">
      <c r="A329" s="49" t="inlineStr">
        <is>
          <t>R0291</t>
        </is>
      </c>
      <c r="B329" s="49" t="inlineStr">
        <is>
          <t>FT_INCLUDE</t>
        </is>
      </c>
      <c r="C329" s="49" t="inlineStr">
        <is>
          <t>The AI model returns the object's position with a bounding box and the confidence of detection in percentage if any of the targeted objects, such as a helmet, head, person, or package, is detected.</t>
        </is>
      </c>
      <c r="D329" s="49" t="inlineStr">
        <is>
          <t>Sect. 4.3 Integration of object recognition application, MR and DT</t>
        </is>
      </c>
      <c r="E329" s="49" t="inlineStr">
        <is>
          <t>Y</t>
        </is>
      </c>
    </row>
    <row r="330">
      <c r="A330" s="49" t="inlineStr">
        <is>
          <t>R0291</t>
        </is>
      </c>
      <c r="B330" s="49" t="inlineStr">
        <is>
          <t>FT_INCLUDE</t>
        </is>
      </c>
      <c r="C330" s="49" t="inlineStr">
        <is>
          <t>The AI algorithm can then forecast system conditions such as high loading risk, logistic delay projections, inventory placement conflict prediction, and so on, and integrate them into the dashboard for further processing.</t>
        </is>
      </c>
      <c r="D330" s="49" t="inlineStr">
        <is>
          <t>Sect. 3.4 Information system integration for business workflow</t>
        </is>
      </c>
      <c r="E330" s="49" t="inlineStr">
        <is>
          <t>Y</t>
        </is>
      </c>
    </row>
    <row r="331">
      <c r="A331" s="49" t="inlineStr">
        <is>
          <t>R0291</t>
        </is>
      </c>
      <c r="B331" s="49" t="inlineStr">
        <is>
          <t>FT_INCLUDE</t>
        </is>
      </c>
      <c r="C331" s="49" t="inlineStr">
        <is>
          <t>Through AI-powered data processing and MR-assisted interaction with items, the proposed integrated system can enable operators to recognize items and relieve their decision load.</t>
        </is>
      </c>
      <c r="D331" s="49" t="inlineStr">
        <is>
          <t>Sect. 1 Introduction</t>
        </is>
      </c>
      <c r="E331" s="49" t="inlineStr">
        <is>
          <t>Y</t>
        </is>
      </c>
    </row>
    <row r="332">
      <c r="A332" s="49" t="inlineStr">
        <is>
          <t>R0295</t>
        </is>
      </c>
      <c r="B332" s="49" t="inlineStr">
        <is>
          <t>NOT_RETRIEVED</t>
        </is>
      </c>
      <c r="C332" s="49" t="inlineStr">
        <is>
          <t>This paper presents an approach towards realising the concept of Digital Twin via the xAOSF/AOSR framework, utilising state-of-the-art semantic modelling and analytical industrial tools.</t>
        </is>
      </c>
      <c r="D332" s="49" t="inlineStr">
        <is>
          <t>Abstract (only part visible; not usable for coding)</t>
        </is>
      </c>
      <c r="E332" s="49" t="inlineStr">
        <is>
          <t>Y</t>
        </is>
      </c>
    </row>
    <row r="333">
      <c r="A333" s="49" t="inlineStr">
        <is>
          <t>R0295</t>
        </is>
      </c>
      <c r="B333" s="49" t="inlineStr">
        <is>
          <t>NOT_RETRIEVED</t>
        </is>
      </c>
      <c r="C333" s="49" t="inlineStr">
        <is>
          <t>a Cyber-Physical Systems (CPS)-based, Agent Oriented Smart Factory (xAOSF) framework presents an over-arching SC architecture, with an associated Agent Oriented Storage and Retrieval (AOSR) based warehouse management strategy</t>
        </is>
      </c>
      <c r="D333" s="49" t="inlineStr">
        <is>
          <t>Abstract (only part visible; not usable for coding)</t>
        </is>
      </c>
      <c r="E333" s="49" t="inlineStr">
        <is>
          <t>Y</t>
        </is>
      </c>
    </row>
    <row r="334">
      <c r="A334" s="49" t="inlineStr">
        <is>
          <t>R0295</t>
        </is>
      </c>
      <c r="B334" s="49" t="inlineStr">
        <is>
          <t>NOT_RETRIEVED</t>
        </is>
      </c>
      <c r="C334" s="49" t="inlineStr">
        <is>
          <t>This is a preview of subscription content, log in via an institution to check access.</t>
        </is>
      </c>
      <c r="D334" s="49" t="inlineStr">
        <is>
          <t>Landing page, immediately after the Abstract (paywall marker shown on the Hull-proxied page link-springer-com.hull.idm.oclc.org)</t>
        </is>
      </c>
      <c r="E334" s="49" t="inlineStr">
        <is>
          <t>Y</t>
        </is>
      </c>
    </row>
    <row r="335">
      <c r="A335" s="49" t="inlineStr">
        <is>
          <t>R0298</t>
        </is>
      </c>
      <c r="B335" s="49" t="inlineStr">
        <is>
          <t>FT_INCLUDE</t>
        </is>
      </c>
      <c r="C335" s="49" t="inlineStr">
        <is>
          <t>Therefore, in this study, we develop a SC digital twin framework that integrates simulation and machine learning. Figure 1 shows the developed SC digital twin framework.</t>
        </is>
      </c>
      <c r="D335" s="49" t="inlineStr">
        <is>
          <t>4. SC digital twin</t>
        </is>
      </c>
      <c r="E335" s="49" t="inlineStr">
        <is>
          <t>Y</t>
        </is>
      </c>
    </row>
    <row r="336">
      <c r="A336" s="49" t="inlineStr">
        <is>
          <t>R0298</t>
        </is>
      </c>
      <c r="B336" s="49" t="inlineStr">
        <is>
          <t>FT_INCLUDE</t>
        </is>
      </c>
      <c r="C336" s="49" t="inlineStr">
        <is>
          <t>Finally, the inventory and cash replenishment policies are outputted to the physical SC to inform decision making of the firms.</t>
        </is>
      </c>
      <c r="D336" s="49" t="inlineStr">
        <is>
          <t>4. SC digital twin (Figure 1 framework paragraph)</t>
        </is>
      </c>
      <c r="E336" s="49" t="inlineStr">
        <is>
          <t>Y</t>
        </is>
      </c>
    </row>
    <row r="337">
      <c r="A337" s="49" t="inlineStr">
        <is>
          <t>R0298</t>
        </is>
      </c>
      <c r="B337" s="49" t="inlineStr">
        <is>
          <t>FT_INCLUDE</t>
        </is>
      </c>
      <c r="C337" s="49" t="inlineStr">
        <is>
          <t>In this study, a single-product serial SC is considered. This is a three-echelon SC with one manufacturer, one wholesaler, and one retailer, see Figure 2. This represents a typical FMCG SC.</t>
        </is>
      </c>
      <c r="D337" s="49" t="inlineStr">
        <is>
          <t>4.2. SC structure and simulation model</t>
        </is>
      </c>
      <c r="E337" s="49" t="inlineStr">
        <is>
          <t>Y</t>
        </is>
      </c>
    </row>
    <row r="338">
      <c r="A338" s="49" t="inlineStr">
        <is>
          <t>R0298</t>
        </is>
      </c>
      <c r="B338" s="49" t="inlineStr">
        <is>
          <t>FT_INCLUDE</t>
        </is>
      </c>
      <c r="C338" s="49" t="inlineStr">
        <is>
          <t>To obtain the cash management knowledge from the training dataset and structure it through a decision tree, we employ the CART algorithm in the Scikit-learn library. The 10-fold cross-validation method is used to validate the results.</t>
        </is>
      </c>
      <c r="D338" s="49" t="inlineStr">
        <is>
          <t>5.2.2. Accuracy of the decision-tree algorithm</t>
        </is>
      </c>
      <c r="E338" s="49" t="inlineStr">
        <is>
          <t>Y</t>
        </is>
      </c>
    </row>
    <row r="339">
      <c r="A339" s="49" t="inlineStr">
        <is>
          <t>R0298</t>
        </is>
      </c>
      <c r="B339" s="49" t="inlineStr">
        <is>
          <t>FT_INCLUDE</t>
        </is>
      </c>
      <c r="C339" s="49" t="inlineStr">
        <is>
          <t>The research seeks to provide guidelines to assist decision-makers in setting out inventory and cash replenishment policies by generating decision rules. This helps the decision-makers in understanding the decision making process.</t>
        </is>
      </c>
      <c r="D339" s="49" t="inlineStr">
        <is>
          <t>4.1. Machine learning and decision tree algorithms</t>
        </is>
      </c>
      <c r="E339" s="49" t="inlineStr">
        <is>
          <t>Y</t>
        </is>
      </c>
    </row>
    <row r="340">
      <c r="A340" s="49" t="inlineStr">
        <is>
          <t>R0298</t>
        </is>
      </c>
      <c r="B340" s="49" t="inlineStr">
        <is>
          <t>FT_INCLUDE</t>
        </is>
      </c>
      <c r="C340" s="49" t="inlineStr">
        <is>
          <t>will allow practitioners not just to have a tool set to explore disruptions [...] but to standardise ways of working for on going planning rather than having to continually manually search for solutions.</t>
        </is>
      </c>
      <c r="D340" s="49" t="inlineStr">
        <is>
          <t>6.2. Managerial implications</t>
        </is>
      </c>
      <c r="E340" s="49" t="inlineStr">
        <is>
          <t>Y</t>
        </is>
      </c>
    </row>
    <row r="341">
      <c r="A341" s="49" t="inlineStr">
        <is>
          <t>R0299</t>
        </is>
      </c>
      <c r="B341" s="49" t="inlineStr">
        <is>
          <t>FT_INCLUDE</t>
        </is>
      </c>
      <c r="C341" s="49" t="inlineStr">
        <is>
          <t>This research presents a novel approach to integrate human-based operations with AMR to generate a real-time digital twin of automated warehouses.</t>
        </is>
      </c>
      <c r="D341" s="49" t="inlineStr">
        <is>
          <t>Abstract (p. 1)</t>
        </is>
      </c>
      <c r="E341" s="49" t="inlineStr">
        <is>
          <t>Y</t>
        </is>
      </c>
    </row>
    <row r="342">
      <c r="A342" s="49" t="inlineStr">
        <is>
          <t>R0299</t>
        </is>
      </c>
      <c r="B342" s="49" t="inlineStr">
        <is>
          <t>FT_INCLUDE</t>
        </is>
      </c>
      <c r="C342" s="49" t="inlineStr">
        <is>
          <t>For model development, we employed linear and second-degree polynomial regression techniques. Linear regression assumes a linear relationship, while polynomial regression accommodates non-linear patterns.</t>
        </is>
      </c>
      <c r="D342" s="49" t="inlineStr">
        <is>
          <t>IX. Methodology (p. 5)</t>
        </is>
      </c>
      <c r="E342" s="49" t="inlineStr">
        <is>
          <t>Y</t>
        </is>
      </c>
    </row>
    <row r="343">
      <c r="A343" s="49" t="inlineStr">
        <is>
          <t>R0299</t>
        </is>
      </c>
      <c r="B343" s="49" t="inlineStr">
        <is>
          <t>FT_INCLUDE</t>
        </is>
      </c>
      <c r="C343" s="49" t="inlineStr">
        <is>
          <t>Conversely, the polynomial regression model exhibited superior performance by attaining a Root Mean Square Error (RMSE) value of 14.72 seconds.</t>
        </is>
      </c>
      <c r="D343" s="49" t="inlineStr">
        <is>
          <t>IX.D Model validation (p. 7)</t>
        </is>
      </c>
      <c r="E343" s="49" t="inlineStr">
        <is>
          <t>Y</t>
        </is>
      </c>
    </row>
    <row r="344">
      <c r="A344" s="49" t="inlineStr">
        <is>
          <t>R0299</t>
        </is>
      </c>
      <c r="B344" s="49" t="inlineStr">
        <is>
          <t>FT_INCLUDE</t>
        </is>
      </c>
      <c r="C344" s="49" t="inlineStr">
        <is>
          <t>The present study introduces a significant alteration in the methodology employed, wherein a bespoke heuristic function is employed to direct the A* algorithm, which is specifically tailored to suit a warehouse layout that is based on a grid system.</t>
        </is>
      </c>
      <c r="D344" s="49" t="inlineStr">
        <is>
          <t>VII.B Application of the A* algorithm (p. 4)</t>
        </is>
      </c>
      <c r="E344" s="49" t="inlineStr">
        <is>
          <t>Y</t>
        </is>
      </c>
    </row>
    <row r="345">
      <c r="A345" s="49" t="inlineStr">
        <is>
          <t>R0299</t>
        </is>
      </c>
      <c r="B345" s="49" t="inlineStr">
        <is>
          <t>FT_INCLUDE</t>
        </is>
      </c>
      <c r="C345" s="49" t="inlineStr">
        <is>
          <t>Once the ETA of the vehicle aligns with the projected duration for processing the order, the order is authorised for immediate execution.</t>
        </is>
      </c>
      <c r="D345" s="49" t="inlineStr">
        <is>
          <t>III.A Order management (p. 2)</t>
        </is>
      </c>
      <c r="E345" s="49" t="inlineStr">
        <is>
          <t>Y</t>
        </is>
      </c>
    </row>
    <row r="346">
      <c r="A346" s="49" t="inlineStr">
        <is>
          <t>R0299</t>
        </is>
      </c>
      <c r="B346" s="49" t="inlineStr">
        <is>
          <t>FT_INCLUDE</t>
        </is>
      </c>
      <c r="C346" s="49" t="inlineStr">
        <is>
          <t>Notwithstanding the considerable degree of automation, human labourers play a crucial role in specific tasks, including the loading and unloading of cargo, the manual inspection of goods, and the management of exceptional scenarios.</t>
        </is>
      </c>
      <c r="D346" s="49" t="inlineStr">
        <is>
          <t>VI. Integration of Dynamic Layouts and Human Operations (p. 3)</t>
        </is>
      </c>
      <c r="E346" s="49" t="inlineStr">
        <is>
          <t>Y</t>
        </is>
      </c>
    </row>
    <row r="347">
      <c r="A347" s="49" t="inlineStr">
        <is>
          <t>R0306</t>
        </is>
      </c>
      <c r="B347" s="49" t="inlineStr">
        <is>
          <t>FT_INCLUDE</t>
        </is>
      </c>
      <c r="C347" s="49" t="inlineStr">
        <is>
          <t>First, we defined an RL environment, modeled it, and validated its ability to simulate a real physical system.</t>
        </is>
      </c>
      <c r="D347" s="49" t="inlineStr">
        <is>
          <t>Abstract</t>
        </is>
      </c>
      <c r="E347" s="49" t="inlineStr">
        <is>
          <t>Y</t>
        </is>
      </c>
    </row>
    <row r="348">
      <c r="A348" s="49" t="inlineStr">
        <is>
          <t>R0306</t>
        </is>
      </c>
      <c r="B348" s="49" t="inlineStr">
        <is>
          <t>FT_INCLUDE</t>
        </is>
      </c>
      <c r="C348" s="49" t="inlineStr">
        <is>
          <t>The stocker simulation model was used to validate the effectiveness of RL. The model is a storage device that simulates logistics in a manufacturing production area.</t>
        </is>
      </c>
      <c r="D348" s="49" t="inlineStr">
        <is>
          <t>Abstract</t>
        </is>
      </c>
      <c r="E348" s="49" t="inlineStr">
        <is>
          <t>Y</t>
        </is>
      </c>
    </row>
    <row r="349">
      <c r="A349" s="49" t="inlineStr">
        <is>
          <t>R0306</t>
        </is>
      </c>
      <c r="B349" s="49" t="inlineStr">
        <is>
          <t>FT_INCLUDE</t>
        </is>
      </c>
      <c r="C349" s="49" t="inlineStr">
        <is>
          <t>The simulation environment that is validated in this study is a component of a production line that produces battery management systems.</t>
        </is>
      </c>
      <c r="D349" s="49" t="inlineStr">
        <is>
          <t>4.1 Simulation Environment</t>
        </is>
      </c>
      <c r="E349" s="49" t="inlineStr">
        <is>
          <t>Y</t>
        </is>
      </c>
    </row>
    <row r="350">
      <c r="A350" s="49" t="inlineStr">
        <is>
          <t>R0306</t>
        </is>
      </c>
      <c r="B350" s="49" t="inlineStr">
        <is>
          <t>FT_INCLUDE</t>
        </is>
      </c>
      <c r="C350" s="49" t="inlineStr">
        <is>
          <t>Stockers operate in conjunction with a logistics automation system to streamline the supply chain process and can perform additional functions such as splitting, merging, and flipping as required.</t>
        </is>
      </c>
      <c r="D350" s="49" t="inlineStr">
        <is>
          <t>2.3 Storage Devices</t>
        </is>
      </c>
      <c r="E350" s="49" t="inlineStr">
        <is>
          <t>Y</t>
        </is>
      </c>
    </row>
    <row r="351">
      <c r="A351" s="49" t="inlineStr">
        <is>
          <t>R0306</t>
        </is>
      </c>
      <c r="B351" s="49" t="inlineStr">
        <is>
          <t>FT_INCLUDE</t>
        </is>
      </c>
      <c r="C351" s="49" t="inlineStr">
        <is>
          <t>To implement RL, we used the PPO algorithm from the Stable-Baseline3 library [31], which is known for its effectiveness in solving numerous problems.</t>
        </is>
      </c>
      <c r="D351" s="49" t="inlineStr">
        <is>
          <t>4.1 Simulation Environment</t>
        </is>
      </c>
      <c r="E351" s="49" t="inlineStr">
        <is>
          <t>Y</t>
        </is>
      </c>
    </row>
    <row r="352">
      <c r="A352" s="49" t="inlineStr">
        <is>
          <t>R0306</t>
        </is>
      </c>
      <c r="B352" s="49" t="inlineStr">
        <is>
          <t>FT_INCLUDE</t>
        </is>
      </c>
      <c r="C352" s="49" t="inlineStr">
        <is>
          <t>Intelligent logistics solutions can reduce the production lead time by calculating optimal routes through machine learning and zero human handling of products and data to promote unmanned factories.</t>
        </is>
      </c>
      <c r="D352" s="49" t="inlineStr">
        <is>
          <t>5. Conclusions</t>
        </is>
      </c>
      <c r="E352" s="49" t="inlineStr">
        <is>
          <t>Y</t>
        </is>
      </c>
    </row>
    <row r="353">
      <c r="A353" s="49" t="inlineStr">
        <is>
          <t>R0309</t>
        </is>
      </c>
      <c r="B353" s="49" t="inlineStr">
        <is>
          <t>FT_INCLUDE</t>
        </is>
      </c>
      <c r="C353" s="49" t="inlineStr">
        <is>
          <t>an iDT – a human–AI system which visualizes physical SCs in digital form, collects and processes data for modelling using analytics methods, mimics human decision-making rules, and creates new knowledge and decision-making algorithms through human–AI collaboration</t>
        </is>
      </c>
      <c r="D353" s="49" t="inlineStr">
        <is>
          <t>2.2 Cognitive digital twins and human–artificial intelligence collaboration (also Abstract, 1 Introduction, 5 Conclusions)</t>
        </is>
      </c>
      <c r="E353" s="49" t="inlineStr">
        <is>
          <t>Y</t>
        </is>
      </c>
    </row>
    <row r="354">
      <c r="A354" s="49" t="inlineStr">
        <is>
          <t>R0309</t>
        </is>
      </c>
      <c r="B354" s="49" t="inlineStr">
        <is>
          <t>FT_INCLUDE</t>
        </is>
      </c>
      <c r="C354" s="49" t="inlineStr">
        <is>
          <t>An iDT describes an SC (e.g. facility locations, demand points, warehouses, suppliers, production and logistics processes). Humans define decision-making and operational practices (e.g. multiple sourcing) as well as decision-making rules and algorithms (e.g. stock replenishment rules).</t>
        </is>
      </c>
      <c r="D354" s="49" t="inlineStr">
        <is>
          <t>4.1 General intelligent digital twin framework</t>
        </is>
      </c>
      <c r="E354" s="49" t="inlineStr">
        <is>
          <t>Y</t>
        </is>
      </c>
    </row>
    <row r="355">
      <c r="A355" s="49" t="inlineStr">
        <is>
          <t>R0309</t>
        </is>
      </c>
      <c r="B355" s="49" t="inlineStr">
        <is>
          <t>FT_INCLUDE</t>
        </is>
      </c>
      <c r="C355" s="49" t="inlineStr">
        <is>
          <t>AI in the iDT can perform traditional expert system tasks (i.e. replicating decision rules coded by humans) and discover their own decision-making rules using training data. AI improves itself and extends the human's metaknowledge.</t>
        </is>
      </c>
      <c r="D355" s="49" t="inlineStr">
        <is>
          <t>4.1 General intelligent digital twin framework</t>
        </is>
      </c>
      <c r="E355" s="49" t="inlineStr">
        <is>
          <t>Y</t>
        </is>
      </c>
    </row>
    <row r="356">
      <c r="A356" s="49" t="inlineStr">
        <is>
          <t>R0309</t>
        </is>
      </c>
      <c r="B356" s="49" t="inlineStr">
        <is>
          <t>FT_INCLUDE</t>
        </is>
      </c>
      <c r="C356" s="49" t="inlineStr">
        <is>
          <t>The iDT concept builds upon traditional digital twins and CDTs explicitly stating that both humans and AI can be knowledge-creating and decision-making units in that they can collaborate, mutually learn from each other, and delegate decision-making tasks to each other.</t>
        </is>
      </c>
      <c r="D356" s="49" t="inlineStr">
        <is>
          <t>4.1 General intelligent digital twin framework</t>
        </is>
      </c>
      <c r="E356" s="49" t="inlineStr">
        <is>
          <t>Y</t>
        </is>
      </c>
    </row>
    <row r="357">
      <c r="A357" s="49" t="inlineStr">
        <is>
          <t>R0309</t>
        </is>
      </c>
      <c r="B357" s="49" t="inlineStr">
        <is>
          <t>FT_INCLUDE</t>
        </is>
      </c>
      <c r="C357" s="49" t="inlineStr">
        <is>
          <t>We stress that iDTs do not aim at fully automated decision making but rather strive for a combination of human and AI from the ‘human in the loop’ perspective, where the ‘human [remains] an integral part of AI decision making’</t>
        </is>
      </c>
      <c r="D357" s="49" t="inlineStr">
        <is>
          <t>4.1 General intelligent digital twin framework</t>
        </is>
      </c>
      <c r="E357" s="49" t="inlineStr">
        <is>
          <t>Y</t>
        </is>
      </c>
    </row>
    <row r="358">
      <c r="A358" s="49" t="inlineStr">
        <is>
          <t>R0309</t>
        </is>
      </c>
      <c r="B358" s="49" t="inlineStr">
        <is>
          <t>FT_INCLUDE</t>
        </is>
      </c>
      <c r="C358" s="49" t="inlineStr">
        <is>
          <t>AI algorithms usually outperform humans in standardized tasks. However, humans have experience and creativity, which create complementary knowledge to AI algorithms for non-standardized situations. Second, human abilities on delegating tasks to others, including AI, depend on their metaknowledge</t>
        </is>
      </c>
      <c r="D358" s="49" t="inlineStr">
        <is>
          <t>4.1 General intelligent digital twin framework</t>
        </is>
      </c>
      <c r="E358" s="49" t="inlineStr">
        <is>
          <t>Y</t>
        </is>
      </c>
    </row>
    <row r="359">
      <c r="A359" s="49" t="inlineStr">
        <is>
          <t>R0321</t>
        </is>
      </c>
      <c r="B359" s="49" t="inlineStr">
        <is>
          <t>FT_EXCLUDE</t>
        </is>
      </c>
      <c r="C359" s="49" t="inlineStr">
        <is>
          <t>DOI: 10.71086/IAJSE/V9I4/IAJSE0928</t>
        </is>
      </c>
      <c r="D359" s="49" t="inlineStr">
        <is>
          <t>Page 1 header (the DOI is printed on the PDF but is unregistered: doi.org returns "DOI NOT FOUND", Crossref and OpenAlex return 404)</t>
        </is>
      </c>
      <c r="E359" s="49" t="inlineStr">
        <is>
          <t>Y</t>
        </is>
      </c>
    </row>
    <row r="360">
      <c r="A360" s="49" t="inlineStr">
        <is>
          <t>R0321</t>
        </is>
      </c>
      <c r="B360" s="49" t="inlineStr">
        <is>
          <t>FT_EXCLUDE</t>
        </is>
      </c>
      <c r="C360" s="49" t="inlineStr">
        <is>
          <t>This work presents a digital twin (DT) technology framework concentrating on dynamic resource allocation in supply chain scheduling.</t>
        </is>
      </c>
      <c r="D360" s="49" t="inlineStr">
        <is>
          <t>Abstract, p. 5</t>
        </is>
      </c>
      <c r="E360" s="49" t="inlineStr">
        <is>
          <t>Y</t>
        </is>
      </c>
    </row>
    <row r="361">
      <c r="A361" s="49" t="inlineStr">
        <is>
          <t>R0321</t>
        </is>
      </c>
      <c r="B361" s="49" t="inlineStr">
        <is>
          <t>FT_EXCLUDE</t>
        </is>
      </c>
      <c r="C361" s="49" t="inlineStr">
        <is>
          <t>The methodology is tested in a simulated manufacturing supply chain environment and evaluated against static scheduling models using Dijkstra's algorithm.</t>
        </is>
      </c>
      <c r="D361" s="49" t="inlineStr">
        <is>
          <t>Abstract, p. 5 (Dijkstra is a shortest-path algorithm, not a scheduling baseline, and it is never mentioned again in the body)</t>
        </is>
      </c>
      <c r="E361" s="49" t="inlineStr">
        <is>
          <t>Y</t>
        </is>
      </c>
    </row>
    <row r="362">
      <c r="A362" s="49" t="inlineStr">
        <is>
          <t>R0321</t>
        </is>
      </c>
      <c r="B362" s="49" t="inlineStr">
        <is>
          <t>FT_EXCLUDE</t>
        </is>
      </c>
      <c r="C362" s="49" t="inlineStr">
        <is>
          <t>Demand, equipment failure, and delivery delays are predicted using machine learning algorithms: decision trees, and recurrent neural networks (RNNs).</t>
        </is>
      </c>
      <c r="D362" s="49" t="inlineStr">
        <is>
          <t>Methodology - Predictive Analytics and Optimization, p. 7 (named but never specified: no architecture, data, training, or evaluation)</t>
        </is>
      </c>
      <c r="E362" s="49" t="inlineStr">
        <is>
          <t>Y</t>
        </is>
      </c>
    </row>
    <row r="363">
      <c r="A363" s="49" t="inlineStr">
        <is>
          <t>R0321</t>
        </is>
      </c>
      <c r="B363" s="49" t="inlineStr">
        <is>
          <t>FT_EXCLUDE</t>
        </is>
      </c>
      <c r="C363" s="49" t="inlineStr">
        <is>
          <t>A simulated supply chain system was created which included a manufacturing plant, two warehouses, and three distribution centers.</t>
        </is>
      </c>
      <c r="D363" s="49" t="inlineStr">
        <is>
          <t>Result and Discussion, p. 7 (the only description of the experiment; no simulation tool, parameters or protocol given)</t>
        </is>
      </c>
      <c r="E363" s="49" t="inlineStr">
        <is>
          <t>Y</t>
        </is>
      </c>
    </row>
    <row r="364">
      <c r="A364" s="49" t="inlineStr">
        <is>
          <t>R0321</t>
        </is>
      </c>
      <c r="B364" s="49" t="inlineStr">
        <is>
          <t>FT_EXCLUDE</t>
        </is>
      </c>
      <c r="C364" s="49" t="inlineStr">
        <is>
          <t>Recommendations from the DT engine are executed via automated orchestration systems that modify procurement, production, and logistics activities workflows.</t>
        </is>
      </c>
      <c r="D364" s="49" t="inlineStr">
        <is>
          <t>Methodology - Feedback Loop and Decision Execution, p. 7 (only quasi-HITL statement; asserts full automation, no human role discussed)</t>
        </is>
      </c>
      <c r="E364" s="49" t="inlineStr">
        <is>
          <t>Y</t>
        </is>
      </c>
    </row>
    <row r="365">
      <c r="A365" s="49" t="inlineStr">
        <is>
          <t>R0322</t>
        </is>
      </c>
      <c r="B365" s="49" t="inlineStr">
        <is>
          <t>FT_INCLUDE</t>
        </is>
      </c>
      <c r="C365" s="49" t="inlineStr">
        <is>
          <t>The objective of this work is to present a new approach to create a machine learning-based digital twin of banana fruit to monitor its quality changes throughout storage.</t>
        </is>
      </c>
      <c r="D365" s="49" t="inlineStr">
        <is>
          <t>Abstract (p.13)</t>
        </is>
      </c>
      <c r="E365" s="49" t="inlineStr">
        <is>
          <t>Y</t>
        </is>
      </c>
    </row>
    <row r="366">
      <c r="A366" s="49" t="inlineStr">
        <is>
          <t>R0322</t>
        </is>
      </c>
      <c r="B366" s="49" t="inlineStr">
        <is>
          <t>FT_INCLUDE</t>
        </is>
      </c>
      <c r="C366" s="49" t="inlineStr">
        <is>
          <t>SAP Intelligent service is used for image classification and prediction of the quality of every single fruit during storage. Similarly, SAP Asset Intelligent Network collects the forecast data and monitors the digital replica of the fruit, and notifies the end-users.</t>
        </is>
      </c>
      <c r="D366" s="49" t="inlineStr">
        <is>
          <t>2. Conceptual Framework (p.16)</t>
        </is>
      </c>
      <c r="E366" s="49" t="inlineStr">
        <is>
          <t>Y</t>
        </is>
      </c>
    </row>
    <row r="367">
      <c r="A367" s="49" t="inlineStr">
        <is>
          <t>R0322</t>
        </is>
      </c>
      <c r="B367" s="49" t="inlineStr">
        <is>
          <t>FT_INCLUDE</t>
        </is>
      </c>
      <c r="C367" s="49" t="inlineStr">
        <is>
          <t>This solution will have a significant impact on the optimization of logistics infrastructures such as warehouses and food distribution centers improving visibility. During inventory operations, the DT can be constantly updated with data collected from food products using this technology.</t>
        </is>
      </c>
      <c r="D367" s="49" t="inlineStr">
        <is>
          <t>2. Conceptual Framework (p.16)</t>
        </is>
      </c>
      <c r="E367" s="49" t="inlineStr">
        <is>
          <t>Y</t>
        </is>
      </c>
    </row>
    <row r="368">
      <c r="A368" s="49" t="inlineStr">
        <is>
          <t>R0322</t>
        </is>
      </c>
      <c r="B368" s="49" t="inlineStr">
        <is>
          <t>FT_INCLUDE</t>
        </is>
      </c>
      <c r="C368" s="49" t="inlineStr">
        <is>
          <t>Thus, the end of training shows promising results with an average training accuracy of 99% and validation accuracy of 99% which indicates the decent performance of the image classifier.</t>
        </is>
      </c>
      <c r="D368" s="49" t="inlineStr">
        <is>
          <t>4. Model Evaluation - Model Performance (p.19)</t>
        </is>
      </c>
      <c r="E368" s="49" t="inlineStr">
        <is>
          <t>Y</t>
        </is>
      </c>
    </row>
    <row r="369">
      <c r="A369" s="49" t="inlineStr">
        <is>
          <t>R0322</t>
        </is>
      </c>
      <c r="B369" s="49" t="inlineStr">
        <is>
          <t>FT_INCLUDE</t>
        </is>
      </c>
      <c r="C369" s="49" t="inlineStr">
        <is>
          <t>FooDT client - Retailer Front-End is a custom responsive Web Application proposed for the end-user [...] to support their decision-making process. Based on this information, the end-user can take action to save the product from loss.</t>
        </is>
      </c>
      <c r="D369" s="49" t="inlineStr">
        <is>
          <t>2. Conceptual Framework (p.16)</t>
        </is>
      </c>
      <c r="E369" s="49" t="inlineStr">
        <is>
          <t>Y</t>
        </is>
      </c>
    </row>
    <row r="370">
      <c r="A370" s="49" t="inlineStr">
        <is>
          <t>R0322</t>
        </is>
      </c>
      <c r="B370" s="49" t="inlineStr">
        <is>
          <t>FT_INCLUDE</t>
        </is>
      </c>
      <c r="C370" s="49" t="inlineStr">
        <is>
          <t>This is a step forward to help stakeholders involving in the fruit supply chain. Because monitoring of the fruit status manually by operators is expensive, tedious, laborious, and inherently unreliable due to its subjective nature.</t>
        </is>
      </c>
      <c r="D370" s="49" t="inlineStr">
        <is>
          <t>4. Model Evaluation (p.19)</t>
        </is>
      </c>
      <c r="E370" s="49" t="inlineStr">
        <is>
          <t>Y</t>
        </is>
      </c>
    </row>
    <row r="371">
      <c r="A371" s="49" t="inlineStr">
        <is>
          <t>R0323</t>
        </is>
      </c>
      <c r="B371" s="49" t="inlineStr">
        <is>
          <t>FT_INCLUDE</t>
        </is>
      </c>
      <c r="C371" s="49" t="inlineStr">
        <is>
          <t>DTs in the CS are the virtual representations of the physical entities such as PI containers. They abstract the features of a physical entity based on the heterogeneous IoT data streamed from the PS and PI-orders from WMS.</t>
        </is>
      </c>
      <c r="D371" s="49" t="inlineStr">
        <is>
          <t>4.2 Digital twins in cyberspace</t>
        </is>
      </c>
      <c r="E371" s="49" t="inlineStr">
        <is>
          <t>Y</t>
        </is>
      </c>
    </row>
    <row r="372">
      <c r="A372" s="49" t="inlineStr">
        <is>
          <t>R0323</t>
        </is>
      </c>
      <c r="B372" s="49" t="inlineStr">
        <is>
          <t>FT_INCLUDE</t>
        </is>
      </c>
      <c r="C372" s="49" t="inlineStr">
        <is>
          <t>the physical environment is a PI-hub with a storage area subdivided into a forward area and a reserve area [...] workers can indicate the start and end of each of their assigned tasks via the devices</t>
        </is>
      </c>
      <c r="D372" s="49" t="inlineStr">
        <is>
          <t>4.1 Physical space</t>
        </is>
      </c>
      <c r="E372" s="49" t="inlineStr">
        <is>
          <t>Y</t>
        </is>
      </c>
    </row>
    <row r="373">
      <c r="A373" s="49" t="inlineStr">
        <is>
          <t>R0323</t>
        </is>
      </c>
      <c r="B373" s="49" t="inlineStr">
        <is>
          <t>FT_INCLUDE</t>
        </is>
      </c>
      <c r="C373" s="49" t="inlineStr">
        <is>
          <t>machine learning-based models are constructed for three tasks: (i) order synchronization mechanism using a proactive lookahead scheme, (ii) order arrival prediction using an adaptive neuro-fuzzy inference system and (iii) optimization of joint OFR based on predicted order arrival</t>
        </is>
      </c>
      <c r="D373" s="49" t="inlineStr">
        <is>
          <t>4.2 Digital twins in cyberspace</t>
        </is>
      </c>
      <c r="E373" s="49" t="inlineStr">
        <is>
          <t>Y</t>
        </is>
      </c>
    </row>
    <row r="374">
      <c r="A374" s="49" t="inlineStr">
        <is>
          <t>R0323</t>
        </is>
      </c>
      <c r="B374" s="49" t="inlineStr">
        <is>
          <t>FT_INCLUDE</t>
        </is>
      </c>
      <c r="C374" s="49" t="inlineStr">
        <is>
          <t>the TIS strategy is defined as the integration of cyber-physical systems and internet of things for digitally visualizing and sharing all relevant internal information and decisions among stakeholders in a warehouse with operational decision support enabled by machine learning-based optimizations</t>
        </is>
      </c>
      <c r="D374" s="49" t="inlineStr">
        <is>
          <t>3 Total Inbound Synchronization Strategy</t>
        </is>
      </c>
      <c r="E374" s="49" t="inlineStr">
        <is>
          <t>Y</t>
        </is>
      </c>
    </row>
    <row r="375">
      <c r="A375" s="49" t="inlineStr">
        <is>
          <t>R0323</t>
        </is>
      </c>
      <c r="B375" s="49" t="inlineStr">
        <is>
          <t>FT_INCLUDE</t>
        </is>
      </c>
      <c r="C375" s="49" t="inlineStr">
        <is>
          <t>an important feature of the cyber-to-physical communication is to allow direct feedback fed from the CS to the PS [...] workers can receive notifications from their handheld devices about new order picking tasks assigned to them</t>
        </is>
      </c>
      <c r="D375" s="49" t="inlineStr">
        <is>
          <t>4.2 Digital twins in cyberspace</t>
        </is>
      </c>
      <c r="E375" s="49" t="inlineStr">
        <is>
          <t>Y</t>
        </is>
      </c>
    </row>
    <row r="376">
      <c r="A376" s="49" t="inlineStr">
        <is>
          <t>R0323</t>
        </is>
      </c>
      <c r="B376" s="49" t="inlineStr">
        <is>
          <t>FT_INCLUDE</t>
        </is>
      </c>
      <c r="C376" s="49" t="inlineStr">
        <is>
          <t>Human still plays a leading role in the management and execution of both the inbound and outbound order fulfillment process in the coming decade [...] in order to minimize human efforts in the OFR while maintaining an adequate level of throughput</t>
        </is>
      </c>
      <c r="D376" s="49" t="inlineStr">
        <is>
          <t>7 Conclusion and directions for future research</t>
        </is>
      </c>
      <c r="E376" s="49" t="inlineStr">
        <is>
          <t>Y</t>
        </is>
      </c>
    </row>
    <row r="377">
      <c r="A377" s="49" t="inlineStr">
        <is>
          <t>R0327</t>
        </is>
      </c>
      <c r="B377" s="49" t="inlineStr">
        <is>
          <t>FT_INCLUDE</t>
        </is>
      </c>
      <c r="C377" s="49" t="inlineStr">
        <is>
          <t>This paper proposes a framework of a supply chain digital twin where decisions are taken by a DRL agent.</t>
        </is>
      </c>
      <c r="D377" s="49" t="inlineStr">
        <is>
          <t>1. Introduction (PDF p. 2 / p. 2292)</t>
        </is>
      </c>
      <c r="E377" s="49" t="inlineStr">
        <is>
          <t>Y</t>
        </is>
      </c>
    </row>
    <row r="378">
      <c r="A378" s="49" t="inlineStr">
        <is>
          <t>R0327</t>
        </is>
      </c>
      <c r="B378" s="49" t="inlineStr">
        <is>
          <t>FT_INCLUDE</t>
        </is>
      </c>
      <c r="C378" s="49" t="inlineStr">
        <is>
          <t>The Agent is used to recommend actions based on the digital twin. It is up to the decision-maker to follow the recommendations or not.</t>
        </is>
      </c>
      <c r="D378" s="49" t="inlineStr">
        <is>
          <t>3. Methods (PDF p. 3 / p. 2293)</t>
        </is>
      </c>
      <c r="E378" s="49" t="inlineStr">
        <is>
          <t>Y</t>
        </is>
      </c>
    </row>
    <row r="379">
      <c r="A379" s="49" t="inlineStr">
        <is>
          <t>R0327</t>
        </is>
      </c>
      <c r="B379" s="49" t="inlineStr">
        <is>
          <t>FT_INCLUDE</t>
        </is>
      </c>
      <c r="C379" s="49" t="inlineStr">
        <is>
          <t>In this step, the Environment actually becomes an equivalent to the digital twin and the Agent replaces the human in charge of evaluating the different possibilities.</t>
        </is>
      </c>
      <c r="D379" s="49" t="inlineStr">
        <is>
          <t>3.2. Step 2: using the Environment as the digital twin (PDF p. 4 / p. 2294)</t>
        </is>
      </c>
      <c r="E379" s="49" t="inlineStr">
        <is>
          <t>Y</t>
        </is>
      </c>
    </row>
    <row r="380">
      <c r="A380" s="49" t="inlineStr">
        <is>
          <t>R0327</t>
        </is>
      </c>
      <c r="B380" s="49" t="inlineStr">
        <is>
          <t>FT_INCLUDE</t>
        </is>
      </c>
      <c r="C380" s="49" t="inlineStr">
        <is>
          <t>(i) Pharmaceutical establishments who manufacture, import and sell drugs, (ii) Custodians who distribute drugs, (iii) Wholesaler-distributors who resell drugs to pharmacies and (iv) Pharmacies or Internal pharmacies who act as retailers, respectively outside and inside hospitals.</t>
        </is>
      </c>
      <c r="D380" s="49" t="inlineStr">
        <is>
          <t>4.1. Use-case specifications (PDF p. 5 / p. 2295)</t>
        </is>
      </c>
      <c r="E380" s="49" t="inlineStr">
        <is>
          <t>Y</t>
        </is>
      </c>
    </row>
    <row r="381">
      <c r="A381" s="49" t="inlineStr">
        <is>
          <t>R0327</t>
        </is>
      </c>
      <c r="B381" s="49" t="inlineStr">
        <is>
          <t>FT_INCLUDE</t>
        </is>
      </c>
      <c r="C381" s="49" t="inlineStr">
        <is>
          <t>It uses an architecture called Dueling Double Deep Q-Network (Dueling DDQN), taken from [36]. A Deep Q-Network (DQN) progressively learns the value of taking an action in a given state [37].</t>
        </is>
      </c>
      <c r="D381" s="49" t="inlineStr">
        <is>
          <t>4.1. Use-case specifications (PDF p. 6 / p. 2296)</t>
        </is>
      </c>
      <c r="E381" s="49" t="inlineStr">
        <is>
          <t>Y</t>
        </is>
      </c>
    </row>
    <row r="382">
      <c r="A382" s="49" t="inlineStr">
        <is>
          <t>R0327</t>
        </is>
      </c>
      <c r="B382" s="49" t="inlineStr">
        <is>
          <t>FT_INCLUDE</t>
        </is>
      </c>
      <c r="C382" s="49" t="inlineStr">
        <is>
          <t>To evaluate the Agent’s performance, we simulate 100 episodes of 30 periods, where we will always follow its recommended actions. During evaluation, the Agent can no longer learn.</t>
        </is>
      </c>
      <c r="D382" s="49" t="inlineStr">
        <is>
          <t>4.3. Using the Agent’s policy after training (PDF p. 7 / p. 2297)</t>
        </is>
      </c>
      <c r="E382" s="49" t="inlineStr">
        <is>
          <t>Y</t>
        </is>
      </c>
    </row>
    <row r="383">
      <c r="A383" s="49" t="inlineStr">
        <is>
          <t>R0328</t>
        </is>
      </c>
      <c r="B383" s="49" t="inlineStr">
        <is>
          <t>FT_INCLUDE</t>
        </is>
      </c>
      <c r="C383" s="49" t="inlineStr">
        <is>
          <t>The Digital Twin is connected to production systems such as MES, APS, and ERP, receiving both production schedules and timestamped snapshots of machine status and order information. The Digital Twin also receives updated shipment arrival dates from the supplier.</t>
        </is>
      </c>
      <c r="D383" s="49" t="inlineStr">
        <is>
          <t>4. Digital Twin Learning Engine with Augmented Reality (p. 1914)</t>
        </is>
      </c>
      <c r="E383" s="49" t="inlineStr">
        <is>
          <t>Y</t>
        </is>
      </c>
    </row>
    <row r="384">
      <c r="A384" s="49" t="inlineStr">
        <is>
          <t>R0328</t>
        </is>
      </c>
      <c r="B384" s="49" t="inlineStr">
        <is>
          <t>FT_INCLUDE</t>
        </is>
      </c>
      <c r="C384" s="49" t="inlineStr">
        <is>
          <t>The Supplier Risk Prediction Module uses historical data of supplier performance to update arrival dates based on patterns of shipment delays from the supplier to the manufacturer.</t>
        </is>
      </c>
      <c r="D384" s="49" t="inlineStr">
        <is>
          <t>3. Digital Twin Framework for Integrated Production and Logistics Processes (p. 1914)</t>
        </is>
      </c>
      <c r="E384" s="49" t="inlineStr">
        <is>
          <t>Y</t>
        </is>
      </c>
    </row>
    <row r="385">
      <c r="A385" s="49" t="inlineStr">
        <is>
          <t>R0328</t>
        </is>
      </c>
      <c r="B385" s="49" t="inlineStr">
        <is>
          <t>FT_INCLUDE</t>
        </is>
      </c>
      <c r="C385" s="49" t="inlineStr">
        <is>
          <t>the Machine Learning Model which recommends mitigating adjustments in the production schedule [...] using a number of machine learning algorithms such as random forest, support vector machines, AdaBoost optimizers, or neural networks.</t>
        </is>
      </c>
      <c r="D385" s="49" t="inlineStr">
        <is>
          <t>4. Digital Twin Learning Engine with Augmented Reality (p. 1915)</t>
        </is>
      </c>
      <c r="E385" s="49" t="inlineStr">
        <is>
          <t>Y</t>
        </is>
      </c>
    </row>
    <row r="386">
      <c r="A386" s="49" t="inlineStr">
        <is>
          <t>R0328</t>
        </is>
      </c>
      <c r="B386" s="49" t="inlineStr">
        <is>
          <t>FT_INCLUDE</t>
        </is>
      </c>
      <c r="C386" s="49" t="inlineStr">
        <is>
          <t>To ensure the robustness of the digital twin, human-in-the-loop capabilities are essential to override machine-learning-produced recommendations when they are not matched to the disruption or when other models may provide better results.</t>
        </is>
      </c>
      <c r="D386" s="49" t="inlineStr">
        <is>
          <t>2.3 Hybrid Intelligence (p. 1914)</t>
        </is>
      </c>
      <c r="E386" s="49" t="inlineStr">
        <is>
          <t>Y</t>
        </is>
      </c>
    </row>
    <row r="387">
      <c r="A387" s="49" t="inlineStr">
        <is>
          <t>R0328</t>
        </is>
      </c>
      <c r="B387" s="49" t="inlineStr">
        <is>
          <t>FT_INCLUDE</t>
        </is>
      </c>
      <c r="C387" s="49" t="inlineStr">
        <is>
          <t>information from the physical world can be overlaid on a computer screen with recommendations and key performance measures, allowing the opportunity to select or override a recommended schedule change that would be a bad decision</t>
        </is>
      </c>
      <c r="D387" s="49" t="inlineStr">
        <is>
          <t>4. Digital Twin Learning Engine with Augmented Reality (p. 1915)</t>
        </is>
      </c>
      <c r="E387" s="49" t="inlineStr">
        <is>
          <t>Y</t>
        </is>
      </c>
    </row>
    <row r="388">
      <c r="A388" s="49" t="inlineStr">
        <is>
          <t>R0328</t>
        </is>
      </c>
      <c r="B388" s="49" t="inlineStr">
        <is>
          <t>FT_INCLUDE</t>
        </is>
      </c>
      <c r="C388" s="49" t="inlineStr">
        <is>
          <t>some exogenous alerts (for example, weather) have been directly integrated into the scheduling process based on AI. However, some exogenous events or streaming news feeds (terrorist attacks, war) are only displayed on the dashboard.</t>
        </is>
      </c>
      <c r="D388" s="49" t="inlineStr">
        <is>
          <t>4. Digital Twin Learning Engine with Augmented Reality, Siemens use case (p. 1916)</t>
        </is>
      </c>
      <c r="E388" s="49" t="inlineStr">
        <is>
          <t>Y</t>
        </is>
      </c>
    </row>
    <row r="389">
      <c r="A389" s="49" t="inlineStr">
        <is>
          <t>R0331</t>
        </is>
      </c>
      <c r="B389" s="49" t="inlineStr">
        <is>
          <t>FT_INCLUDE</t>
        </is>
      </c>
      <c r="C389" s="49" t="inlineStr">
        <is>
          <t>The Digital Twin Learning Engine is comprised of two parts, the Digital Twin and the Sense-and-Respond Machine Learning Model. The Digital Twin mirrors real-world operations on the shop floor</t>
        </is>
      </c>
      <c r="D389" s="49" t="inlineStr">
        <is>
          <t>4.2 Digital Twin Learning Engine (HAL PDF p.9, paper p.7)</t>
        </is>
      </c>
      <c r="E389" s="49" t="inlineStr">
        <is>
          <t>Y</t>
        </is>
      </c>
    </row>
    <row r="390">
      <c r="A390" s="49" t="inlineStr">
        <is>
          <t>R0331</t>
        </is>
      </c>
      <c r="B390" s="49" t="inlineStr">
        <is>
          <t>FT_INCLUDE</t>
        </is>
      </c>
      <c r="C390" s="49" t="inlineStr">
        <is>
          <t>In this way, disruptions along the supply chain from supplier to manufacturing through delivery to the end customer are cascaded and incorporated into projected delivery date.</t>
        </is>
      </c>
      <c r="D390" s="49" t="inlineStr">
        <is>
          <t>4.3 Customer Transit Module (HAL PDF p.10, paper p.8)</t>
        </is>
      </c>
      <c r="E390" s="49" t="inlineStr">
        <is>
          <t>Y</t>
        </is>
      </c>
    </row>
    <row r="391">
      <c r="A391" s="49" t="inlineStr">
        <is>
          <t>R0331</t>
        </is>
      </c>
      <c r="B391" s="49" t="inlineStr">
        <is>
          <t>FT_INCLUDE</t>
        </is>
      </c>
      <c r="C391" s="49" t="inlineStr">
        <is>
          <t>A number of machine learning methods will be explored including random forest, support vector machines, k-nearest neighbors and ANNs, or logistic regression for binary target outputs.</t>
        </is>
      </c>
      <c r="D391" s="49" t="inlineStr">
        <is>
          <t>4.1 Supplier Risk Prediction Model (HAL PDF p.8, paper p.6)</t>
        </is>
      </c>
      <c r="E391" s="49" t="inlineStr">
        <is>
          <t>Y</t>
        </is>
      </c>
    </row>
    <row r="392">
      <c r="A392" s="49" t="inlineStr">
        <is>
          <t>R0331</t>
        </is>
      </c>
      <c r="B392" s="49" t="inlineStr">
        <is>
          <t>FT_INCLUDE</t>
        </is>
      </c>
      <c r="C392" s="49" t="inlineStr">
        <is>
          <t>By implementing machine learning within a digital twin framework, it is possible to continuously update the model with real-time data instead of relying on offline adjustments to the production schedule or expert knowledge.</t>
        </is>
      </c>
      <c r="D392" s="49" t="inlineStr">
        <is>
          <t>1 Introduction (HAL PDF p.4, paper p.2)</t>
        </is>
      </c>
      <c r="E392" s="49" t="inlineStr">
        <is>
          <t>Y</t>
        </is>
      </c>
    </row>
    <row r="393">
      <c r="A393" s="49" t="inlineStr">
        <is>
          <t>R0331</t>
        </is>
      </c>
      <c r="B393" s="49" t="inlineStr">
        <is>
          <t>FT_INCLUDE</t>
        </is>
      </c>
      <c r="C393" s="49" t="inlineStr">
        <is>
          <t>Once validated, this information is then updated in the manufacturing management systems for execution of the revised schedule on the factory floor.</t>
        </is>
      </c>
      <c r="D393" s="49" t="inlineStr">
        <is>
          <t>4.2 Digital Twin Learning Engine (HAL PDF p.10, paper p.8)</t>
        </is>
      </c>
      <c r="E393" s="49" t="inlineStr">
        <is>
          <t>Y</t>
        </is>
      </c>
    </row>
    <row r="394">
      <c r="A394" s="49" t="inlineStr">
        <is>
          <t>R0331</t>
        </is>
      </c>
      <c r="B394" s="49" t="inlineStr">
        <is>
          <t>FT_INCLUDE</t>
        </is>
      </c>
      <c r="C394" s="49" t="inlineStr">
        <is>
          <t>Model outputs are consumed by another auxiliary service/software application that will store the result(s) in the shared database and can also transform the outputs into visualizations for human consumption and display on pre-programmed dashboards.</t>
        </is>
      </c>
      <c r="D394" s="49" t="inlineStr">
        <is>
          <t>4.2 Digital Twin Learning Engine (HAL PDF p.10, paper p.8)</t>
        </is>
      </c>
      <c r="E394" s="49" t="inlineStr">
        <is>
          <t>Y</t>
        </is>
      </c>
    </row>
    <row r="395">
      <c r="A395" s="49" t="inlineStr">
        <is>
          <t>R0347</t>
        </is>
      </c>
      <c r="B395" s="49" t="inlineStr">
        <is>
          <t>FT_EXCLUDE</t>
        </is>
      </c>
      <c r="C395" s="49" t="inlineStr">
        <is>
          <t>a digital model of the conveyor route was developed, taking into account the bench profile and travel path. This allowed us to identify potential overload zones and key control points (see Figure 2).</t>
        </is>
      </c>
      <c r="D395" s="49" t="inlineStr">
        <is>
          <t>4.2 Experimental plan (Figure 2: 'Three-dimensional digital model of the quarry indicating the conveyor path and control points')</t>
        </is>
      </c>
      <c r="E395" s="49" t="inlineStr">
        <is>
          <t>Y</t>
        </is>
      </c>
    </row>
    <row r="396">
      <c r="A396" s="49" t="inlineStr">
        <is>
          <t>R0347</t>
        </is>
      </c>
      <c r="B396" s="49" t="inlineStr">
        <is>
          <t>FT_EXCLUDE</t>
        </is>
      </c>
      <c r="C396" s="49" t="inlineStr">
        <is>
          <t>Simulink (MATLAB R2023b) was used for data verification. The simulation model included blocks for airflow dynamics, friction, and energy losses.</t>
        </is>
      </c>
      <c r="D396" s="49" t="inlineStr">
        <is>
          <t>3.6 Section 'methodology of artificial intelligence and modeling' - Simulation modeling</t>
        </is>
      </c>
      <c r="E396" s="49" t="inlineStr">
        <is>
          <t>Y</t>
        </is>
      </c>
    </row>
    <row r="397">
      <c r="A397" s="49" t="inlineStr">
        <is>
          <t>R0347</t>
        </is>
      </c>
      <c r="B397" s="49" t="inlineStr">
        <is>
          <t>FT_EXCLUDE</t>
        </is>
      </c>
      <c r="C397" s="49" t="inlineStr">
        <is>
          <t>The model was calibrated using experimental data obtained at the Karaganda Technical University field facility. The average deviation of predicted energy consumption values from measured ones was no more than 7.3 %, confirming the model’s validity.</t>
        </is>
      </c>
      <c r="D397" s="49" t="inlineStr">
        <is>
          <t>3.6 - Calibration and Validation</t>
        </is>
      </c>
      <c r="E397" s="49" t="inlineStr">
        <is>
          <t>Y</t>
        </is>
      </c>
    </row>
    <row r="398">
      <c r="A398" s="49" t="inlineStr">
        <is>
          <t>R0347</t>
        </is>
      </c>
      <c r="B398" s="49" t="inlineStr">
        <is>
          <t>FT_EXCLUDE</t>
        </is>
      </c>
      <c r="C398" s="49" t="inlineStr">
        <is>
          <t>This methodology can be applied to optimize bulk material transportation in quarries and improve the overall efficiency of production logistics in the mining and construction industries.</t>
        </is>
      </c>
      <c r="D398" s="49" t="inlineStr">
        <is>
          <t>Abstract</t>
        </is>
      </c>
      <c r="E398" s="49" t="inlineStr">
        <is>
          <t>Y</t>
        </is>
      </c>
    </row>
    <row r="399">
      <c r="A399" s="49" t="inlineStr">
        <is>
          <t>R0347</t>
        </is>
      </c>
      <c r="B399" s="49" t="inlineStr">
        <is>
          <t>FT_EXCLUDE</t>
        </is>
      </c>
      <c r="C399" s="49" t="inlineStr">
        <is>
          <t>The architecture included four convolutional layers, two pooling layers, and two fully connected layers with a ReLU activation function. A recurrent neural network (RNN) with LSTM cells was used for congestion forecasting and predictive maintenance tasks.</t>
        </is>
      </c>
      <c r="D399" s="49" t="inlineStr">
        <is>
          <t>3.6 - Neural network architecture</t>
        </is>
      </c>
      <c r="E399" s="49" t="inlineStr">
        <is>
          <t>Y</t>
        </is>
      </c>
    </row>
    <row r="400">
      <c r="A400" s="49" t="inlineStr">
        <is>
          <t>R0347</t>
        </is>
      </c>
      <c r="B400" s="49" t="inlineStr">
        <is>
          <t>FT_EXCLUDE</t>
        </is>
      </c>
      <c r="C400" s="49" t="inlineStr">
        <is>
          <t>Human-in-the-loop: all recommendations are initially in suggestion mode, then after a 2-week test, switched to automatic mode upon confirmation. Fail-safe: When signal/trust is lost, the model is disabled and the system returns to safe mode.</t>
        </is>
      </c>
      <c r="D400" s="49" t="inlineStr">
        <is>
          <t>3.7 Methodology of artificial intelligence and simulation modeling - K. Explainability, safety and operating recommendations</t>
        </is>
      </c>
      <c r="E400" s="49" t="inlineStr">
        <is>
          <t>Y</t>
        </is>
      </c>
    </row>
    <row r="401">
      <c r="A401" s="49" t="inlineStr">
        <is>
          <t>R0520</t>
        </is>
      </c>
      <c r="B401" s="49" t="inlineStr">
        <is>
          <t>FT_INCLUDE</t>
        </is>
      </c>
      <c r="C401" s="49" t="inlineStr">
        <is>
          <t>Although the current implementation is carried out within a simulation-based evaluation environment, its architecture is explicitly designed to synchronize with real-time data. The digital twin continuously updates the system state vector St</t>
        </is>
      </c>
      <c r="D401" s="49" t="inlineStr">
        <is>
          <t>5. Self-Deciding Adaptive Digital Twin Architecture</t>
        </is>
      </c>
      <c r="E401" s="49" t="inlineStr">
        <is>
          <t>Y</t>
        </is>
      </c>
    </row>
    <row r="402">
      <c r="A402" s="49" t="inlineStr">
        <is>
          <t>R0520</t>
        </is>
      </c>
      <c r="B402" s="49" t="inlineStr">
        <is>
          <t>FT_INCLUDE</t>
        </is>
      </c>
      <c r="C402" s="49" t="inlineStr">
        <is>
          <t>The network under study consists of several interconnected layers that start with raw material suppliers and end with processing centers, cold storage, transportation fleets, distribution centers, and retail outlets.</t>
        </is>
      </c>
      <c r="D402" s="49" t="inlineStr">
        <is>
          <t>4. Problem Description and System Overview</t>
        </is>
      </c>
      <c r="E402" s="49" t="inlineStr">
        <is>
          <t>Y</t>
        </is>
      </c>
    </row>
    <row r="403">
      <c r="A403" s="49" t="inlineStr">
        <is>
          <t>R0520</t>
        </is>
      </c>
      <c r="B403" s="49" t="inlineStr">
        <is>
          <t>FT_INCLUDE</t>
        </is>
      </c>
      <c r="C403" s="49" t="inlineStr">
        <is>
          <t>For each decision epoch t: / Extract system state St from the digital twin [...] Normalize weights / Solve fuzzy multi-objective model with updated weights / Select and implement the preferred Pareto solution</t>
        </is>
      </c>
      <c r="D403" s="49" t="inlineStr">
        <is>
          <t>6. Agentic AI Decision Mechanism, Algorithm 1: Agentic AI Dynamic Reprioritization Procedure</t>
        </is>
      </c>
      <c r="E403" s="49" t="inlineStr">
        <is>
          <t>Y</t>
        </is>
      </c>
    </row>
    <row r="404">
      <c r="A404" s="49" t="inlineStr">
        <is>
          <t>R0520</t>
        </is>
      </c>
      <c r="B404" s="49" t="inlineStr">
        <is>
          <t>FT_INCLUDE</t>
        </is>
      </c>
      <c r="C404" s="49" t="inlineStr">
        <is>
          <t>operates at the level of a semi-autonomous decision-support system. It independently monitors the system state and dynamically adjusts the priorities of the objectives; however, the final execution of the selected policies is performed within the framework of the optimization engine.</t>
        </is>
      </c>
      <c r="D404" s="49" t="inlineStr">
        <is>
          <t>5. Self-Deciding Adaptive Digital Twin Architecture (autonomy paragraph)</t>
        </is>
      </c>
      <c r="E404" s="49" t="inlineStr">
        <is>
          <t>Y</t>
        </is>
      </c>
    </row>
    <row r="405">
      <c r="A405" s="49" t="inlineStr">
        <is>
          <t>R0520</t>
        </is>
      </c>
      <c r="B405" s="49" t="inlineStr">
        <is>
          <t>FT_INCLUDE</t>
        </is>
      </c>
      <c r="C405" s="49" t="inlineStr">
        <is>
          <t>the use of a fuzzy multi-objective optimization framework allows for a more realistic representation of decision-makers’ preferences and operational conditions.</t>
        </is>
      </c>
      <c r="D405" s="49" t="inlineStr">
        <is>
          <t>7. Fuzzy Multi-Objective Optimization Model</t>
        </is>
      </c>
      <c r="E405" s="49" t="inlineStr">
        <is>
          <t>Y</t>
        </is>
      </c>
    </row>
    <row r="406">
      <c r="A406" s="49" t="inlineStr">
        <is>
          <t>R0520</t>
        </is>
      </c>
      <c r="B406" s="49" t="inlineStr">
        <is>
          <t>FT_INCLUDE</t>
        </is>
      </c>
      <c r="C406" s="49" t="inlineStr">
        <is>
          <t>the agentic AI mechanism in this study is designed based on decision-making rules and priority resetting, and the use of more advanced learning approaches can enrich the agent’s behavior in the long run.</t>
        </is>
      </c>
      <c r="D406" s="49" t="inlineStr">
        <is>
          <t>10. Conclusions (limitations)</t>
        </is>
      </c>
      <c r="E406" s="49" t="inlineStr">
        <is>
          <t>Y</t>
        </is>
      </c>
    </row>
    <row r="407">
      <c r="A407" s="49" t="inlineStr">
        <is>
          <t>R0525</t>
        </is>
      </c>
      <c r="B407" s="49" t="inlineStr">
        <is>
          <t>FT_INCLUDE</t>
        </is>
      </c>
      <c r="C407" s="49" t="inlineStr">
        <is>
          <t>Ford's SCDT design is composed of three major layers: intracompany supply chain, Tier-1 network, and deep-tier network.</t>
        </is>
      </c>
      <c r="D407" s="49" t="inlineStr">
        <is>
          <t>2.2 Supply chain digital twin design at the Ford Motor Company</t>
        </is>
      </c>
      <c r="E407" s="49" t="inlineStr">
        <is>
          <t>Y</t>
        </is>
      </c>
    </row>
    <row r="408">
      <c r="A408" s="49" t="inlineStr">
        <is>
          <t>R0525</t>
        </is>
      </c>
      <c r="B408" s="49" t="inlineStr">
        <is>
          <t>FT_INCLUDE</t>
        </is>
      </c>
      <c r="C408" s="49" t="inlineStr">
        <is>
          <t>As its physical counterpart, the SCDT is a federated network of interconnected digital twins or digital shadows representing individual manufacturing or logistics operations, such as assembly plants, stamping or powertrain plants, warehouses, transshipment nodes, and individual transportation units.</t>
        </is>
      </c>
      <c r="D408" s="49" t="inlineStr">
        <is>
          <t>2.2.1 Intracompany layer</t>
        </is>
      </c>
      <c r="E408" s="49" t="inlineStr">
        <is>
          <t>Y</t>
        </is>
      </c>
    </row>
    <row r="409">
      <c r="A409" s="49" t="inlineStr">
        <is>
          <t>R0525</t>
        </is>
      </c>
      <c r="B409" s="49" t="inlineStr">
        <is>
          <t>FT_INCLUDE</t>
        </is>
      </c>
      <c r="C409" s="49" t="inlineStr">
        <is>
          <t>For example, forecasting supplier shortfalls (i.e., incidents where assembly parts delivery is delayed beyond their scheduled production date at Ford assembly plants) is performed using deep learning and survival analysis [15].</t>
        </is>
      </c>
      <c r="D409" s="49" t="inlineStr">
        <is>
          <t>2.2.2 Tier-1 network layer</t>
        </is>
      </c>
      <c r="E409" s="49" t="inlineStr">
        <is>
          <t>Y</t>
        </is>
      </c>
    </row>
    <row r="410">
      <c r="A410" s="49" t="inlineStr">
        <is>
          <t>R0525</t>
        </is>
      </c>
      <c r="B410" s="49" t="inlineStr">
        <is>
          <t>FT_INCLUDE</t>
        </is>
      </c>
      <c r="C410" s="49" t="inlineStr">
        <is>
          <t>Agentic AI can act as intelligent orchestrators and adapters, enabling seamless interaction between the digital twins, LLMs, models, and IT systems. We can now deploy AI agents designed to understand the interfaces and capabilities of specific existing systems.</t>
        </is>
      </c>
      <c r="D410" s="49" t="inlineStr">
        <is>
          <t>3.1.2 Agentic AI</t>
        </is>
      </c>
      <c r="E410" s="49" t="inlineStr">
        <is>
          <t>Y</t>
        </is>
      </c>
    </row>
    <row r="411">
      <c r="A411" s="49" t="inlineStr">
        <is>
          <t>R0525</t>
        </is>
      </c>
      <c r="B411" s="49" t="inlineStr">
        <is>
          <t>FT_INCLUDE</t>
        </is>
      </c>
      <c r="C411" s="49" t="inlineStr">
        <is>
          <t>agentic AI can integrate systems like anyLogistix with external data sources (e.g., data from logistics service providers, weather data, financial market data) to provide analysis of potential shortages, provide recommendations on schedule changes, and potentially even execute these changes</t>
        </is>
      </c>
      <c r="D411" s="49" t="inlineStr">
        <is>
          <t>3.1.2 Agentic AI</t>
        </is>
      </c>
      <c r="E411" s="49" t="inlineStr">
        <is>
          <t>Y</t>
        </is>
      </c>
    </row>
    <row r="412">
      <c r="A412" s="49" t="inlineStr">
        <is>
          <t>R0525</t>
        </is>
      </c>
      <c r="B412" s="49" t="inlineStr">
        <is>
          <t>FT_INCLUDE</t>
        </is>
      </c>
      <c r="C412" s="49" t="inlineStr">
        <is>
          <t>Leveraging agentic AI, digital twins will not only enable the extraction of information but also inform and alert managers about current problems and bottlenecks, suggesting improvement policies and directions through performance visualization.</t>
        </is>
      </c>
      <c r="D412" s="49" t="inlineStr">
        <is>
          <t>3.1.2 Agentic AI</t>
        </is>
      </c>
      <c r="E412" s="49" t="inlineStr">
        <is>
          <t>Y</t>
        </is>
      </c>
    </row>
    <row r="413">
      <c r="A413" s="49" t="inlineStr">
        <is>
          <t>R0530</t>
        </is>
      </c>
      <c r="B413" s="49" t="inlineStr">
        <is>
          <t>FT_INCLUDE</t>
        </is>
      </c>
      <c r="C413" s="49" t="inlineStr">
        <is>
          <t>A digital-twin-enabled logistics platform can monitor the entire supply chain by creating virtual representations of vessels, trucks, warehouses and transportation routes.</t>
        </is>
      </c>
      <c r="D413" s="49" t="inlineStr">
        <is>
          <t>Case Study: Market Volatility Warning and Risk Detection in Global Logistics Supply Chains (opening paragraph)</t>
        </is>
      </c>
      <c r="E413" s="49" t="inlineStr">
        <is>
          <t>Y</t>
        </is>
      </c>
    </row>
    <row r="414">
      <c r="A414" s="49" t="inlineStr">
        <is>
          <t>R0530</t>
        </is>
      </c>
      <c r="B414" s="49" t="inlineStr">
        <is>
          <t>FT_INCLUDE</t>
        </is>
      </c>
      <c r="C414" s="49" t="inlineStr">
        <is>
          <t>The cloud updates the digital twin of each asset and runs AI algorithms to detect volatility indicators such as sudden delays, increased dwell times at ports or unusual environmental conditions.</t>
        </is>
      </c>
      <c r="D414" s="49" t="inlineStr">
        <is>
          <t>Case Study (Figure 3 architecture paragraph)</t>
        </is>
      </c>
      <c r="E414" s="49" t="inlineStr">
        <is>
          <t>Y</t>
        </is>
      </c>
    </row>
    <row r="415">
      <c r="A415" s="49" t="inlineStr">
        <is>
          <t>R0530</t>
        </is>
      </c>
      <c r="B415" s="49" t="inlineStr">
        <is>
          <t>FT_INCLUDE</t>
        </is>
      </c>
      <c r="C415" s="49" t="inlineStr">
        <is>
          <t>The anomaly-detection pipeline is based on lightweight gradient-boosted trees, and LSTM forecasting models</t>
        </is>
      </c>
      <c r="D415" s="49" t="inlineStr">
        <is>
          <t>Case Study (paragraph after Figure 3, on federated learning and computational needs of the volatility-detection models)</t>
        </is>
      </c>
      <c r="E415" s="49" t="inlineStr">
        <is>
          <t>Y</t>
        </is>
      </c>
    </row>
    <row r="416">
      <c r="A416" s="49" t="inlineStr">
        <is>
          <t>R0530</t>
        </is>
      </c>
      <c r="B416" s="49" t="inlineStr">
        <is>
          <t>FT_INCLUDE</t>
        </is>
      </c>
      <c r="C416" s="49" t="inlineStr">
        <is>
          <t>Risk alerts are displayed on dashboards and fed back to operators for proactive intervention.</t>
        </is>
      </c>
      <c r="D416" s="49" t="inlineStr">
        <is>
          <t>Case Study (Figure 3 architecture paragraph)</t>
        </is>
      </c>
      <c r="E416" s="49" t="inlineStr">
        <is>
          <t>Y</t>
        </is>
      </c>
    </row>
    <row r="417">
      <c r="A417" s="49" t="inlineStr">
        <is>
          <t>R0530</t>
        </is>
      </c>
      <c r="B417" s="49" t="inlineStr">
        <is>
          <t>FT_INCLUDE</t>
        </is>
      </c>
      <c r="C417" s="49" t="inlineStr">
        <is>
          <t>Model behaviour and data lineage are recorded in explainable AI (XAI) logs and model cards, which are accountable and trustworthy.</t>
        </is>
      </c>
      <c r="D417" s="49" t="inlineStr">
        <is>
          <t>Countermeasures and Defense Mechanisms &gt; Privacy-Preserving AI and Trusted Intelligence</t>
        </is>
      </c>
      <c r="E417" s="49" t="inlineStr">
        <is>
          <t>Y</t>
        </is>
      </c>
    </row>
    <row r="418">
      <c r="A418" s="49" t="inlineStr">
        <is>
          <t>R0530</t>
        </is>
      </c>
      <c r="B418" s="49" t="inlineStr">
        <is>
          <t>FT_INCLUDE</t>
        </is>
      </c>
      <c r="C418" s="49" t="inlineStr">
        <is>
          <t>Future studies shall come up with DT conscious AI trust paradigms which offer traceability of sensor data up to models to regulate actions to enable explainability, accountability and real time certification.</t>
        </is>
      </c>
      <c r="D418" s="49" t="inlineStr">
        <is>
          <t>Future Research Directions &gt; Digital-Twin-Aware AI Trust Frameworks</t>
        </is>
      </c>
      <c r="E418" s="49" t="inlineStr">
        <is>
          <t>Y</t>
        </is>
      </c>
    </row>
    <row r="419">
      <c r="A419" s="49" t="inlineStr">
        <is>
          <t>R0554</t>
        </is>
      </c>
      <c r="B419" s="49" t="inlineStr">
        <is>
          <t>FT_INCLUDE</t>
        </is>
      </c>
      <c r="C419" s="49" t="inlineStr">
        <is>
          <t>we outline a generalized framework of the cyber-physical supply chain comprised of a digital ecosystem, digital twin, human-AI collaboration space, and the physical supply chain</t>
        </is>
      </c>
      <c r="D419" s="49" t="inlineStr">
        <is>
          <t>Abstract (repeated in 1. Introduction, contributions paragraph)</t>
        </is>
      </c>
      <c r="E419" s="49" t="inlineStr">
        <is>
          <t>Y</t>
        </is>
      </c>
    </row>
    <row r="420">
      <c r="A420" s="49" t="inlineStr">
        <is>
          <t>R0554</t>
        </is>
      </c>
      <c r="B420" s="49" t="inlineStr">
        <is>
          <t>FT_INCLUDE</t>
        </is>
      </c>
      <c r="C420" s="49" t="inlineStr">
        <is>
          <t>A digital ecosystem is a set of digital technologies, AI-based knowledge management systems, cloud spaces, and platforms that encapsulate supply chain data enabling digital twins and simulation models.</t>
        </is>
      </c>
      <c r="D420" s="49" t="inlineStr">
        <is>
          <t>2.2 Digital ecosystems (definition, before Fig. 3)</t>
        </is>
      </c>
      <c r="E420" s="49" t="inlineStr">
        <is>
          <t>Y</t>
        </is>
      </c>
    </row>
    <row r="421">
      <c r="A421" s="49" t="inlineStr">
        <is>
          <t>R0554</t>
        </is>
      </c>
      <c r="B421" s="49" t="inlineStr">
        <is>
          <t>FT_INCLUDE</t>
        </is>
      </c>
      <c r="C421" s="49" t="inlineStr">
        <is>
          <t>Different degrees of human-AI collaboration can define which blocks in Fig. 8 are controlled by a human, what is controlled/adjusted automatically, what is AI-driven, and where a human-AI collaboration takes place.</t>
        </is>
      </c>
      <c r="D421" s="49" t="inlineStr">
        <is>
          <t>3. Generalized models of digital twinning in the supply chain (paragraph after Eq. 6, before Fig. 9)</t>
        </is>
      </c>
      <c r="E421" s="49" t="inlineStr">
        <is>
          <t>Y</t>
        </is>
      </c>
    </row>
    <row r="422">
      <c r="A422" s="49" t="inlineStr">
        <is>
          <t>R0554</t>
        </is>
      </c>
      <c r="B422" s="49" t="inlineStr">
        <is>
          <t>FT_INCLUDE</t>
        </is>
      </c>
      <c r="C422" s="49" t="inlineStr">
        <is>
          <t>human-in-the-loop approaches coupled with reinforcement learning to embed human feedback into the recommendation engine and explainable AI methods will be adopted.</t>
        </is>
      </c>
      <c r="D422" s="49" t="inlineStr">
        <is>
          <t>5.3 Application scenario 2: supply chain collaboration (Cognitive Human Interface &amp; Governance, CERERE)</t>
        </is>
      </c>
      <c r="E422" s="49" t="inlineStr">
        <is>
          <t>Y</t>
        </is>
      </c>
    </row>
    <row r="423">
      <c r="A423" s="49" t="inlineStr">
        <is>
          <t>R0554</t>
        </is>
      </c>
      <c r="B423" s="49" t="inlineStr">
        <is>
          <t>FT_INCLUDE</t>
        </is>
      </c>
      <c r="C423" s="49" t="inlineStr">
        <is>
          <t>Depending on who has the most complete information about a physical object – an AI agent in a digital twin or a human in the physical space, decision-making can be performed in a human-AI collaboration fashion.</t>
        </is>
      </c>
      <c r="D423" s="49" t="inlineStr">
        <is>
          <t>6. Discussion and conclusion (third paragraph)</t>
        </is>
      </c>
      <c r="E423" s="49" t="inlineStr">
        <is>
          <t>Y</t>
        </is>
      </c>
    </row>
    <row r="424">
      <c r="A424" s="49" t="inlineStr">
        <is>
          <t>R0554</t>
        </is>
      </c>
      <c r="B424" s="49" t="inlineStr">
        <is>
          <t>FT_INCLUDE</t>
        </is>
      </c>
      <c r="C424" s="49" t="inlineStr">
        <is>
          <t>the importance of combining expert knowledge and AI should be strengthened to avoid automatic decisions based on wrong AI recommendations. An AI agent is a decision-making support, not a decision-maker.</t>
        </is>
      </c>
      <c r="D424" s="49" t="inlineStr">
        <is>
          <t>6. Discussion and conclusion (last paragraph, barriers: AI hallucination)</t>
        </is>
      </c>
      <c r="E424" s="49" t="inlineStr">
        <is>
          <t>Y</t>
        </is>
      </c>
    </row>
    <row r="425">
      <c r="A425" s="49" t="inlineStr">
        <is>
          <t>R0564</t>
        </is>
      </c>
      <c r="B425" s="49" t="inlineStr">
        <is>
          <t>FT_INCLUDE</t>
        </is>
      </c>
      <c r="C425" s="49" t="inlineStr">
        <is>
          <t>a Digital Twin (DT)-based tool for optimizing scheduling in solid bulk export port terminals. The approach integrates agent-based simulation with the Ant Colony System (ACS) metaheuristic to efficiently plan railway unloading, stockyard storage, and maritime shipping.</t>
        </is>
      </c>
      <c r="D425" s="49" t="inlineStr">
        <is>
          <t>Abstract (p. 3046)</t>
        </is>
      </c>
      <c r="E425" s="49" t="inlineStr">
        <is>
          <t>Y</t>
        </is>
      </c>
    </row>
    <row r="426">
      <c r="A426" s="49" t="inlineStr">
        <is>
          <t>R0564</t>
        </is>
      </c>
      <c r="B426" s="49" t="inlineStr">
        <is>
          <t>FT_INCLUDE</t>
        </is>
      </c>
      <c r="C426" s="49" t="inlineStr">
        <is>
          <t>we propose a hybrid optimization approach based on a constructive heuristic followed by refinement using the Ant Colony System (ACS) metaheuristic. The core objective is to minimize the total stay time of ships at the terminal</t>
        </is>
      </c>
      <c r="D426" s="49" t="inlineStr">
        <is>
          <t>Sect. 3.3 Optimization (p. 3050)</t>
        </is>
      </c>
      <c r="E426" s="49" t="inlineStr">
        <is>
          <t>Y</t>
        </is>
      </c>
    </row>
    <row r="427">
      <c r="A427" s="49" t="inlineStr">
        <is>
          <t>R0564</t>
        </is>
      </c>
      <c r="B427" s="49" t="inlineStr">
        <is>
          <t>FT_INCLUDE</t>
        </is>
      </c>
      <c r="C427" s="49" t="inlineStr">
        <is>
          <t>In the context of ore export terminals, the DT enables testing of scheduling strategies in a virtual environment before they are applied to the real system. This contributes to more informed and robust decision making.</t>
        </is>
      </c>
      <c r="D427" s="49" t="inlineStr">
        <is>
          <t>Sect. 3.5 Digital Twin Integration (p. 3052)</t>
        </is>
      </c>
      <c r="E427" s="49" t="inlineStr">
        <is>
          <t>Y</t>
        </is>
      </c>
    </row>
    <row r="428">
      <c r="A428" s="49" t="inlineStr">
        <is>
          <t>R0564</t>
        </is>
      </c>
      <c r="B428" s="49" t="inlineStr">
        <is>
          <t>FT_INCLUDE</t>
        </is>
      </c>
      <c r="C428" s="49" t="inlineStr">
        <is>
          <t>Additionally, the tool generates an analysis report with the main problems encountered during the simulation, allowing the user to identify opportunities for system improvement.</t>
        </is>
      </c>
      <c r="D428" s="49" t="inlineStr">
        <is>
          <t>Sect. 3.5 Digital Twin Integration (pp. 3052-3053)</t>
        </is>
      </c>
      <c r="E428" s="49" t="inlineStr">
        <is>
          <t>check</t>
        </is>
      </c>
    </row>
    <row r="429">
      <c r="A429" s="49" t="inlineStr">
        <is>
          <t>R0564</t>
        </is>
      </c>
      <c r="B429" s="49" t="inlineStr">
        <is>
          <t>FT_INCLUDE</t>
        </is>
      </c>
      <c r="C429" s="49" t="inlineStr">
        <is>
          <t>After applying the improvement procedure, a better solution was obtained, reducing the total stay time to 194.3 hours—equivalent to a reduction of approximately 5.2 days in ship queue time.</t>
        </is>
      </c>
      <c r="D429" s="49" t="inlineStr">
        <is>
          <t>Sect. 4.2 Base Scenario (p. 3055)</t>
        </is>
      </c>
      <c r="E429" s="49" t="inlineStr">
        <is>
          <t>Y</t>
        </is>
      </c>
    </row>
    <row r="430">
      <c r="A430" s="49" t="inlineStr">
        <is>
          <t>R0564</t>
        </is>
      </c>
      <c r="B430" s="49" t="inlineStr">
        <is>
          <t>FT_INCLUDE</t>
        </is>
      </c>
      <c r="C430" s="49" t="inlineStr">
        <is>
          <t>Furthermore, the implementation and integration of other techniques, such as Greedy Randomized Adaptive Search Procedures (GRASP) and machine learning, are suggested, aiming for more effective strategies for dynamic and complex scenarios.</t>
        </is>
      </c>
      <c r="D430" s="49" t="inlineStr">
        <is>
          <t>Sect. 5 Conclusions and Future Works (p. 3056)</t>
        </is>
      </c>
      <c r="E430" s="49" t="inlineStr">
        <is>
          <t>Y</t>
        </is>
      </c>
    </row>
    <row r="431">
      <c r="A431" s="49" t="inlineStr">
        <is>
          <t>R0589</t>
        </is>
      </c>
      <c r="B431" s="49" t="inlineStr">
        <is>
          <t>FT_INCLUDE</t>
        </is>
      </c>
      <c r="C431" s="49" t="inlineStr">
        <is>
          <t>The DigiPyramid proposed in this article was a low-cost and flexible DT framework for Company Z, a Chinese nationwide logistics enterprise.</t>
        </is>
      </c>
      <c r="D431" s="49" t="inlineStr">
        <is>
          <t>III. Conceptualization of DigiPyramid (opening paragraph)</t>
        </is>
      </c>
      <c r="E431" s="49" t="inlineStr">
        <is>
          <t>Y</t>
        </is>
      </c>
    </row>
    <row r="432">
      <c r="A432" s="49" t="inlineStr">
        <is>
          <t>R0589</t>
        </is>
      </c>
      <c r="B432" s="49" t="inlineStr">
        <is>
          <t>FT_INCLUDE</t>
        </is>
      </c>
      <c r="C432" s="49" t="inlineStr">
        <is>
          <t>The DigiPyramid employed BN-based algorithms to eliminate the ambiguity of “breakpoints” and “gray boxes.” For example, according to the malfunction of a device, the possibility can be inferred by the probability a priori by training the previous datasets.</t>
        </is>
      </c>
      <c r="D432" s="49" t="inlineStr">
        <is>
          <t>V-B. BN-Based Data Estimation</t>
        </is>
      </c>
      <c r="E432" s="49" t="inlineStr">
        <is>
          <t>Y</t>
        </is>
      </c>
    </row>
    <row r="433">
      <c r="A433" s="49" t="inlineStr">
        <is>
          <t>R0589</t>
        </is>
      </c>
      <c r="B433" s="49" t="inlineStr">
        <is>
          <t>FT_INCLUDE</t>
        </is>
      </c>
      <c r="C433" s="49" t="inlineStr">
        <is>
          <t>DigiPyramid employed CV algorithms to analyze the monitoring video data on platform operation, opening the “black box” to some extent.</t>
        </is>
      </c>
      <c r="D433" s="49" t="inlineStr">
        <is>
          <t>V-C. CV-Based Recognization</t>
        </is>
      </c>
      <c r="E433" s="49" t="inlineStr">
        <is>
          <t>Y</t>
        </is>
      </c>
    </row>
    <row r="434">
      <c r="A434" s="49" t="inlineStr">
        <is>
          <t>R0589</t>
        </is>
      </c>
      <c r="B434" s="49" t="inlineStr">
        <is>
          <t>FT_INCLUDE</t>
        </is>
      </c>
      <c r="C434" s="49" t="inlineStr">
        <is>
          <t>Nowadays, AI and optimization approaches replace humans in automatically making operational decisions. However, most decisions still rely on personal experience of human operators [5], [9]. On the other side, different-level operators require different resolutions and data granularity for their decision-making.</t>
        </is>
      </c>
      <c r="D434" s="49" t="inlineStr">
        <is>
          <t>I. Introduction (paragraph preceding RQ3)</t>
        </is>
      </c>
      <c r="E434" s="49" t="inlineStr">
        <is>
          <t>Y</t>
        </is>
      </c>
    </row>
    <row r="435">
      <c r="A435" s="49" t="inlineStr">
        <is>
          <t>R0589</t>
        </is>
      </c>
      <c r="B435" s="49" t="inlineStr">
        <is>
          <t>FT_INCLUDE</t>
        </is>
      </c>
      <c r="C435" s="49" t="inlineStr">
        <is>
          <t>The hierarchical structure of decision chains in the distributed logistics process management formed a pyramid-like organization structure, containing four levels from top to bottom, namely, managers, planners, schedulers, and operators (as shown in Fig. 1).</t>
        </is>
      </c>
      <c r="D435" s="49" t="inlineStr">
        <is>
          <t>III-A. Framework Overview</t>
        </is>
      </c>
      <c r="E435" s="49" t="inlineStr">
        <is>
          <t>Y</t>
        </is>
      </c>
    </row>
    <row r="436">
      <c r="A436" s="49" t="inlineStr">
        <is>
          <t>R0589</t>
        </is>
      </c>
      <c r="B436" s="49" t="inlineStr">
        <is>
          <t>FT_INCLUDE</t>
        </is>
      </c>
      <c r="C436" s="49" t="inlineStr">
        <is>
          <t>In addition, the DT platform also provided the local operators with the ability to make decentralized decisions.</t>
        </is>
      </c>
      <c r="D436" s="49" t="inlineStr">
        <is>
          <t>VI. DT-Assisted Reliable Logistics Management</t>
        </is>
      </c>
      <c r="E436" s="49" t="inlineStr">
        <is>
          <t>Y</t>
        </is>
      </c>
    </row>
    <row r="437">
      <c r="A437" s="49" t="inlineStr">
        <is>
          <t>R0591</t>
        </is>
      </c>
      <c r="B437" s="49" t="inlineStr">
        <is>
          <t>FT_INCLUDE</t>
        </is>
      </c>
      <c r="C437" s="49" t="inlineStr">
        <is>
          <t>Our VerDT can assist logistic UAVs in exploring optimal distribution paths through accurate imitation and derivation with two kinds of DT models: a resource scheduling twin model and a path planning twin model.</t>
        </is>
      </c>
      <c r="D437" s="49" t="inlineStr">
        <is>
          <t>III. System Model</t>
        </is>
      </c>
      <c r="E437" s="49" t="inlineStr">
        <is>
          <t>Y</t>
        </is>
      </c>
    </row>
    <row r="438">
      <c r="A438" s="49" t="inlineStr">
        <is>
          <t>R0591</t>
        </is>
      </c>
      <c r="B438" s="49" t="inlineStr">
        <is>
          <t>FT_INCLUDE</t>
        </is>
      </c>
      <c r="C438" s="49" t="inlineStr">
        <is>
          <t>We deploy multiple UAVs randomly to implement 10 logistics distribution missions (represented by spheres and cubes) which are deployed in three different logistics warehouses.</t>
        </is>
      </c>
      <c r="D438" s="49" t="inlineStr">
        <is>
          <t>VI-A. Preliminary</t>
        </is>
      </c>
      <c r="E438" s="49" t="inlineStr">
        <is>
          <t>Y</t>
        </is>
      </c>
    </row>
    <row r="439">
      <c r="A439" s="49" t="inlineStr">
        <is>
          <t>R0591</t>
        </is>
      </c>
      <c r="B439" s="49" t="inlineStr">
        <is>
          <t>FT_INCLUDE</t>
        </is>
      </c>
      <c r="C439" s="49" t="inlineStr">
        <is>
          <t>our algorithm can efficiently integrate the computing resources of one-hop neighbors to implement cooperative computing for obtaining optimal cooperators based on a Multi-agent Deep Determined Policy Gradient (MA-DDPG) architecture.</t>
        </is>
      </c>
      <c r="D439" s="49" t="inlineStr">
        <is>
          <t>V-C. Resource Scheduling Twin Model Implementation</t>
        </is>
      </c>
      <c r="E439" s="49" t="inlineStr">
        <is>
          <t>Y</t>
        </is>
      </c>
    </row>
    <row r="440">
      <c r="A440" s="49" t="inlineStr">
        <is>
          <t>R0591</t>
        </is>
      </c>
      <c r="B440" s="49" t="inlineStr">
        <is>
          <t>FT_INCLUDE</t>
        </is>
      </c>
      <c r="C440" s="49" t="inlineStr">
        <is>
          <t>we propose a Particle Swarm Optimization (PSO)-based path planning algorithm in the virtual space.</t>
        </is>
      </c>
      <c r="D440" s="49" t="inlineStr">
        <is>
          <t>V-D. Path Planning Twin Model Implementation</t>
        </is>
      </c>
      <c r="E440" s="49" t="inlineStr">
        <is>
          <t>Y</t>
        </is>
      </c>
    </row>
    <row r="441">
      <c r="A441" s="49" t="inlineStr">
        <is>
          <t>R0591</t>
        </is>
      </c>
      <c r="B441" s="49" t="inlineStr">
        <is>
          <t>FT_INCLUDE</t>
        </is>
      </c>
      <c r="C441" s="49" t="inlineStr">
        <is>
          <t>As an attractive industry application, UAVs-based intelligent logistics has been widely investigated to achieve a fully automated distribution manner without the aid of a workforce.</t>
        </is>
      </c>
      <c r="D441" s="49" t="inlineStr">
        <is>
          <t>Abstract</t>
        </is>
      </c>
      <c r="E441" s="49" t="inlineStr">
        <is>
          <t>Y</t>
        </is>
      </c>
    </row>
    <row r="442">
      <c r="A442" s="49" t="inlineStr">
        <is>
          <t>R0591</t>
        </is>
      </c>
      <c r="B442" s="49" t="inlineStr">
        <is>
          <t>FT_INCLUDE</t>
        </is>
      </c>
      <c r="C442" s="49" t="inlineStr">
        <is>
          <t>The DT models can empower UAVs to autonomously adjust distribution paths. It can significantly reduce frequency of model updates for low computing latency.</t>
        </is>
      </c>
      <c r="D442" s="49" t="inlineStr">
        <is>
          <t>I. Introduction</t>
        </is>
      </c>
      <c r="E442" s="49" t="inlineStr">
        <is>
          <t>Y</t>
        </is>
      </c>
    </row>
    <row r="443">
      <c r="A443" s="49" t="inlineStr">
        <is>
          <t>R0614</t>
        </is>
      </c>
      <c r="B443" s="49" t="inlineStr">
        <is>
          <t>FT_INCLUDE</t>
        </is>
      </c>
      <c r="C443" s="49" t="inlineStr">
        <is>
          <t>We do not consider all simulations a digital twin because synchronization and learning are required for the simulations to serve as true digital twins.</t>
        </is>
      </c>
      <c r="D443" s="49" t="inlineStr">
        <is>
          <t>1. Introduction</t>
        </is>
      </c>
      <c r="E443" s="49" t="inlineStr">
        <is>
          <t>Y</t>
        </is>
      </c>
    </row>
    <row r="444">
      <c r="A444" s="49" t="inlineStr">
        <is>
          <t>R0614</t>
        </is>
      </c>
      <c r="B444" s="49" t="inlineStr">
        <is>
          <t>FT_INCLUDE</t>
        </is>
      </c>
      <c r="C444" s="49" t="inlineStr">
        <is>
          <t>Consequently, we would gain enhanced visibility not only into factory performance but also into the effectiveness of production, inventory, and delivery plans across the entire network of suppliers, plants, distribution centers, and customers.</t>
        </is>
      </c>
      <c r="D444" s="49" t="inlineStr">
        <is>
          <t>2. Factory and Supply Chain Twin Foundational Elements</t>
        </is>
      </c>
      <c r="E444" s="49" t="inlineStr">
        <is>
          <t>Y</t>
        </is>
      </c>
    </row>
    <row r="445">
      <c r="A445" s="49" t="inlineStr">
        <is>
          <t>R0614</t>
        </is>
      </c>
      <c r="B445" s="49" t="inlineStr">
        <is>
          <t>FT_INCLUDE</t>
        </is>
      </c>
      <c r="C445" s="49" t="inlineStr">
        <is>
          <t>Focusing on the role of simulation augmented by machine learning (ML) and reinforcement learning (RL), we touch on several challenges that arise in industrial twin use cases and how they can be overcome.</t>
        </is>
      </c>
      <c r="D445" s="49" t="inlineStr">
        <is>
          <t>1. Introduction</t>
        </is>
      </c>
      <c r="E445" s="49" t="inlineStr">
        <is>
          <t>Y</t>
        </is>
      </c>
    </row>
    <row r="446">
      <c r="A446" s="49" t="inlineStr">
        <is>
          <t>R0614</t>
        </is>
      </c>
      <c r="B446" s="49" t="inlineStr">
        <is>
          <t>FT_INCLUDE</t>
        </is>
      </c>
      <c r="C446" s="49" t="inlineStr">
        <is>
          <t>Once the training of the RL agents is completed, they can be deployed into the real environment where they make real-time recommendations about queue and resource control.</t>
        </is>
      </c>
      <c r="D446" s="49" t="inlineStr">
        <is>
          <t>7.4. Providing an Environment to Train Reinforcement Learning Agents</t>
        </is>
      </c>
      <c r="E446" s="49" t="inlineStr">
        <is>
          <t>Y</t>
        </is>
      </c>
    </row>
    <row r="447">
      <c r="A447" s="49" t="inlineStr">
        <is>
          <t>R0614</t>
        </is>
      </c>
      <c r="B447" s="49" t="inlineStr">
        <is>
          <t>FT_INCLUDE</t>
        </is>
      </c>
      <c r="C447" s="49" t="inlineStr">
        <is>
          <t>They are the actions that are recommended to control the factory floor and establish a closed feedback loop between physical and digital representations.</t>
        </is>
      </c>
      <c r="D447" s="49" t="inlineStr">
        <is>
          <t>4. Building and Operationalizing Digital Twins</t>
        </is>
      </c>
      <c r="E447" s="49" t="inlineStr">
        <is>
          <t>Y</t>
        </is>
      </c>
    </row>
    <row r="448">
      <c r="A448" s="49" t="inlineStr">
        <is>
          <t>R0614</t>
        </is>
      </c>
      <c r="B448" s="49" t="inlineStr">
        <is>
          <t>FT_INCLUDE</t>
        </is>
      </c>
      <c r="C448" s="49" t="inlineStr">
        <is>
          <t>It helps to identify the key risk drivers and allows the plant manager to focus on the most critical inputs enabling effective factory control.</t>
        </is>
      </c>
      <c r="D448" s="49" t="inlineStr">
        <is>
          <t>5.1. Factory Analytics Module</t>
        </is>
      </c>
      <c r="E448" s="49" t="inlineStr">
        <is>
          <t>Y</t>
        </is>
      </c>
    </row>
    <row r="449">
      <c r="A449" s="49" t="inlineStr">
        <is>
          <t>R0621</t>
        </is>
      </c>
      <c r="B449" s="49" t="inlineStr">
        <is>
          <t>FT_INCLUDE</t>
        </is>
      </c>
      <c r="C449" s="49" t="inlineStr">
        <is>
          <t>As described in Figure 2, the approach uses operational data to develop a digital twin-based decision support system for fresh food inventory.</t>
        </is>
      </c>
      <c r="D449" s="49" t="inlineStr">
        <is>
          <t>3. Proposed approach (PDF page 3 / p. 2745)</t>
        </is>
      </c>
      <c r="E449" s="49" t="inlineStr">
        <is>
          <t>Y</t>
        </is>
      </c>
    </row>
    <row r="450">
      <c r="A450" s="49" t="inlineStr">
        <is>
          <t>R0621</t>
        </is>
      </c>
      <c r="B450" s="49" t="inlineStr">
        <is>
          <t>FT_INCLUDE</t>
        </is>
      </c>
      <c r="C450" s="49" t="inlineStr">
        <is>
          <t>A case study of Banco Alimentare Campania Onlus (one of the Italian food banks) is used to evaluate the proposed approach.</t>
        </is>
      </c>
      <c r="D450" s="49" t="inlineStr">
        <is>
          <t>4. Case study (PDF page 3 / p. 2745)</t>
        </is>
      </c>
      <c r="E450" s="49" t="inlineStr">
        <is>
          <t>Y</t>
        </is>
      </c>
    </row>
    <row r="451">
      <c r="A451" s="49" t="inlineStr">
        <is>
          <t>R0621</t>
        </is>
      </c>
      <c r="B451" s="49" t="inlineStr">
        <is>
          <t>FT_INCLUDE</t>
        </is>
      </c>
      <c r="C451" s="49" t="inlineStr">
        <is>
          <t>The time series can be automated using SAP Analytics Cloud (SAP, 2022) and the model can be trained using a forecast algorithm.</t>
        </is>
      </c>
      <c r="D451" s="49" t="inlineStr">
        <is>
          <t>3. Proposed approach (PDF page 3 / p. 2745)</t>
        </is>
      </c>
      <c r="E451" s="49" t="inlineStr">
        <is>
          <t>Y</t>
        </is>
      </c>
    </row>
    <row r="452">
      <c r="A452" s="49" t="inlineStr">
        <is>
          <t>R0621</t>
        </is>
      </c>
      <c r="B452" s="49" t="inlineStr">
        <is>
          <t>FT_INCLUDE</t>
        </is>
      </c>
      <c r="C452" s="49" t="inlineStr">
        <is>
          <t>The model was created and trained in the SAP Analytics Cloud using historical data from the food bank.</t>
        </is>
      </c>
      <c r="D452" s="49" t="inlineStr">
        <is>
          <t>4. Case study (PDF page 4 / p. 2746)</t>
        </is>
      </c>
      <c r="E452" s="49" t="inlineStr">
        <is>
          <t>Y</t>
        </is>
      </c>
    </row>
    <row r="453">
      <c r="A453" s="49" t="inlineStr">
        <is>
          <t>R0621</t>
        </is>
      </c>
      <c r="B453" s="49" t="inlineStr">
        <is>
          <t>FT_INCLUDE</t>
        </is>
      </c>
      <c r="C453" s="49" t="inlineStr">
        <is>
          <t>The use of a digital twin, on the other hand, will make it easier for food bank operators to reschedule incoming and outgoing logistics.</t>
        </is>
      </c>
      <c r="D453" s="49" t="inlineStr">
        <is>
          <t>4. Case study (PDF page 3 / p. 2745)</t>
        </is>
      </c>
      <c r="E453" s="49" t="inlineStr">
        <is>
          <t>Y</t>
        </is>
      </c>
    </row>
    <row r="454">
      <c r="A454" s="49" t="inlineStr">
        <is>
          <t>R0621</t>
        </is>
      </c>
      <c r="B454" s="49" t="inlineStr">
        <is>
          <t>FT_INCLUDE</t>
        </is>
      </c>
      <c r="C454" s="49" t="inlineStr">
        <is>
          <t>If the incoming donation exceeds the outbound logistics, the food bank will reschedule the immediate delivery of fruits to a charity organization according to the predictive forecast.</t>
        </is>
      </c>
      <c r="D454" s="49" t="inlineStr">
        <is>
          <t>4. Case study (PDF pages 4-5 / pp. 2746-2747)</t>
        </is>
      </c>
      <c r="E454" s="49" t="inlineStr">
        <is>
          <t>check</t>
        </is>
      </c>
    </row>
    <row r="455">
      <c r="A455" s="49" t="inlineStr">
        <is>
          <t>R0629</t>
        </is>
      </c>
      <c r="B455" s="49" t="inlineStr">
        <is>
          <t>FT_INCLUDE</t>
        </is>
      </c>
      <c r="C455" s="49" t="inlineStr">
        <is>
          <t>this layer is constructed based on a digital twin model, realizing visual monitoring of the assembly process; management and control of plans, processes, logistics and quality are achieved via the calculation and analysis of the data-driven digital twin model.</t>
        </is>
      </c>
      <c r="D455" s="49" t="inlineStr">
        <is>
          <t>2.2 System architecture, Application layer (PDF p.3 / printed p.2)</t>
        </is>
      </c>
      <c r="E455" s="49" t="inlineStr">
        <is>
          <t>Y</t>
        </is>
      </c>
    </row>
    <row r="456">
      <c r="A456" s="49" t="inlineStr">
        <is>
          <t>R0629</t>
        </is>
      </c>
      <c r="B456" s="49" t="inlineStr">
        <is>
          <t>FT_INCLUDE</t>
        </is>
      </c>
      <c r="C456" s="49" t="inlineStr">
        <is>
          <t>a 3D modeling approach is used to establish the digital twin of the automatic material distribution process in the assembly workshop, so as to realize the dynamic planning simulation of logistics tasks in the assembly workshop</t>
        </is>
      </c>
      <c r="D456" s="49" t="inlineStr">
        <is>
          <t>3.1 Visual monitoring mode based on digital twin (PDF p.4 / printed p.3)</t>
        </is>
      </c>
      <c r="E456" s="49" t="inlineStr">
        <is>
          <t>Y</t>
        </is>
      </c>
    </row>
    <row r="457">
      <c r="A457" s="49" t="inlineStr">
        <is>
          <t>R0629</t>
        </is>
      </c>
      <c r="B457" s="49" t="inlineStr">
        <is>
          <t>FT_INCLUDE</t>
        </is>
      </c>
      <c r="C457" s="49" t="inlineStr">
        <is>
          <t>A digital twin mode of entities corresponding to the assembly site is constructed and data mining is carried out, so as to form a plan optimization information, logistics information, quality optimization information</t>
        </is>
      </c>
      <c r="D457" s="49" t="inlineStr">
        <is>
          <t>3.2 Analysis, control and decision-making mode, workshop level (PDF p.4 / printed p.3)</t>
        </is>
      </c>
      <c r="E457" s="49" t="inlineStr">
        <is>
          <t>Y</t>
        </is>
      </c>
    </row>
    <row r="458">
      <c r="A458" s="49" t="inlineStr">
        <is>
          <t>R0629</t>
        </is>
      </c>
      <c r="B458" s="49" t="inlineStr">
        <is>
          <t>FT_INCLUDE</t>
        </is>
      </c>
      <c r="C458" s="49" t="inlineStr">
        <is>
          <t>based on fuzzy reasoning rules, find the matching static model of the production system in the object database ... so as to realize equipment monitoring, equipment troubleshooting and logistics path optimization, inventory optimization</t>
        </is>
      </c>
      <c r="D458" s="49" t="inlineStr">
        <is>
          <t>3.2 Analysis, control and decision-making mode, production line level, Fig. 3 (PDF p.5 / printed p.4)</t>
        </is>
      </c>
      <c r="E458" s="49" t="inlineStr">
        <is>
          <t>Y</t>
        </is>
      </c>
    </row>
    <row r="459">
      <c r="A459" s="49" t="inlineStr">
        <is>
          <t>R0629</t>
        </is>
      </c>
      <c r="B459" s="49" t="inlineStr">
        <is>
          <t>FT_INCLUDE</t>
        </is>
      </c>
      <c r="C459" s="49" t="inlineStr">
        <is>
          <t>Introduce auxiliary assembly equipment such as cabin docking, establish automatic assembly stations in place of manual operation, and improve assembly efficiency and quality conformance</t>
        </is>
      </c>
      <c r="D459" s="49" t="inlineStr">
        <is>
          <t>2.1 Technical approach, item (3) (PDF p.3 / printed p.2)</t>
        </is>
      </c>
      <c r="E459" s="49" t="inlineStr">
        <is>
          <t>Y</t>
        </is>
      </c>
    </row>
    <row r="460">
      <c r="A460" s="49" t="inlineStr">
        <is>
          <t>R0629</t>
        </is>
      </c>
      <c r="B460" s="49" t="inlineStr">
        <is>
          <t>FT_INCLUDE</t>
        </is>
      </c>
      <c r="C460" s="49" t="inlineStr">
        <is>
          <t>The ERP system releases production orders. Dispatchers and operators prepare for production according to production tasks. The assembly process integration management and control software system receives the production orders and assembly process planning scheme.</t>
        </is>
      </c>
      <c r="D460" s="49" t="inlineStr">
        <is>
          <t>4 Application verification (PDF p.6 / printed p.5)</t>
        </is>
      </c>
      <c r="E460" s="49" t="inlineStr">
        <is>
          <t>Y</t>
        </is>
      </c>
    </row>
    <row r="461">
      <c r="A461" s="49" t="inlineStr">
        <is>
          <t>R0639</t>
        </is>
      </c>
      <c r="B461" s="49" t="inlineStr">
        <is>
          <t>FT_INCLUDE</t>
        </is>
      </c>
      <c r="C461" s="49" t="inlineStr">
        <is>
          <t>A digital twin was created for each corporation and its subsidiaries, integrating risk predictions, optimization policies, and supply network topology to enable scenario analysis.</t>
        </is>
      </c>
      <c r="D461" s="49" t="inlineStr">
        <is>
          <t>Results &gt; Scenario Simulations</t>
        </is>
      </c>
      <c r="E461" s="49" t="inlineStr">
        <is>
          <t>Y</t>
        </is>
      </c>
    </row>
    <row r="462">
      <c r="A462" s="49" t="inlineStr">
        <is>
          <t>R0639</t>
        </is>
      </c>
      <c r="B462" s="49" t="inlineStr">
        <is>
          <t>FT_INCLUDE</t>
        </is>
      </c>
      <c r="C462" s="49" t="inlineStr">
        <is>
          <t>A digital twin, a virtual replica with embedded data and models, executes what-if scenarios (e.g., port closure, upstream failure, last-mile congestion) to compare policies under controlled shocks.</t>
        </is>
      </c>
      <c r="D462" s="49" t="inlineStr">
        <is>
          <t>Methodology &gt; Analytical Framework &gt; Prescriptive Layer: Optimisation and Digital Twins</t>
        </is>
      </c>
      <c r="E462" s="49" t="inlineStr">
        <is>
          <t>Y</t>
        </is>
      </c>
    </row>
    <row r="463">
      <c r="A463" s="49" t="inlineStr">
        <is>
          <t>R0639</t>
        </is>
      </c>
      <c r="B463" s="49" t="inlineStr">
        <is>
          <t>FT_INCLUDE</t>
        </is>
      </c>
      <c r="C463" s="49" t="inlineStr">
        <is>
          <t>A synthetic panel was constructed comprising 50 MNCs, each with 20 subsidiaries (N = 1,000 units), observed monthly from January 2020 to December 2024.</t>
        </is>
      </c>
      <c r="D463" s="49" t="inlineStr">
        <is>
          <t>Methodology &gt; Dataset Construction &gt; Sample and Period</t>
        </is>
      </c>
      <c r="E463" s="49" t="inlineStr">
        <is>
          <t>Y</t>
        </is>
      </c>
    </row>
    <row r="464">
      <c r="A464" s="49" t="inlineStr">
        <is>
          <t>R0639</t>
        </is>
      </c>
      <c r="B464" s="49" t="inlineStr">
        <is>
          <t>FT_INCLUDE</t>
        </is>
      </c>
      <c r="C464" s="49" t="inlineStr">
        <is>
          <t>Four models, random forest, XGBoost, LSTM, and FGCN, were trained to estimate disruption risk scores</t>
        </is>
      </c>
      <c r="D464" s="49" t="inlineStr">
        <is>
          <t>Results &gt; Predictive Model Performance</t>
        </is>
      </c>
      <c r="E464" s="49" t="inlineStr">
        <is>
          <t>Y</t>
        </is>
      </c>
    </row>
    <row r="465">
      <c r="A465" s="49" t="inlineStr">
        <is>
          <t>R0639</t>
        </is>
      </c>
      <c r="B465" s="49" t="inlineStr">
        <is>
          <t>FT_INCLUDE</t>
        </is>
      </c>
      <c r="C465" s="49" t="inlineStr">
        <is>
          <t>The digital twin supports this translation by evaluating these levers under baseline and stress scenarios and reporting outcomes in managerial terms (cost efficiency, service stability, and recovery time).</t>
        </is>
      </c>
      <c r="D465" s="49" t="inlineStr">
        <is>
          <t>Methodology &gt; Translating Predictions Into Implementable Action</t>
        </is>
      </c>
      <c r="E465" s="49" t="inlineStr">
        <is>
          <t>Y</t>
        </is>
      </c>
    </row>
    <row r="466">
      <c r="A466" s="49" t="inlineStr">
        <is>
          <t>R0639</t>
        </is>
      </c>
      <c r="B466" s="49" t="inlineStr">
        <is>
          <t>FT_INCLUDE</t>
        </is>
      </c>
      <c r="C466" s="49" t="inlineStr">
        <is>
          <t>the managerial interface of the framework is intentionally simple: The key operational output is a risk score and an explanation of its dominant drivers, followed by scenario-tested mitigation options with measurable trade-offs.</t>
        </is>
      </c>
      <c r="D466" s="49" t="inlineStr">
        <is>
          <t>Discussion &gt; Interpretation of Results Through the Knowledge Framework</t>
        </is>
      </c>
      <c r="E466" s="49" t="inlineStr">
        <is>
          <t>Y</t>
        </is>
      </c>
    </row>
    <row r="467">
      <c r="A467" s="49" t="inlineStr">
        <is>
          <t>R0663</t>
        </is>
      </c>
      <c r="B467" s="49" t="inlineStr">
        <is>
          <t>FT_INCLUDE</t>
        </is>
      </c>
      <c r="C467" s="49" t="inlineStr">
        <is>
          <t>Traditional digital-twin simulators, which are powered by complex optimization algorithms, are high-fidelity but can be computationally expensive and difficult to experiment with.</t>
        </is>
      </c>
      <c r="D467" s="49" t="inlineStr">
        <is>
          <t>Abstract (p. 462)</t>
        </is>
      </c>
      <c r="E467" s="49" t="inlineStr">
        <is>
          <t>Y</t>
        </is>
      </c>
    </row>
    <row r="468">
      <c r="A468" s="49" t="inlineStr">
        <is>
          <t>R0663</t>
        </is>
      </c>
      <c r="B468" s="49" t="inlineStr">
        <is>
          <t>FT_INCLUDE</t>
        </is>
      </c>
      <c r="C468" s="49" t="inlineStr">
        <is>
          <t>we compare the simulated inbound inventory volume against the real world volume for both the baseline simulator and SEmulate, where we do not observe tangible degradation on accuracy.</t>
        </is>
      </c>
      <c r="D468" s="49" t="inlineStr">
        <is>
          <t>4.5 Amazon's Supply Chain Simulation (p. 472)</t>
        </is>
      </c>
      <c r="E468" s="49" t="inlineStr">
        <is>
          <t>Y</t>
        </is>
      </c>
    </row>
    <row r="469">
      <c r="A469" s="49" t="inlineStr">
        <is>
          <t>R0663</t>
        </is>
      </c>
      <c r="B469" s="49" t="inlineStr">
        <is>
          <t>FT_INCLUDE</t>
        </is>
      </c>
      <c r="C469" s="49" t="inlineStr">
        <is>
          <t>The novelty of SEmulate lies in that instead of solving the complex optimization, we utilize existing data and leverage ML to learn the relationship between the input features and the optimized decisions.</t>
        </is>
      </c>
      <c r="D469" s="49" t="inlineStr">
        <is>
          <t>3.1 Order Placing Module (p. 466)</t>
        </is>
      </c>
      <c r="E469" s="49" t="inlineStr">
        <is>
          <t>Y</t>
        </is>
      </c>
    </row>
    <row r="470">
      <c r="A470" s="49" t="inlineStr">
        <is>
          <t>R0663</t>
        </is>
      </c>
      <c r="B470" s="49" t="inlineStr">
        <is>
          <t>FT_INCLUDE</t>
        </is>
      </c>
      <c r="C470" s="49" t="inlineStr">
        <is>
          <t>For our use case, we balance the three evaluation metrics in Table 1 and choose the monotonic XgBoost model with monotone constraints</t>
        </is>
      </c>
      <c r="D470" s="49" t="inlineStr">
        <is>
          <t>3.1.1 TIP Model (p. 467)</t>
        </is>
      </c>
      <c r="E470" s="49" t="inlineStr">
        <is>
          <t>Y</t>
        </is>
      </c>
    </row>
    <row r="471">
      <c r="A471" s="49" t="inlineStr">
        <is>
          <t>R0663</t>
        </is>
      </c>
      <c r="B471" s="49" t="inlineStr">
        <is>
          <t>FT_INCLUDE</t>
        </is>
      </c>
      <c r="C471" s="49" t="inlineStr">
        <is>
          <t>one of the biggest drawback of emulators is that it lacks explainability especially for black-box models, and is hard to earn trust with stakeholders on the reliability of the models.</t>
        </is>
      </c>
      <c r="D471" s="49" t="inlineStr">
        <is>
          <t>1 Introduction (p. 463)</t>
        </is>
      </c>
      <c r="E471" s="49" t="inlineStr">
        <is>
          <t>Y</t>
        </is>
      </c>
    </row>
    <row r="472">
      <c r="A472" s="49" t="inlineStr">
        <is>
          <t>R0663</t>
        </is>
      </c>
      <c r="B472" s="49" t="inlineStr">
        <is>
          <t>FT_INCLUDE</t>
        </is>
      </c>
      <c r="C472" s="49" t="inlineStr">
        <is>
          <t>This light-weight hybrid simulator can easily run on desktops, offering a rapid and quick experimentation platform for users to test out different interventions.</t>
        </is>
      </c>
      <c r="D472" s="49" t="inlineStr">
        <is>
          <t>2 Overview of SEmulate on Retail Supply Chain Systems, end (p. 466)</t>
        </is>
      </c>
      <c r="E472" s="49" t="inlineStr">
        <is>
          <t>Y</t>
        </is>
      </c>
    </row>
    <row r="473">
      <c r="A473" s="49" t="inlineStr">
        <is>
          <t>R0664</t>
        </is>
      </c>
      <c r="B473" s="49" t="inlineStr">
        <is>
          <t>FT_EXCLUDE</t>
        </is>
      </c>
      <c r="C473" s="49" t="inlineStr">
        <is>
          <t>In summary, all these three levels constitute a digital twin that provides data and information for analysis of behaviours in the supply chain.</t>
        </is>
      </c>
      <c r="D473" s="49" t="inlineStr">
        <is>
          <t>3. IoB SCOM framework (twin: three-level architecture data collection / data integration / data analytics and knowledge management, Figure 1)</t>
        </is>
      </c>
      <c r="E473" s="49" t="inlineStr">
        <is>
          <t>Y</t>
        </is>
      </c>
    </row>
    <row r="474">
      <c r="A474" s="49" t="inlineStr">
        <is>
          <t>R0664</t>
        </is>
      </c>
      <c r="B474" s="49" t="inlineStr">
        <is>
          <t>FT_EXCLUDE</t>
        </is>
      </c>
      <c r="C474" s="49" t="inlineStr">
        <is>
          <t>Since the topic of the IoB is relatively new, we do not delve into empirical case studies or technological implementations, as these are currently lacking.</t>
        </is>
      </c>
      <c r="D474" s="49" t="inlineStr">
        <is>
          <t>1. Introduction (position paper; nothing executed)</t>
        </is>
      </c>
      <c r="E474" s="49" t="inlineStr">
        <is>
          <t>Y</t>
        </is>
      </c>
    </row>
    <row r="475">
      <c r="A475" s="49" t="inlineStr">
        <is>
          <t>R0664</t>
        </is>
      </c>
      <c r="B475" s="49" t="inlineStr">
        <is>
          <t>FT_EXCLUDE</t>
        </is>
      </c>
      <c r="C475" s="49" t="inlineStr">
        <is>
          <t>At the third level of the digital management system and decision support, data analytics, simulation and optimisation, AI and generative AI, process mining, and performance visual analytics enable the transformation of information into knowledge.</t>
        </is>
      </c>
      <c r="D475" s="49" t="inlineStr">
        <is>
          <t>3. IoB SCOM framework (only AI statement inside the proposed model: AI listed among six enabling technologies, no named method)</t>
        </is>
      </c>
      <c r="E475" s="49" t="inlineStr">
        <is>
          <t>Y</t>
        </is>
      </c>
    </row>
    <row r="476">
      <c r="A476" s="49" t="inlineStr">
        <is>
          <t>R0664</t>
        </is>
      </c>
      <c r="B476" s="49" t="inlineStr">
        <is>
          <t>FT_EXCLUDE</t>
        </is>
      </c>
      <c r="C476" s="49" t="inlineStr">
        <is>
          <t>Generative AI helps in prediction, optimisation, and anomaly/failure detection in SCOM (Jackson et al. 2024; Jackson, Saenz, and Ivanov 2024). As such, generative AI is an important contributor to the IoB in SCOM.</t>
        </is>
      </c>
      <c r="D476" s="49" t="inlineStr">
        <is>
          <t>4. Implications of IoB on SCOM (AI roles attributed by citation to other works, not designed into the framework)</t>
        </is>
      </c>
      <c r="E476" s="49" t="inlineStr">
        <is>
          <t>check</t>
        </is>
      </c>
    </row>
    <row r="477">
      <c r="A477" s="49" t="inlineStr">
        <is>
          <t>R0664</t>
        </is>
      </c>
      <c r="B477" s="49" t="inlineStr">
        <is>
          <t>FT_EXCLUDE</t>
        </is>
      </c>
      <c r="C477" s="49" t="inlineStr">
        <is>
          <t>Their mutual combinations can help develop decision-support systems that do not only replicate the logical rules of humans but also allow understanding the supply chains better through self-learning.</t>
        </is>
      </c>
      <c r="D477" s="49" t="inlineStr">
        <is>
          <t>4. Implications of IoB on SCOM (paragraph 'A very important part of IoB in SCOM is related to human-AI collaboration', citing Ivanov 2023 iDT)</t>
        </is>
      </c>
      <c r="E477" s="49" t="inlineStr">
        <is>
          <t>Y</t>
        </is>
      </c>
    </row>
    <row r="478">
      <c r="A478" s="49" t="inlineStr">
        <is>
          <t>R0664</t>
        </is>
      </c>
      <c r="B478" s="49" t="inlineStr">
        <is>
          <t>FT_EXCLUDE</t>
        </is>
      </c>
      <c r="C478" s="49" t="inlineStr">
        <is>
          <t>IoB can help in decision-making support in SCOM enhancing the expertise of managers, their knowledge and skills through real-time data and information about customers, the firm’s supply chain, and supplier behaviours.</t>
        </is>
      </c>
      <c r="D478" s="49" t="inlineStr">
        <is>
          <t>5. Conclusion (HITL statement: manager remains the decision-maker whose expertise is augmented; 'cognitive biases in human-AI interactions' left as future research)</t>
        </is>
      </c>
      <c r="E478" s="49" t="inlineStr">
        <is>
          <t>Y</t>
        </is>
      </c>
    </row>
    <row r="479">
      <c r="A479" s="49" t="inlineStr">
        <is>
          <t>R0674</t>
        </is>
      </c>
      <c r="B479" s="49" t="inlineStr">
        <is>
          <t>FT_INCLUDE</t>
        </is>
      </c>
      <c r="C479" s="49" t="inlineStr">
        <is>
          <t>CDTs which utilise machine learning can sense and detect complex and unpredictable behaviours. Therefore, a Cognitive Digital Supply Chain Twin (CDSCT) permits disruption detection in the supply chain and quick deployment of recovery plans in real-time upon disruption detection.</t>
        </is>
      </c>
      <c r="D479" s="49" t="inlineStr">
        <is>
          <t>1 Introduction</t>
        </is>
      </c>
      <c r="E479" s="49" t="inlineStr">
        <is>
          <t>Y</t>
        </is>
      </c>
    </row>
    <row r="480">
      <c r="A480" s="49" t="inlineStr">
        <is>
          <t>R0674</t>
        </is>
      </c>
      <c r="B480" s="49" t="inlineStr">
        <is>
          <t>FT_INCLUDE</t>
        </is>
      </c>
      <c r="C480" s="49" t="inlineStr">
        <is>
          <t>Figure 1a demonstrates the CDSCT during the operational phase. Supply chain disruptions are detected based on a real-time data stream from an existing supply chain.</t>
        </is>
      </c>
      <c r="D480" s="49" t="inlineStr">
        <is>
          <t>3 Problem statement</t>
        </is>
      </c>
      <c r="E480" s="49" t="inlineStr">
        <is>
          <t>Y</t>
        </is>
      </c>
    </row>
    <row r="481">
      <c r="A481" s="49" t="inlineStr">
        <is>
          <t>R0674</t>
        </is>
      </c>
      <c r="B481" s="49" t="inlineStr">
        <is>
          <t>FT_INCLUDE</t>
        </is>
      </c>
      <c r="C481" s="49" t="inlineStr">
        <is>
          <t>A single supplier, manufacturer, and distributor constitute the three-echelon virtual supply chain. An additional component, demand, corresponds to the initiated customer order quantity.</t>
        </is>
      </c>
      <c r="D481" s="49" t="inlineStr">
        <is>
          <t>5.1 The virtual supply chain structure</t>
        </is>
      </c>
      <c r="E481" s="49" t="inlineStr">
        <is>
          <t>Y</t>
        </is>
      </c>
    </row>
    <row r="482">
      <c r="A482" s="49" t="inlineStr">
        <is>
          <t>R0674</t>
        </is>
      </c>
      <c r="B482" s="49" t="inlineStr">
        <is>
          <t>FT_INCLUDE</t>
        </is>
      </c>
      <c r="C482" s="49" t="inlineStr">
        <is>
          <t>Early disruption detection is enabled through a hybrid deep learning-based approach using a deep autoencoder neural network and the OCSVM algorithm. In addition to early disruption detection, the CDSCT permits disrupted echelon identification and TTR prediction.</t>
        </is>
      </c>
      <c r="D482" s="49" t="inlineStr">
        <is>
          <t>2.3 Cognitive digital twins</t>
        </is>
      </c>
      <c r="E482" s="49" t="inlineStr">
        <is>
          <t>Y</t>
        </is>
      </c>
    </row>
    <row r="483">
      <c r="A483" s="49" t="inlineStr">
        <is>
          <t>R0674</t>
        </is>
      </c>
      <c r="B483" s="49" t="inlineStr">
        <is>
          <t>FT_INCLUDE</t>
        </is>
      </c>
      <c r="C483" s="49" t="inlineStr">
        <is>
          <t>Therefore, the decision-maker should compromise the combination between the acceptable limits for the performance measures. A suggested solution is to maintain shorter delays. The false alarms can be handled using the proposed LSTM neural network classification model.</t>
        </is>
      </c>
      <c r="D483" s="49" t="inlineStr">
        <is>
          <t>6.2 Disruption detection using deep autoencoders and one-class support vector machine algorithm</t>
        </is>
      </c>
      <c r="E483" s="49" t="inlineStr">
        <is>
          <t>Y</t>
        </is>
      </c>
    </row>
    <row r="484">
      <c r="A484" s="49" t="inlineStr">
        <is>
          <t>R0674</t>
        </is>
      </c>
      <c r="B484" s="49" t="inlineStr">
        <is>
          <t>FT_INCLUDE</t>
        </is>
      </c>
      <c r="C484" s="49" t="inlineStr">
        <is>
          <t>DSCTs can help decision-makers make appropriate decisions based on real-time disruption detection data.</t>
        </is>
      </c>
      <c r="D484" s="49" t="inlineStr">
        <is>
          <t>7 Managerial implications</t>
        </is>
      </c>
      <c r="E484" s="49" t="inlineStr">
        <is>
          <t>Y</t>
        </is>
      </c>
    </row>
  </sheetData>
  <autoFilter ref="A1:E48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cols>
    <col width="46" customWidth="1" style="17" min="1" max="1"/>
    <col width="24" customWidth="1" style="17" min="2" max="2"/>
    <col width="24" customWidth="1" style="17" min="3" max="3"/>
    <col width="24" customWidth="1" style="17" min="4" max="4"/>
    <col width="24" customWidth="1" style="17" min="5" max="5"/>
    <col width="24" customWidth="1" style="17" min="6" max="6"/>
    <col width="24" customWidth="1" style="17" min="7" max="7"/>
    <col width="12" customWidth="1" style="17" min="8" max="8"/>
  </cols>
  <sheetData>
    <row r="1">
      <c r="A1" s="70" t="inlineStr">
        <is>
          <t>SYNTHESIS OF THE 62 INCLUDED STUDIES (full-text stage closed 2026-09-06). Multi-valued fields are counted on their primary value.</t>
        </is>
      </c>
      <c r="B1" s="49" t="n"/>
      <c r="C1" s="49" t="n"/>
      <c r="D1" s="49" t="n"/>
      <c r="E1" s="49" t="n"/>
      <c r="F1" s="49" t="n"/>
      <c r="G1" s="49" t="n"/>
    </row>
    <row r="2">
      <c r="A2" s="49" t="n"/>
      <c r="B2" s="49" t="n"/>
      <c r="C2" s="49" t="n"/>
      <c r="D2" s="49" t="n"/>
      <c r="E2" s="49" t="n"/>
      <c r="F2" s="49" t="n"/>
      <c r="G2" s="49" t="n"/>
    </row>
    <row r="3">
      <c r="A3" s="70" t="inlineStr">
        <is>
          <t>A. Evidence type</t>
        </is>
      </c>
      <c r="B3" s="49" t="n"/>
      <c r="C3" s="49" t="n"/>
      <c r="D3" s="49" t="n"/>
      <c r="E3" s="49" t="n"/>
      <c r="F3" s="49" t="n"/>
      <c r="G3" s="49" t="n"/>
    </row>
    <row r="4">
      <c r="A4" s="48" t="inlineStr">
        <is>
          <t>Category</t>
        </is>
      </c>
      <c r="B4" s="48" t="inlineStr">
        <is>
          <t>n</t>
        </is>
      </c>
      <c r="C4" s="48" t="inlineStr">
        <is>
          <t>% of 62</t>
        </is>
      </c>
      <c r="D4" s="49" t="n"/>
      <c r="E4" s="49" t="n"/>
      <c r="F4" s="49" t="n"/>
      <c r="G4" s="49" t="n"/>
    </row>
    <row r="5">
      <c r="A5" s="49" t="inlineStr">
        <is>
          <t>Simulation/synthetic</t>
        </is>
      </c>
      <c r="B5" s="49" t="n">
        <v>26</v>
      </c>
      <c r="C5" s="49" t="n">
        <v>41.9</v>
      </c>
      <c r="D5" s="49" t="n"/>
      <c r="E5" s="49" t="n"/>
      <c r="F5" s="49" t="n"/>
      <c r="G5" s="49" t="n"/>
    </row>
    <row r="6">
      <c r="A6" s="49" t="inlineStr">
        <is>
          <t>Conceptual</t>
        </is>
      </c>
      <c r="B6" s="49" t="n">
        <v>15</v>
      </c>
      <c r="C6" s="49" t="n">
        <v>24.2</v>
      </c>
      <c r="D6" s="49" t="n"/>
      <c r="E6" s="49" t="n"/>
      <c r="F6" s="49" t="n"/>
      <c r="G6" s="49" t="n"/>
    </row>
    <row r="7">
      <c r="A7" s="49" t="inlineStr">
        <is>
          <t>Empirical case</t>
        </is>
      </c>
      <c r="B7" s="49" t="n">
        <v>15</v>
      </c>
      <c r="C7" s="49" t="n">
        <v>24.2</v>
      </c>
      <c r="D7" s="49" t="n"/>
      <c r="E7" s="49" t="n"/>
      <c r="F7" s="49" t="n"/>
      <c r="G7" s="49" t="n"/>
    </row>
    <row r="8">
      <c r="A8" s="49" t="inlineStr">
        <is>
          <t>Empirical data</t>
        </is>
      </c>
      <c r="B8" s="49" t="n">
        <v>6</v>
      </c>
      <c r="C8" s="49" t="n">
        <v>9.699999999999999</v>
      </c>
      <c r="D8" s="49" t="n"/>
      <c r="E8" s="49" t="n"/>
      <c r="F8" s="49" t="n"/>
      <c r="G8" s="49" t="n"/>
    </row>
    <row r="9">
      <c r="A9" s="49" t="n"/>
      <c r="B9" s="49" t="n"/>
      <c r="C9" s="49" t="n"/>
      <c r="D9" s="49" t="n"/>
      <c r="E9" s="49" t="n"/>
      <c r="F9" s="49" t="n"/>
      <c r="G9" s="49" t="n"/>
    </row>
    <row r="10">
      <c r="A10" s="70" t="inlineStr">
        <is>
          <t>B. Sector</t>
        </is>
      </c>
      <c r="B10" s="49" t="n"/>
      <c r="C10" s="49" t="n"/>
      <c r="D10" s="49" t="n"/>
      <c r="E10" s="49" t="n"/>
      <c r="F10" s="49" t="n"/>
      <c r="G10" s="49" t="n"/>
    </row>
    <row r="11">
      <c r="A11" s="48" t="inlineStr">
        <is>
          <t>Category</t>
        </is>
      </c>
      <c r="B11" s="48" t="inlineStr">
        <is>
          <t>n</t>
        </is>
      </c>
      <c r="C11" s="48" t="inlineStr">
        <is>
          <t>% of 62</t>
        </is>
      </c>
      <c r="D11" s="49" t="n"/>
      <c r="E11" s="49" t="n"/>
      <c r="F11" s="49" t="n"/>
      <c r="G11" s="49" t="n"/>
    </row>
    <row r="12">
      <c r="A12" s="49" t="inlineStr">
        <is>
          <t>Generic</t>
        </is>
      </c>
      <c r="B12" s="49" t="n">
        <v>18</v>
      </c>
      <c r="C12" s="49" t="n">
        <v>29</v>
      </c>
      <c r="D12" s="49" t="n"/>
      <c r="E12" s="49" t="n"/>
      <c r="F12" s="49" t="n"/>
      <c r="G12" s="49" t="n"/>
    </row>
    <row r="13">
      <c r="A13" s="49" t="inlineStr">
        <is>
          <t>Warehousing</t>
        </is>
      </c>
      <c r="B13" s="49" t="n">
        <v>6</v>
      </c>
      <c r="C13" s="49" t="n">
        <v>9.699999999999999</v>
      </c>
      <c r="D13" s="49" t="n"/>
      <c r="E13" s="49" t="n"/>
      <c r="F13" s="49" t="n"/>
      <c r="G13" s="49" t="n"/>
    </row>
    <row r="14">
      <c r="A14" s="49" t="inlineStr">
        <is>
          <t>Food</t>
        </is>
      </c>
      <c r="B14" s="49" t="n">
        <v>5</v>
      </c>
      <c r="C14" s="49" t="n">
        <v>8.1</v>
      </c>
      <c r="D14" s="49" t="n"/>
      <c r="E14" s="49" t="n"/>
      <c r="F14" s="49" t="n"/>
      <c r="G14" s="49" t="n"/>
    </row>
    <row r="15">
      <c r="A15" s="49" t="inlineStr">
        <is>
          <t>Discrete manufacturing</t>
        </is>
      </c>
      <c r="B15" s="49" t="n">
        <v>3</v>
      </c>
      <c r="C15" s="49" t="n">
        <v>4.8</v>
      </c>
      <c r="D15" s="49" t="n"/>
      <c r="E15" s="49" t="n"/>
      <c r="F15" s="49" t="n"/>
      <c r="G15" s="49" t="n"/>
    </row>
    <row r="16">
      <c r="A16" s="49" t="inlineStr">
        <is>
          <t>Manufacturing</t>
        </is>
      </c>
      <c r="B16" s="49" t="n">
        <v>3</v>
      </c>
      <c r="C16" s="49" t="n">
        <v>4.8</v>
      </c>
      <c r="D16" s="49" t="n"/>
      <c r="E16" s="49" t="n"/>
      <c r="F16" s="49" t="n"/>
      <c r="G16" s="49" t="n"/>
    </row>
    <row r="17">
      <c r="A17" s="49" t="inlineStr">
        <is>
          <t>Maritime</t>
        </is>
      </c>
      <c r="B17" s="49" t="n">
        <v>3</v>
      </c>
      <c r="C17" s="49" t="n">
        <v>4.8</v>
      </c>
      <c r="D17" s="49" t="n"/>
      <c r="E17" s="49" t="n"/>
      <c r="F17" s="49" t="n"/>
      <c r="G17" s="49" t="n"/>
    </row>
    <row r="18">
      <c r="A18" s="49" t="inlineStr">
        <is>
          <t>Automotive</t>
        </is>
      </c>
      <c r="B18" s="49" t="n">
        <v>2</v>
      </c>
      <c r="C18" s="49" t="n">
        <v>3.2</v>
      </c>
      <c r="D18" s="49" t="n"/>
      <c r="E18" s="49" t="n"/>
      <c r="F18" s="49" t="n"/>
      <c r="G18" s="49" t="n"/>
    </row>
    <row r="19">
      <c r="A19" s="49" t="inlineStr">
        <is>
          <t>Retail</t>
        </is>
      </c>
      <c r="B19" s="49" t="n">
        <v>2</v>
      </c>
      <c r="C19" s="49" t="n">
        <v>3.2</v>
      </c>
      <c r="D19" s="49" t="n"/>
      <c r="E19" s="49" t="n"/>
      <c r="F19" s="49" t="n"/>
      <c r="G19" s="49" t="n"/>
    </row>
    <row r="20">
      <c r="A20" s="49" t="inlineStr">
        <is>
          <t>Aerospace</t>
        </is>
      </c>
      <c r="B20" s="49" t="n">
        <v>1</v>
      </c>
      <c r="C20" s="49" t="n">
        <v>1.6</v>
      </c>
      <c r="D20" s="49" t="n"/>
      <c r="E20" s="49" t="n"/>
      <c r="F20" s="49" t="n"/>
      <c r="G20" s="49" t="n"/>
    </row>
    <row r="21">
      <c r="A21" s="49" t="inlineStr">
        <is>
          <t>Circular manufacturing</t>
        </is>
      </c>
      <c r="B21" s="49" t="n">
        <v>1</v>
      </c>
      <c r="C21" s="49" t="n">
        <v>1.6</v>
      </c>
      <c r="D21" s="49" t="n"/>
      <c r="E21" s="49" t="n"/>
      <c r="F21" s="49" t="n"/>
      <c r="G21" s="49" t="n"/>
    </row>
    <row r="22">
      <c r="A22" s="49" t="inlineStr">
        <is>
          <t>Construction</t>
        </is>
      </c>
      <c r="B22" s="49" t="n">
        <v>1</v>
      </c>
      <c r="C22" s="49" t="n">
        <v>1.6</v>
      </c>
      <c r="D22" s="49" t="n"/>
      <c r="E22" s="49" t="n"/>
      <c r="F22" s="49" t="n"/>
      <c r="G22" s="49" t="n"/>
    </row>
    <row r="23">
      <c r="A23" s="49" t="inlineStr">
        <is>
          <t>Cross-border export logistics</t>
        </is>
      </c>
      <c r="B23" s="49" t="n">
        <v>1</v>
      </c>
      <c r="C23" s="49" t="n">
        <v>1.6</v>
      </c>
      <c r="D23" s="49" t="n"/>
      <c r="E23" s="49" t="n"/>
      <c r="F23" s="49" t="n"/>
      <c r="G23" s="49" t="n"/>
    </row>
    <row r="24">
      <c r="A24" s="49" t="inlineStr">
        <is>
          <t>Electronics manufacturing</t>
        </is>
      </c>
      <c r="B24" s="49" t="n">
        <v>1</v>
      </c>
      <c r="C24" s="49" t="n">
        <v>1.6</v>
      </c>
      <c r="D24" s="49" t="n"/>
      <c r="E24" s="49" t="n"/>
      <c r="F24" s="49" t="n"/>
      <c r="G24" s="49" t="n"/>
    </row>
    <row r="25">
      <c r="A25" s="49" t="inlineStr">
        <is>
          <t>Electronics manufacturing services</t>
        </is>
      </c>
      <c r="B25" s="49" t="n">
        <v>1</v>
      </c>
      <c r="C25" s="49" t="n">
        <v>1.6</v>
      </c>
      <c r="D25" s="49" t="n"/>
      <c r="E25" s="49" t="n"/>
      <c r="F25" s="49" t="n"/>
      <c r="G25" s="49" t="n"/>
    </row>
    <row r="26">
      <c r="A26" s="49" t="inlineStr">
        <is>
          <t>Energy</t>
        </is>
      </c>
      <c r="B26" s="49" t="n">
        <v>1</v>
      </c>
      <c r="C26" s="49" t="n">
        <v>1.6</v>
      </c>
      <c r="D26" s="49" t="n"/>
      <c r="E26" s="49" t="n"/>
      <c r="F26" s="49" t="n"/>
      <c r="G26" s="49" t="n"/>
    </row>
    <row r="27">
      <c r="A27" s="49" t="inlineStr">
        <is>
          <t>FMCG</t>
        </is>
      </c>
      <c r="B27" s="49" t="n">
        <v>1</v>
      </c>
      <c r="C27" s="49" t="n">
        <v>1.6</v>
      </c>
      <c r="D27" s="49" t="n"/>
      <c r="E27" s="49" t="n"/>
      <c r="F27" s="49" t="n"/>
      <c r="G27" s="49" t="n"/>
    </row>
    <row r="28">
      <c r="A28" s="49" t="inlineStr">
        <is>
          <t>Global logistics</t>
        </is>
      </c>
      <c r="B28" s="49" t="n">
        <v>1</v>
      </c>
      <c r="C28" s="49" t="n">
        <v>1.6</v>
      </c>
      <c r="D28" s="49" t="n"/>
      <c r="E28" s="49" t="n"/>
      <c r="F28" s="49" t="n"/>
      <c r="G28" s="49" t="n"/>
    </row>
    <row r="29">
      <c r="A29" s="49" t="inlineStr">
        <is>
          <t>Healthcare</t>
        </is>
      </c>
      <c r="B29" s="49" t="n">
        <v>1</v>
      </c>
      <c r="C29" s="49" t="n">
        <v>1.6</v>
      </c>
      <c r="D29" s="49" t="n"/>
      <c r="E29" s="49" t="n"/>
      <c r="F29" s="49" t="n"/>
      <c r="G29" s="49" t="n"/>
    </row>
    <row r="30">
      <c r="A30" s="49" t="inlineStr">
        <is>
          <t>Last-mile delivery</t>
        </is>
      </c>
      <c r="B30" s="49" t="n">
        <v>1</v>
      </c>
      <c r="C30" s="49" t="n">
        <v>1.6</v>
      </c>
      <c r="D30" s="49" t="n"/>
      <c r="E30" s="49" t="n"/>
      <c r="F30" s="49" t="n"/>
      <c r="G30" s="49" t="n"/>
    </row>
    <row r="31">
      <c r="A31" s="49" t="inlineStr">
        <is>
          <t>Machine tool manufacturing</t>
        </is>
      </c>
      <c r="B31" s="49" t="n">
        <v>1</v>
      </c>
      <c r="C31" s="49" t="n">
        <v>1.6</v>
      </c>
      <c r="D31" s="49" t="n"/>
      <c r="E31" s="49" t="n"/>
      <c r="F31" s="49" t="n"/>
      <c r="G31" s="49" t="n"/>
    </row>
    <row r="32">
      <c r="A32" s="49" t="inlineStr">
        <is>
          <t>Packaging manufacturing</t>
        </is>
      </c>
      <c r="B32" s="49" t="n">
        <v>1</v>
      </c>
      <c r="C32" s="49" t="n">
        <v>1.6</v>
      </c>
      <c r="D32" s="49" t="n"/>
      <c r="E32" s="49" t="n"/>
      <c r="F32" s="49" t="n"/>
      <c r="G32" s="49" t="n"/>
    </row>
    <row r="33">
      <c r="A33" s="49" t="inlineStr">
        <is>
          <t>Road freight</t>
        </is>
      </c>
      <c r="B33" s="49" t="n">
        <v>1</v>
      </c>
      <c r="C33" s="49" t="n">
        <v>1.6</v>
      </c>
      <c r="D33" s="49" t="n"/>
      <c r="E33" s="49" t="n"/>
      <c r="F33" s="49" t="n"/>
      <c r="G33" s="49" t="n"/>
    </row>
    <row r="34">
      <c r="A34" s="49" t="inlineStr">
        <is>
          <t>Road freight transport</t>
        </is>
      </c>
      <c r="B34" s="49" t="n">
        <v>1</v>
      </c>
      <c r="C34" s="49" t="n">
        <v>1.6</v>
      </c>
      <c r="D34" s="49" t="n"/>
      <c r="E34" s="49" t="n"/>
      <c r="F34" s="49" t="n"/>
      <c r="G34" s="49" t="n"/>
    </row>
    <row r="35">
      <c r="A35" s="49" t="inlineStr">
        <is>
          <t>Semiconductor manufacturing</t>
        </is>
      </c>
      <c r="B35" s="49" t="n">
        <v>1</v>
      </c>
      <c r="C35" s="49" t="n">
        <v>1.6</v>
      </c>
      <c r="D35" s="49" t="n"/>
      <c r="E35" s="49" t="n"/>
      <c r="F35" s="49" t="n"/>
      <c r="G35" s="49" t="n"/>
    </row>
    <row r="36">
      <c r="A36" s="49" t="inlineStr">
        <is>
          <t>Shipbuilding</t>
        </is>
      </c>
      <c r="B36" s="49" t="n">
        <v>1</v>
      </c>
      <c r="C36" s="49" t="n">
        <v>1.6</v>
      </c>
      <c r="D36" s="49" t="n"/>
      <c r="E36" s="49" t="n"/>
      <c r="F36" s="49" t="n"/>
      <c r="G36" s="49" t="n"/>
    </row>
    <row r="37">
      <c r="A37" s="49" t="inlineStr">
        <is>
          <t>Steel</t>
        </is>
      </c>
      <c r="B37" s="49" t="n">
        <v>1</v>
      </c>
      <c r="C37" s="49" t="n">
        <v>1.6</v>
      </c>
      <c r="D37" s="49" t="n"/>
      <c r="E37" s="49" t="n"/>
      <c r="F37" s="49" t="n"/>
      <c r="G37" s="49" t="n"/>
    </row>
    <row r="38">
      <c r="A38" s="49" t="inlineStr">
        <is>
          <t>UAV logistics</t>
        </is>
      </c>
      <c r="B38" s="49" t="n">
        <v>1</v>
      </c>
      <c r="C38" s="49" t="n">
        <v>1.6</v>
      </c>
      <c r="D38" s="49" t="n"/>
      <c r="E38" s="49" t="n"/>
      <c r="F38" s="49" t="n"/>
      <c r="G38" s="49" t="n"/>
    </row>
    <row r="39">
      <c r="A39" s="49" t="inlineStr">
        <is>
          <t>Urban logistics</t>
        </is>
      </c>
      <c r="B39" s="49" t="n">
        <v>1</v>
      </c>
      <c r="C39" s="49" t="n">
        <v>1.6</v>
      </c>
      <c r="D39" s="49" t="n"/>
      <c r="E39" s="49" t="n"/>
      <c r="F39" s="49" t="n"/>
      <c r="G39" s="49" t="n"/>
    </row>
    <row r="40">
      <c r="A40" s="71" t="inlineStr">
        <is>
          <t>Sector labels collapsed to their first term; see Coding for the full label.</t>
        </is>
      </c>
      <c r="B40" s="49" t="n"/>
      <c r="C40" s="49" t="n"/>
      <c r="D40" s="49" t="n"/>
      <c r="E40" s="49" t="n"/>
      <c r="F40" s="49" t="n"/>
      <c r="G40" s="49" t="n"/>
    </row>
    <row r="41">
      <c r="A41" s="49" t="n"/>
      <c r="B41" s="49" t="n"/>
      <c r="C41" s="49" t="n"/>
      <c r="D41" s="49" t="n"/>
      <c r="E41" s="49" t="n"/>
      <c r="F41" s="49" t="n"/>
      <c r="G41" s="49" t="n"/>
    </row>
    <row r="42">
      <c r="A42" s="70" t="inlineStr">
        <is>
          <t>C. SCOR processes covered by the twin (studies may cover several)</t>
        </is>
      </c>
      <c r="B42" s="49" t="n"/>
      <c r="C42" s="49" t="n"/>
      <c r="D42" s="49" t="n"/>
      <c r="E42" s="49" t="n"/>
      <c r="F42" s="49" t="n"/>
      <c r="G42" s="49" t="n"/>
    </row>
    <row r="43">
      <c r="A43" s="48" t="inlineStr">
        <is>
          <t>Category</t>
        </is>
      </c>
      <c r="B43" s="48" t="inlineStr">
        <is>
          <t>n</t>
        </is>
      </c>
      <c r="C43" s="48" t="inlineStr">
        <is>
          <t>% of 62</t>
        </is>
      </c>
      <c r="D43" s="49" t="n"/>
      <c r="E43" s="49" t="n"/>
      <c r="F43" s="49" t="n"/>
      <c r="G43" s="49" t="n"/>
    </row>
    <row r="44">
      <c r="A44" s="49" t="inlineStr">
        <is>
          <t>Deliver</t>
        </is>
      </c>
      <c r="B44" s="49" t="n">
        <v>49</v>
      </c>
      <c r="C44" s="49" t="n">
        <v>79</v>
      </c>
      <c r="D44" s="49" t="n"/>
      <c r="E44" s="49" t="n"/>
      <c r="F44" s="49" t="n"/>
      <c r="G44" s="49" t="n"/>
    </row>
    <row r="45">
      <c r="A45" s="49" t="inlineStr">
        <is>
          <t>Plan</t>
        </is>
      </c>
      <c r="B45" s="49" t="n">
        <v>47</v>
      </c>
      <c r="C45" s="49" t="n">
        <v>75.8</v>
      </c>
      <c r="D45" s="49" t="n"/>
      <c r="E45" s="49" t="n"/>
      <c r="F45" s="49" t="n"/>
      <c r="G45" s="49" t="n"/>
    </row>
    <row r="46">
      <c r="A46" s="49" t="inlineStr">
        <is>
          <t>Make</t>
        </is>
      </c>
      <c r="B46" s="49" t="n">
        <v>37</v>
      </c>
      <c r="C46" s="49" t="n">
        <v>59.7</v>
      </c>
      <c r="D46" s="49" t="n"/>
      <c r="E46" s="49" t="n"/>
      <c r="F46" s="49" t="n"/>
      <c r="G46" s="49" t="n"/>
    </row>
    <row r="47">
      <c r="A47" s="49" t="inlineStr">
        <is>
          <t>Source</t>
        </is>
      </c>
      <c r="B47" s="49" t="n">
        <v>33</v>
      </c>
      <c r="C47" s="49" t="n">
        <v>53.2</v>
      </c>
      <c r="D47" s="49" t="n"/>
      <c r="E47" s="49" t="n"/>
      <c r="F47" s="49" t="n"/>
      <c r="G47" s="49" t="n"/>
    </row>
    <row r="48">
      <c r="A48" s="49" t="inlineStr">
        <is>
          <t>End-to-end</t>
        </is>
      </c>
      <c r="B48" s="49" t="n">
        <v>21</v>
      </c>
      <c r="C48" s="49" t="n">
        <v>33.9</v>
      </c>
      <c r="D48" s="49" t="n"/>
      <c r="E48" s="49" t="n"/>
      <c r="F48" s="49" t="n"/>
      <c r="G48" s="49" t="n"/>
    </row>
    <row r="49">
      <c r="A49" s="49" t="inlineStr">
        <is>
          <t>Return</t>
        </is>
      </c>
      <c r="B49" s="49" t="n">
        <v>3</v>
      </c>
      <c r="C49" s="49" t="n">
        <v>4.8</v>
      </c>
      <c r="D49" s="49" t="n"/>
      <c r="E49" s="49" t="n"/>
      <c r="F49" s="49" t="n"/>
      <c r="G49" s="49" t="n"/>
    </row>
    <row r="50">
      <c r="A50" s="49" t="n"/>
      <c r="B50" s="49" t="n"/>
      <c r="C50" s="49" t="n"/>
      <c r="D50" s="49" t="n"/>
      <c r="E50" s="49" t="n"/>
      <c r="F50" s="49" t="n"/>
      <c r="G50" s="49" t="n"/>
    </row>
    <row r="51">
      <c r="A51" s="70" t="inlineStr">
        <is>
          <t>D. AI technique (primary)</t>
        </is>
      </c>
      <c r="B51" s="49" t="n"/>
      <c r="C51" s="49" t="n"/>
      <c r="D51" s="49" t="n"/>
      <c r="E51" s="49" t="n"/>
      <c r="F51" s="49" t="n"/>
      <c r="G51" s="49" t="n"/>
    </row>
    <row r="52">
      <c r="A52" s="48" t="inlineStr">
        <is>
          <t>Category</t>
        </is>
      </c>
      <c r="B52" s="48" t="inlineStr">
        <is>
          <t>n</t>
        </is>
      </c>
      <c r="C52" s="48" t="inlineStr">
        <is>
          <t>% of 62</t>
        </is>
      </c>
      <c r="D52" s="49" t="n"/>
      <c r="E52" s="49" t="n"/>
      <c r="F52" s="49" t="n"/>
      <c r="G52" s="49" t="n"/>
    </row>
    <row r="53">
      <c r="A53" s="49" t="inlineStr">
        <is>
          <t>Hybrid</t>
        </is>
      </c>
      <c r="B53" s="49" t="n">
        <v>24</v>
      </c>
      <c r="C53" s="49" t="n">
        <v>38.7</v>
      </c>
      <c r="D53" s="49" t="n"/>
      <c r="E53" s="49" t="n"/>
      <c r="F53" s="49" t="n"/>
      <c r="G53" s="49" t="n"/>
    </row>
    <row r="54">
      <c r="A54" s="49" t="inlineStr">
        <is>
          <t>Classical ML</t>
        </is>
      </c>
      <c r="B54" s="49" t="n">
        <v>15</v>
      </c>
      <c r="C54" s="49" t="n">
        <v>24.2</v>
      </c>
      <c r="D54" s="49" t="n"/>
      <c r="E54" s="49" t="n"/>
      <c r="F54" s="49" t="n"/>
      <c r="G54" s="49" t="n"/>
    </row>
    <row r="55">
      <c r="A55" s="49" t="inlineStr">
        <is>
          <t>LLM/agent</t>
        </is>
      </c>
      <c r="B55" s="49" t="n">
        <v>6</v>
      </c>
      <c r="C55" s="49" t="n">
        <v>9.699999999999999</v>
      </c>
      <c r="D55" s="49" t="n"/>
      <c r="E55" s="49" t="n"/>
      <c r="F55" s="49" t="n"/>
      <c r="G55" s="49" t="n"/>
    </row>
    <row r="56">
      <c r="A56" s="49" t="inlineStr">
        <is>
          <t>Reinforcement learning</t>
        </is>
      </c>
      <c r="B56" s="49" t="n">
        <v>6</v>
      </c>
      <c r="C56" s="49" t="n">
        <v>9.699999999999999</v>
      </c>
      <c r="D56" s="49" t="n"/>
      <c r="E56" s="49" t="n"/>
      <c r="F56" s="49" t="n"/>
      <c r="G56" s="49" t="n"/>
    </row>
    <row r="57">
      <c r="A57" s="49" t="inlineStr">
        <is>
          <t>Other</t>
        </is>
      </c>
      <c r="B57" s="49" t="n">
        <v>5</v>
      </c>
      <c r="C57" s="49" t="n">
        <v>8.1</v>
      </c>
      <c r="D57" s="49" t="n"/>
      <c r="E57" s="49" t="n"/>
      <c r="F57" s="49" t="n"/>
      <c r="G57" s="49" t="n"/>
    </row>
    <row r="58">
      <c r="A58" s="49" t="inlineStr">
        <is>
          <t>Other deep learning</t>
        </is>
      </c>
      <c r="B58" s="49" t="n">
        <v>4</v>
      </c>
      <c r="C58" s="49" t="n">
        <v>6.5</v>
      </c>
      <c r="D58" s="49" t="n"/>
      <c r="E58" s="49" t="n"/>
      <c r="F58" s="49" t="n"/>
      <c r="G58" s="49" t="n"/>
    </row>
    <row r="59">
      <c r="A59" s="49" t="inlineStr">
        <is>
          <t>Metaheuristic/evolutionary</t>
        </is>
      </c>
      <c r="B59" s="49" t="n">
        <v>1</v>
      </c>
      <c r="C59" s="49" t="n">
        <v>1.6</v>
      </c>
      <c r="D59" s="49" t="n"/>
      <c r="E59" s="49" t="n"/>
      <c r="F59" s="49" t="n"/>
      <c r="G59" s="49" t="n"/>
    </row>
    <row r="60">
      <c r="A60" s="49" t="inlineStr">
        <is>
          <t>RNN/LSTM/GRU</t>
        </is>
      </c>
      <c r="B60" s="49" t="n">
        <v>1</v>
      </c>
      <c r="C60" s="49" t="n">
        <v>1.6</v>
      </c>
      <c r="D60" s="49" t="n"/>
      <c r="E60" s="49" t="n"/>
      <c r="F60" s="49" t="n"/>
      <c r="G60" s="49" t="n"/>
    </row>
    <row r="61">
      <c r="A61" s="49" t="n"/>
      <c r="B61" s="49" t="n"/>
      <c r="C61" s="49" t="n"/>
      <c r="D61" s="49" t="n"/>
      <c r="E61" s="49" t="n"/>
      <c r="F61" s="49" t="n"/>
      <c r="G61" s="49" t="n"/>
    </row>
    <row r="62">
      <c r="A62" s="70" t="inlineStr">
        <is>
          <t>E. AI role in the twin (primary)</t>
        </is>
      </c>
      <c r="B62" s="49" t="n"/>
      <c r="C62" s="49" t="n"/>
      <c r="D62" s="49" t="n"/>
      <c r="E62" s="49" t="n"/>
      <c r="F62" s="49" t="n"/>
      <c r="G62" s="49" t="n"/>
    </row>
    <row r="63">
      <c r="A63" s="48" t="inlineStr">
        <is>
          <t>Category</t>
        </is>
      </c>
      <c r="B63" s="48" t="inlineStr">
        <is>
          <t>n</t>
        </is>
      </c>
      <c r="C63" s="48" t="inlineStr">
        <is>
          <t>% of 62</t>
        </is>
      </c>
      <c r="D63" s="49" t="n"/>
      <c r="E63" s="49" t="n"/>
      <c r="F63" s="49" t="n"/>
      <c r="G63" s="49" t="n"/>
    </row>
    <row r="64">
      <c r="A64" s="49" t="inlineStr">
        <is>
          <t>Forecasting/estimation</t>
        </is>
      </c>
      <c r="B64" s="49" t="n">
        <v>20</v>
      </c>
      <c r="C64" s="49" t="n">
        <v>32.3</v>
      </c>
      <c r="D64" s="49" t="n"/>
      <c r="E64" s="49" t="n"/>
      <c r="F64" s="49" t="n"/>
      <c r="G64" s="49" t="n"/>
    </row>
    <row r="65">
      <c r="A65" s="49" t="inlineStr">
        <is>
          <t>Decision support</t>
        </is>
      </c>
      <c r="B65" s="49" t="n">
        <v>17</v>
      </c>
      <c r="C65" s="49" t="n">
        <v>27.4</v>
      </c>
      <c r="D65" s="49" t="n"/>
      <c r="E65" s="49" t="n"/>
      <c r="F65" s="49" t="n"/>
      <c r="G65" s="49" t="n"/>
    </row>
    <row r="66">
      <c r="A66" s="49" t="inlineStr">
        <is>
          <t>Optimisation</t>
        </is>
      </c>
      <c r="B66" s="49" t="n">
        <v>11</v>
      </c>
      <c r="C66" s="49" t="n">
        <v>17.7</v>
      </c>
      <c r="D66" s="49" t="n"/>
      <c r="E66" s="49" t="n"/>
      <c r="F66" s="49" t="n"/>
      <c r="G66" s="49" t="n"/>
    </row>
    <row r="67">
      <c r="A67" s="49" t="inlineStr">
        <is>
          <t>Control</t>
        </is>
      </c>
      <c r="B67" s="49" t="n">
        <v>5</v>
      </c>
      <c r="C67" s="49" t="n">
        <v>8.1</v>
      </c>
      <c r="D67" s="49" t="n"/>
      <c r="E67" s="49" t="n"/>
      <c r="F67" s="49" t="n"/>
      <c r="G67" s="49" t="n"/>
    </row>
    <row r="68">
      <c r="A68" s="49" t="inlineStr">
        <is>
          <t>Anomaly detection</t>
        </is>
      </c>
      <c r="B68" s="49" t="n">
        <v>3</v>
      </c>
      <c r="C68" s="49" t="n">
        <v>4.8</v>
      </c>
      <c r="D68" s="49" t="n"/>
      <c r="E68" s="49" t="n"/>
      <c r="F68" s="49" t="n"/>
      <c r="G68" s="49" t="n"/>
    </row>
    <row r="69">
      <c r="A69" s="49" t="inlineStr">
        <is>
          <t>Other</t>
        </is>
      </c>
      <c r="B69" s="49" t="n">
        <v>3</v>
      </c>
      <c r="C69" s="49" t="n">
        <v>4.8</v>
      </c>
      <c r="D69" s="49" t="n"/>
      <c r="E69" s="49" t="n"/>
      <c r="F69" s="49" t="n"/>
      <c r="G69" s="49" t="n"/>
    </row>
    <row r="70">
      <c r="A70" s="49" t="inlineStr">
        <is>
          <t>Simulation surrogate</t>
        </is>
      </c>
      <c r="B70" s="49" t="n">
        <v>3</v>
      </c>
      <c r="C70" s="49" t="n">
        <v>4.8</v>
      </c>
      <c r="D70" s="49" t="n"/>
      <c r="E70" s="49" t="n"/>
      <c r="F70" s="49" t="n"/>
      <c r="G70" s="49" t="n"/>
    </row>
    <row r="71">
      <c r="A71" s="49" t="n"/>
      <c r="B71" s="49" t="n"/>
      <c r="C71" s="49" t="n"/>
      <c r="D71" s="49" t="n"/>
      <c r="E71" s="49" t="n"/>
      <c r="F71" s="49" t="n"/>
      <c r="G71" s="49" t="n"/>
    </row>
    <row r="72">
      <c r="A72" s="70" t="inlineStr">
        <is>
          <t>F. Integration extent</t>
        </is>
      </c>
      <c r="B72" s="49" t="n"/>
      <c r="C72" s="49" t="n"/>
      <c r="D72" s="49" t="n"/>
      <c r="E72" s="49" t="n"/>
      <c r="F72" s="49" t="n"/>
      <c r="G72" s="49" t="n"/>
    </row>
    <row r="73">
      <c r="A73" s="48" t="inlineStr">
        <is>
          <t>Category</t>
        </is>
      </c>
      <c r="B73" s="48" t="inlineStr">
        <is>
          <t>n</t>
        </is>
      </c>
      <c r="C73" s="48" t="inlineStr">
        <is>
          <t>% of 62</t>
        </is>
      </c>
      <c r="D73" s="49" t="n"/>
      <c r="E73" s="49" t="n"/>
      <c r="F73" s="49" t="n"/>
      <c r="G73" s="49" t="n"/>
    </row>
    <row r="74">
      <c r="A74" s="49" t="inlineStr">
        <is>
          <t>4 Prescriptive-advisory</t>
        </is>
      </c>
      <c r="B74" s="49" t="n">
        <v>30</v>
      </c>
      <c r="C74" s="49" t="n">
        <v>48.4</v>
      </c>
      <c r="D74" s="49" t="n"/>
      <c r="E74" s="49" t="n"/>
      <c r="F74" s="49" t="n"/>
      <c r="G74" s="49" t="n"/>
    </row>
    <row r="75">
      <c r="A75" s="49" t="inlineStr">
        <is>
          <t>5 Prescriptive-autonomous</t>
        </is>
      </c>
      <c r="B75" s="49" t="n">
        <v>18</v>
      </c>
      <c r="C75" s="49" t="n">
        <v>29</v>
      </c>
      <c r="D75" s="49" t="n"/>
      <c r="E75" s="49" t="n"/>
      <c r="F75" s="49" t="n"/>
      <c r="G75" s="49" t="n"/>
    </row>
    <row r="76">
      <c r="A76" s="49" t="inlineStr">
        <is>
          <t>3 Predictive</t>
        </is>
      </c>
      <c r="B76" s="49" t="n">
        <v>9</v>
      </c>
      <c r="C76" s="49" t="n">
        <v>14.5</v>
      </c>
      <c r="D76" s="49" t="n"/>
      <c r="E76" s="49" t="n"/>
      <c r="F76" s="49" t="n"/>
      <c r="G76" s="49" t="n"/>
    </row>
    <row r="77">
      <c r="A77" s="49" t="inlineStr">
        <is>
          <t>1 Descriptive</t>
        </is>
      </c>
      <c r="B77" s="49" t="n">
        <v>4</v>
      </c>
      <c r="C77" s="49" t="n">
        <v>6.5</v>
      </c>
      <c r="D77" s="49" t="n"/>
      <c r="E77" s="49" t="n"/>
      <c r="F77" s="49" t="n"/>
      <c r="G77" s="49" t="n"/>
    </row>
    <row r="78">
      <c r="A78" s="49" t="inlineStr">
        <is>
          <t>2 Diagnostic</t>
        </is>
      </c>
      <c r="B78" s="49" t="n">
        <v>1</v>
      </c>
      <c r="C78" s="49" t="n">
        <v>1.6</v>
      </c>
      <c r="D78" s="49" t="n"/>
      <c r="E78" s="49" t="n"/>
      <c r="F78" s="49" t="n"/>
      <c r="G78" s="49" t="n"/>
    </row>
    <row r="79">
      <c r="A79" s="49" t="n"/>
      <c r="B79" s="49" t="n"/>
      <c r="C79" s="49" t="n"/>
      <c r="D79" s="49" t="n"/>
      <c r="E79" s="49" t="n"/>
      <c r="F79" s="49" t="n"/>
      <c r="G79" s="49" t="n"/>
    </row>
    <row r="80">
      <c r="A80" s="70" t="inlineStr">
        <is>
          <t>G. HITL role</t>
        </is>
      </c>
      <c r="B80" s="49" t="n"/>
      <c r="C80" s="49" t="n"/>
      <c r="D80" s="49" t="n"/>
      <c r="E80" s="49" t="n"/>
      <c r="F80" s="49" t="n"/>
      <c r="G80" s="49" t="n"/>
    </row>
    <row r="81">
      <c r="A81" s="48" t="inlineStr">
        <is>
          <t>Category</t>
        </is>
      </c>
      <c r="B81" s="48" t="inlineStr">
        <is>
          <t>n</t>
        </is>
      </c>
      <c r="C81" s="48" t="inlineStr">
        <is>
          <t>% of 62</t>
        </is>
      </c>
      <c r="D81" s="49" t="n"/>
      <c r="E81" s="49" t="n"/>
      <c r="F81" s="49" t="n"/>
      <c r="G81" s="49" t="n"/>
    </row>
    <row r="82">
      <c r="A82" s="49" t="inlineStr">
        <is>
          <t>Maintained</t>
        </is>
      </c>
      <c r="B82" s="49" t="n">
        <v>27</v>
      </c>
      <c r="C82" s="49" t="n">
        <v>43.5</v>
      </c>
      <c r="D82" s="49" t="n"/>
      <c r="E82" s="49" t="n"/>
      <c r="F82" s="49" t="n"/>
      <c r="G82" s="49" t="n"/>
    </row>
    <row r="83">
      <c r="A83" s="49" t="inlineStr">
        <is>
          <t>Reduced</t>
        </is>
      </c>
      <c r="B83" s="49" t="n">
        <v>15</v>
      </c>
      <c r="C83" s="49" t="n">
        <v>24.2</v>
      </c>
      <c r="D83" s="49" t="n"/>
      <c r="E83" s="49" t="n"/>
      <c r="F83" s="49" t="n"/>
      <c r="G83" s="49" t="n"/>
    </row>
    <row r="84">
      <c r="A84" s="49" t="inlineStr">
        <is>
          <t>Elevated</t>
        </is>
      </c>
      <c r="B84" s="49" t="n">
        <v>9</v>
      </c>
      <c r="C84" s="49" t="n">
        <v>14.5</v>
      </c>
      <c r="D84" s="49" t="n"/>
      <c r="E84" s="49" t="n"/>
      <c r="F84" s="49" t="n"/>
      <c r="G84" s="49" t="n"/>
    </row>
    <row r="85">
      <c r="A85" s="49" t="inlineStr">
        <is>
          <t>Not discussed</t>
        </is>
      </c>
      <c r="B85" s="49" t="n">
        <v>7</v>
      </c>
      <c r="C85" s="49" t="n">
        <v>11.3</v>
      </c>
      <c r="D85" s="49" t="n"/>
      <c r="E85" s="49" t="n"/>
      <c r="F85" s="49" t="n"/>
      <c r="G85" s="49" t="n"/>
    </row>
    <row r="86">
      <c r="A86" s="49" t="inlineStr">
        <is>
          <t>Replaced</t>
        </is>
      </c>
      <c r="B86" s="49" t="n">
        <v>4</v>
      </c>
      <c r="C86" s="49" t="n">
        <v>6.5</v>
      </c>
      <c r="D86" s="49" t="n"/>
      <c r="E86" s="49" t="n"/>
      <c r="F86" s="49" t="n"/>
      <c r="G86" s="49" t="n"/>
    </row>
    <row r="87">
      <c r="A87" s="49" t="n"/>
      <c r="B87" s="49" t="n"/>
      <c r="C87" s="49" t="n"/>
      <c r="D87" s="49" t="n"/>
      <c r="E87" s="49" t="n"/>
      <c r="F87" s="49" t="n"/>
      <c r="G87" s="49" t="n"/>
    </row>
    <row r="88">
      <c r="A88" s="70" t="inlineStr">
        <is>
          <t>H. HITL function (primary)</t>
        </is>
      </c>
      <c r="B88" s="49" t="n"/>
      <c r="C88" s="49" t="n"/>
      <c r="D88" s="49" t="n"/>
      <c r="E88" s="49" t="n"/>
      <c r="F88" s="49" t="n"/>
      <c r="G88" s="49" t="n"/>
    </row>
    <row r="89">
      <c r="A89" s="48" t="inlineStr">
        <is>
          <t>Category</t>
        </is>
      </c>
      <c r="B89" s="48" t="inlineStr">
        <is>
          <t>n</t>
        </is>
      </c>
      <c r="C89" s="48" t="inlineStr">
        <is>
          <t>% of 62</t>
        </is>
      </c>
      <c r="D89" s="49" t="n"/>
      <c r="E89" s="49" t="n"/>
      <c r="F89" s="49" t="n"/>
      <c r="G89" s="49" t="n"/>
    </row>
    <row r="90">
      <c r="A90" s="49" t="inlineStr">
        <is>
          <t>Interpret outputs</t>
        </is>
      </c>
      <c r="B90" s="49" t="n">
        <v>28</v>
      </c>
      <c r="C90" s="49" t="n">
        <v>45.2</v>
      </c>
      <c r="D90" s="49" t="n"/>
      <c r="E90" s="49" t="n"/>
      <c r="F90" s="49" t="n"/>
      <c r="G90" s="49" t="n"/>
    </row>
    <row r="91">
      <c r="A91" s="49" t="inlineStr">
        <is>
          <t>Approve/override</t>
        </is>
      </c>
      <c r="B91" s="49" t="n">
        <v>13</v>
      </c>
      <c r="C91" s="49" t="n">
        <v>21</v>
      </c>
      <c r="D91" s="49" t="n"/>
      <c r="E91" s="49" t="n"/>
      <c r="F91" s="49" t="n"/>
      <c r="G91" s="49" t="n"/>
    </row>
    <row r="92">
      <c r="A92" s="49" t="inlineStr">
        <is>
          <t>Set objectives/constraints</t>
        </is>
      </c>
      <c r="B92" s="49" t="n">
        <v>12</v>
      </c>
      <c r="C92" s="49" t="n">
        <v>19.4</v>
      </c>
      <c r="D92" s="49" t="n"/>
      <c r="E92" s="49" t="n"/>
      <c r="F92" s="49" t="n"/>
      <c r="G92" s="49" t="n"/>
    </row>
    <row r="93">
      <c r="A93" s="49" t="inlineStr">
        <is>
          <t>Handle exceptions</t>
        </is>
      </c>
      <c r="B93" s="49" t="n">
        <v>4</v>
      </c>
      <c r="C93" s="49" t="n">
        <v>6.5</v>
      </c>
      <c r="D93" s="49" t="n"/>
      <c r="E93" s="49" t="n"/>
      <c r="F93" s="49" t="n"/>
      <c r="G93" s="49" t="n"/>
    </row>
    <row r="94">
      <c r="A94" s="49" t="inlineStr">
        <is>
          <t>None</t>
        </is>
      </c>
      <c r="B94" s="49" t="n">
        <v>4</v>
      </c>
      <c r="C94" s="49" t="n">
        <v>6.5</v>
      </c>
      <c r="D94" s="49" t="n"/>
      <c r="E94" s="49" t="n"/>
      <c r="F94" s="49" t="n"/>
      <c r="G94" s="49" t="n"/>
    </row>
    <row r="95">
      <c r="A95" s="49" t="inlineStr">
        <is>
          <t>Not discussed</t>
        </is>
      </c>
      <c r="B95" s="49" t="n">
        <v>1</v>
      </c>
      <c r="C95" s="49" t="n">
        <v>1.6</v>
      </c>
      <c r="D95" s="49" t="n"/>
      <c r="E95" s="49" t="n"/>
      <c r="F95" s="49" t="n"/>
      <c r="G95" s="49" t="n"/>
    </row>
    <row r="96">
      <c r="A96" s="49" t="n"/>
      <c r="B96" s="49" t="n"/>
      <c r="C96" s="49" t="n"/>
      <c r="D96" s="49" t="n"/>
      <c r="E96" s="49" t="n"/>
      <c r="F96" s="49" t="n"/>
      <c r="G96" s="49" t="n"/>
    </row>
    <row r="97">
      <c r="A97" s="70" t="inlineStr">
        <is>
          <t>I. Usable in the typology</t>
        </is>
      </c>
      <c r="B97" s="49" t="n"/>
      <c r="C97" s="49" t="n"/>
      <c r="D97" s="49" t="n"/>
      <c r="E97" s="49" t="n"/>
      <c r="F97" s="49" t="n"/>
      <c r="G97" s="49" t="n"/>
    </row>
    <row r="98">
      <c r="A98" s="48" t="inlineStr">
        <is>
          <t>Category</t>
        </is>
      </c>
      <c r="B98" s="48" t="inlineStr">
        <is>
          <t>n</t>
        </is>
      </c>
      <c r="C98" s="48" t="inlineStr">
        <is>
          <t>% of 62</t>
        </is>
      </c>
      <c r="D98" s="49" t="n"/>
      <c r="E98" s="49" t="n"/>
      <c r="F98" s="49" t="n"/>
      <c r="G98" s="49" t="n"/>
    </row>
    <row r="99">
      <c r="A99" s="49" t="inlineStr">
        <is>
          <t>Y</t>
        </is>
      </c>
      <c r="B99" s="49" t="n">
        <v>53</v>
      </c>
      <c r="C99" s="49" t="n">
        <v>85.5</v>
      </c>
      <c r="D99" s="49" t="n"/>
      <c r="E99" s="49" t="n"/>
      <c r="F99" s="49" t="n"/>
      <c r="G99" s="49" t="n"/>
    </row>
    <row r="100">
      <c r="A100" s="49" t="inlineStr">
        <is>
          <t>N</t>
        </is>
      </c>
      <c r="B100" s="49" t="n">
        <v>9</v>
      </c>
      <c r="C100" s="49" t="n">
        <v>14.5</v>
      </c>
      <c r="D100" s="49" t="n"/>
      <c r="E100" s="49" t="n"/>
      <c r="F100" s="49" t="n"/>
      <c r="G100" s="49" t="n"/>
    </row>
    <row r="101">
      <c r="A101" s="49" t="n"/>
      <c r="B101" s="49" t="n"/>
      <c r="C101" s="49" t="n"/>
      <c r="D101" s="49" t="n"/>
      <c r="E101" s="49" t="n"/>
      <c r="F101" s="49" t="n"/>
      <c r="G101" s="49" t="n"/>
    </row>
    <row r="102">
      <c r="A102" s="70" t="inlineStr">
        <is>
          <t>J. Integration extent x HITL role (all included studies)</t>
        </is>
      </c>
      <c r="B102" s="49" t="n"/>
      <c r="C102" s="49" t="n"/>
      <c r="D102" s="49" t="n"/>
      <c r="E102" s="49" t="n"/>
      <c r="F102" s="49" t="n"/>
      <c r="G102" s="49" t="n"/>
    </row>
    <row r="103">
      <c r="A103" s="49" t="n"/>
      <c r="B103" s="70" t="inlineStr">
        <is>
          <t>Elevated</t>
        </is>
      </c>
      <c r="C103" s="70" t="inlineStr">
        <is>
          <t>Maintained</t>
        </is>
      </c>
      <c r="D103" s="70" t="inlineStr">
        <is>
          <t>Not discussed</t>
        </is>
      </c>
      <c r="E103" s="70" t="inlineStr">
        <is>
          <t>Reduced</t>
        </is>
      </c>
      <c r="F103" s="70" t="inlineStr">
        <is>
          <t>Replaced</t>
        </is>
      </c>
      <c r="G103" s="70" t="inlineStr">
        <is>
          <t>Total</t>
        </is>
      </c>
    </row>
    <row r="104">
      <c r="A104" s="70" t="inlineStr">
        <is>
          <t>1 Descriptive</t>
        </is>
      </c>
      <c r="B104" s="49" t="n">
        <v>2</v>
      </c>
      <c r="C104" s="49" t="n">
        <v>1</v>
      </c>
      <c r="D104" s="49" t="n"/>
      <c r="E104" s="49" t="n">
        <v>1</v>
      </c>
      <c r="F104" s="49" t="n"/>
      <c r="G104" s="49" t="n">
        <v>4</v>
      </c>
    </row>
    <row r="105">
      <c r="A105" s="70" t="inlineStr">
        <is>
          <t>2 Diagnostic</t>
        </is>
      </c>
      <c r="B105" s="49" t="n"/>
      <c r="C105" s="49" t="n"/>
      <c r="D105" s="49" t="n"/>
      <c r="E105" s="49" t="n">
        <v>1</v>
      </c>
      <c r="F105" s="49" t="n"/>
      <c r="G105" s="49" t="n">
        <v>1</v>
      </c>
    </row>
    <row r="106">
      <c r="A106" s="70" t="inlineStr">
        <is>
          <t>3 Predictive</t>
        </is>
      </c>
      <c r="B106" s="49" t="n"/>
      <c r="C106" s="49" t="n">
        <v>8</v>
      </c>
      <c r="D106" s="49" t="n">
        <v>1</v>
      </c>
      <c r="E106" s="49" t="n"/>
      <c r="F106" s="49" t="n"/>
      <c r="G106" s="49" t="n">
        <v>9</v>
      </c>
    </row>
    <row r="107">
      <c r="A107" s="70" t="inlineStr">
        <is>
          <t>4 Prescriptive-advisory</t>
        </is>
      </c>
      <c r="B107" s="49" t="n">
        <v>7</v>
      </c>
      <c r="C107" s="49" t="n">
        <v>16</v>
      </c>
      <c r="D107" s="49" t="n">
        <v>2</v>
      </c>
      <c r="E107" s="49" t="n">
        <v>4</v>
      </c>
      <c r="F107" s="49" t="n">
        <v>1</v>
      </c>
      <c r="G107" s="49" t="n">
        <v>30</v>
      </c>
    </row>
    <row r="108">
      <c r="A108" s="70" t="inlineStr">
        <is>
          <t>5 Prescriptive-autonomous</t>
        </is>
      </c>
      <c r="B108" s="49" t="n"/>
      <c r="C108" s="49" t="n">
        <v>2</v>
      </c>
      <c r="D108" s="49" t="n">
        <v>4</v>
      </c>
      <c r="E108" s="49" t="n">
        <v>9</v>
      </c>
      <c r="F108" s="49" t="n">
        <v>3</v>
      </c>
      <c r="G108" s="49" t="n">
        <v>18</v>
      </c>
    </row>
    <row r="109">
      <c r="A109" s="70" t="inlineStr">
        <is>
          <t>Total</t>
        </is>
      </c>
      <c r="B109" s="49" t="n">
        <v>9</v>
      </c>
      <c r="C109" s="49" t="n">
        <v>27</v>
      </c>
      <c r="D109" s="49" t="n">
        <v>7</v>
      </c>
      <c r="E109" s="49" t="n">
        <v>15</v>
      </c>
      <c r="F109" s="49" t="n">
        <v>4</v>
      </c>
      <c r="G109" s="49" t="n">
        <v>62</v>
      </c>
    </row>
    <row r="110">
      <c r="A110" s="49" t="n"/>
      <c r="B110" s="49" t="n"/>
      <c r="C110" s="49" t="n"/>
      <c r="D110" s="49" t="n"/>
      <c r="E110" s="49" t="n"/>
      <c r="F110" s="49" t="n"/>
      <c r="G110" s="49" t="n"/>
    </row>
    <row r="111">
      <c r="A111" s="70" t="inlineStr">
        <is>
          <t>K. Integration extent x HITL role (typology subset, n=53)</t>
        </is>
      </c>
      <c r="B111" s="49" t="n"/>
      <c r="C111" s="49" t="n"/>
      <c r="D111" s="49" t="n"/>
      <c r="E111" s="49" t="n"/>
      <c r="F111" s="49" t="n"/>
      <c r="G111" s="49" t="n"/>
    </row>
    <row r="112">
      <c r="A112" s="49" t="n"/>
      <c r="B112" s="70" t="inlineStr">
        <is>
          <t>Elevated</t>
        </is>
      </c>
      <c r="C112" s="70" t="inlineStr">
        <is>
          <t>Maintained</t>
        </is>
      </c>
      <c r="D112" s="70" t="inlineStr">
        <is>
          <t>Not discussed</t>
        </is>
      </c>
      <c r="E112" s="70" t="inlineStr">
        <is>
          <t>Reduced</t>
        </is>
      </c>
      <c r="F112" s="70" t="inlineStr">
        <is>
          <t>Replaced</t>
        </is>
      </c>
      <c r="G112" s="70" t="inlineStr">
        <is>
          <t>Total</t>
        </is>
      </c>
    </row>
    <row r="113">
      <c r="A113" s="70" t="inlineStr">
        <is>
          <t>1 Descriptive</t>
        </is>
      </c>
      <c r="B113" s="49" t="n">
        <v>2</v>
      </c>
      <c r="C113" s="49" t="n">
        <v>1</v>
      </c>
      <c r="D113" s="49" t="n"/>
      <c r="E113" s="49" t="n">
        <v>1</v>
      </c>
      <c r="F113" s="49" t="n"/>
      <c r="G113" s="49" t="n">
        <v>4</v>
      </c>
    </row>
    <row r="114">
      <c r="A114" s="70" t="inlineStr">
        <is>
          <t>2 Diagnostic</t>
        </is>
      </c>
      <c r="B114" s="49" t="n"/>
      <c r="C114" s="49" t="n"/>
      <c r="D114" s="49" t="n"/>
      <c r="E114" s="49" t="n">
        <v>1</v>
      </c>
      <c r="F114" s="49" t="n"/>
      <c r="G114" s="49" t="n">
        <v>1</v>
      </c>
    </row>
    <row r="115">
      <c r="A115" s="70" t="inlineStr">
        <is>
          <t>3 Predictive</t>
        </is>
      </c>
      <c r="B115" s="49" t="n"/>
      <c r="C115" s="49" t="n">
        <v>8</v>
      </c>
      <c r="D115" s="49" t="n"/>
      <c r="E115" s="49" t="n"/>
      <c r="F115" s="49" t="n"/>
      <c r="G115" s="49" t="n">
        <v>8</v>
      </c>
    </row>
    <row r="116">
      <c r="A116" s="70" t="inlineStr">
        <is>
          <t>4 Prescriptive-advisory</t>
        </is>
      </c>
      <c r="B116" s="49" t="n">
        <v>7</v>
      </c>
      <c r="C116" s="49" t="n">
        <v>16</v>
      </c>
      <c r="D116" s="49" t="n"/>
      <c r="E116" s="49" t="n">
        <v>2</v>
      </c>
      <c r="F116" s="49" t="n">
        <v>1</v>
      </c>
      <c r="G116" s="49" t="n">
        <v>26</v>
      </c>
    </row>
    <row r="117">
      <c r="A117" s="70" t="inlineStr">
        <is>
          <t>5 Prescriptive-autonomous</t>
        </is>
      </c>
      <c r="B117" s="49" t="n"/>
      <c r="C117" s="49" t="n">
        <v>1</v>
      </c>
      <c r="D117" s="49" t="n">
        <v>3</v>
      </c>
      <c r="E117" s="49" t="n">
        <v>8</v>
      </c>
      <c r="F117" s="49" t="n">
        <v>2</v>
      </c>
      <c r="G117" s="49" t="n">
        <v>14</v>
      </c>
    </row>
    <row r="118">
      <c r="A118" s="70" t="inlineStr">
        <is>
          <t>Total</t>
        </is>
      </c>
      <c r="B118" s="49" t="n">
        <v>9</v>
      </c>
      <c r="C118" s="49" t="n">
        <v>26</v>
      </c>
      <c r="D118" s="49" t="n">
        <v>3</v>
      </c>
      <c r="E118" s="49" t="n">
        <v>12</v>
      </c>
      <c r="F118" s="49" t="n">
        <v>3</v>
      </c>
      <c r="G118" s="49" t="n">
        <v>53</v>
      </c>
    </row>
    <row r="119">
      <c r="A119" s="49" t="n"/>
      <c r="B119" s="49" t="n"/>
      <c r="C119" s="49" t="n"/>
      <c r="D119" s="49" t="n"/>
      <c r="E119" s="49" t="n"/>
      <c r="F119" s="49" t="n"/>
      <c r="G119" s="49" t="n"/>
    </row>
    <row r="120">
      <c r="A120" s="70" t="inlineStr">
        <is>
          <t>L. AI role (primary) x HITL function (primary), typology subset</t>
        </is>
      </c>
      <c r="B120" s="49" t="n"/>
      <c r="C120" s="49" t="n"/>
      <c r="D120" s="49" t="n"/>
      <c r="E120" s="49" t="n"/>
      <c r="F120" s="49" t="n"/>
      <c r="G120" s="49" t="n"/>
    </row>
    <row r="121">
      <c r="A121" s="49" t="n"/>
      <c r="B121" s="70" t="inlineStr">
        <is>
          <t>Approve/override</t>
        </is>
      </c>
      <c r="C121" s="70" t="inlineStr">
        <is>
          <t>Handle exceptions</t>
        </is>
      </c>
      <c r="D121" s="70" t="inlineStr">
        <is>
          <t>Interpret outputs</t>
        </is>
      </c>
      <c r="E121" s="70" t="inlineStr">
        <is>
          <t>None</t>
        </is>
      </c>
      <c r="F121" s="70" t="inlineStr">
        <is>
          <t>Set objectives/constraints</t>
        </is>
      </c>
      <c r="G121" s="70" t="inlineStr">
        <is>
          <t>Total</t>
        </is>
      </c>
    </row>
    <row r="122">
      <c r="A122" s="70" t="inlineStr">
        <is>
          <t>Anomaly detection</t>
        </is>
      </c>
      <c r="B122" s="49" t="n"/>
      <c r="C122" s="49" t="n">
        <v>1</v>
      </c>
      <c r="D122" s="49" t="n">
        <v>1</v>
      </c>
      <c r="E122" s="49" t="n"/>
      <c r="F122" s="49" t="n"/>
      <c r="G122" s="49" t="n">
        <v>2</v>
      </c>
    </row>
    <row r="123">
      <c r="A123" s="70" t="inlineStr">
        <is>
          <t>Control</t>
        </is>
      </c>
      <c r="B123" s="49" t="n">
        <v>1</v>
      </c>
      <c r="C123" s="49" t="n"/>
      <c r="D123" s="49" t="n">
        <v>1</v>
      </c>
      <c r="E123" s="49" t="n"/>
      <c r="F123" s="49" t="n">
        <v>2</v>
      </c>
      <c r="G123" s="49" t="n">
        <v>4</v>
      </c>
    </row>
    <row r="124">
      <c r="A124" s="70" t="inlineStr">
        <is>
          <t>Decision support</t>
        </is>
      </c>
      <c r="B124" s="49" t="n">
        <v>5</v>
      </c>
      <c r="C124" s="49" t="n">
        <v>1</v>
      </c>
      <c r="D124" s="49" t="n">
        <v>6</v>
      </c>
      <c r="E124" s="49" t="n"/>
      <c r="F124" s="49" t="n">
        <v>4</v>
      </c>
      <c r="G124" s="49" t="n">
        <v>16</v>
      </c>
    </row>
    <row r="125">
      <c r="A125" s="70" t="inlineStr">
        <is>
          <t>Forecasting/estimation</t>
        </is>
      </c>
      <c r="B125" s="49" t="n">
        <v>3</v>
      </c>
      <c r="C125" s="49" t="n">
        <v>2</v>
      </c>
      <c r="D125" s="49" t="n">
        <v>9</v>
      </c>
      <c r="E125" s="49" t="n">
        <v>1</v>
      </c>
      <c r="F125" s="49" t="n">
        <v>3</v>
      </c>
      <c r="G125" s="49" t="n">
        <v>18</v>
      </c>
    </row>
    <row r="126">
      <c r="A126" s="70" t="inlineStr">
        <is>
          <t>Optimisation</t>
        </is>
      </c>
      <c r="B126" s="49" t="n">
        <v>2</v>
      </c>
      <c r="C126" s="49" t="n"/>
      <c r="D126" s="49" t="n">
        <v>2</v>
      </c>
      <c r="E126" s="49" t="n">
        <v>2</v>
      </c>
      <c r="F126" s="49" t="n">
        <v>2</v>
      </c>
      <c r="G126" s="49" t="n">
        <v>8</v>
      </c>
    </row>
    <row r="127">
      <c r="A127" s="70" t="inlineStr">
        <is>
          <t>Other</t>
        </is>
      </c>
      <c r="B127" s="49" t="n">
        <v>1</v>
      </c>
      <c r="C127" s="49" t="n"/>
      <c r="D127" s="49" t="n">
        <v>1</v>
      </c>
      <c r="E127" s="49" t="n"/>
      <c r="F127" s="49" t="n">
        <v>1</v>
      </c>
      <c r="G127" s="49" t="n">
        <v>3</v>
      </c>
    </row>
    <row r="128">
      <c r="A128" s="70" t="inlineStr">
        <is>
          <t>Simulation surrogate</t>
        </is>
      </c>
      <c r="B128" s="49" t="n">
        <v>1</v>
      </c>
      <c r="C128" s="49" t="n"/>
      <c r="D128" s="49" t="n">
        <v>1</v>
      </c>
      <c r="E128" s="49" t="n"/>
      <c r="F128" s="49" t="n"/>
      <c r="G128" s="49" t="n">
        <v>2</v>
      </c>
    </row>
    <row r="129">
      <c r="A129" s="70" t="inlineStr">
        <is>
          <t>Total</t>
        </is>
      </c>
      <c r="B129" s="49" t="n">
        <v>13</v>
      </c>
      <c r="C129" s="49" t="n">
        <v>4</v>
      </c>
      <c r="D129" s="49" t="n">
        <v>21</v>
      </c>
      <c r="E129" s="49" t="n">
        <v>3</v>
      </c>
      <c r="F129" s="49" t="n">
        <v>12</v>
      </c>
      <c r="G129" s="49" t="n">
        <v>53</v>
      </c>
    </row>
    <row r="130">
      <c r="A130" s="49" t="n"/>
      <c r="B130" s="49" t="n"/>
      <c r="C130" s="49" t="n"/>
      <c r="D130" s="49" t="n"/>
      <c r="E130" s="49" t="n"/>
      <c r="F130" s="49" t="n"/>
      <c r="G130" s="49" t="n"/>
    </row>
    <row r="131">
      <c r="A131" s="70" t="inlineStr">
        <is>
          <t>M. Evidence type x Integration extent</t>
        </is>
      </c>
      <c r="B131" s="49" t="n"/>
      <c r="C131" s="49" t="n"/>
      <c r="D131" s="49" t="n"/>
      <c r="E131" s="49" t="n"/>
      <c r="F131" s="49" t="n"/>
      <c r="G131" s="49" t="n"/>
    </row>
    <row r="132">
      <c r="A132" s="49" t="n"/>
      <c r="B132" s="70" t="inlineStr">
        <is>
          <t>1 Descriptive</t>
        </is>
      </c>
      <c r="C132" s="70" t="inlineStr">
        <is>
          <t>2 Diagnostic</t>
        </is>
      </c>
      <c r="D132" s="70" t="inlineStr">
        <is>
          <t>3 Predictive</t>
        </is>
      </c>
      <c r="E132" s="70" t="inlineStr">
        <is>
          <t>4 Prescriptive-advisory</t>
        </is>
      </c>
      <c r="F132" s="70" t="inlineStr">
        <is>
          <t>5 Prescriptive-autonomous</t>
        </is>
      </c>
      <c r="G132" s="70" t="inlineStr">
        <is>
          <t>Total</t>
        </is>
      </c>
    </row>
    <row r="133">
      <c r="A133" s="70" t="inlineStr">
        <is>
          <t>Conceptual</t>
        </is>
      </c>
      <c r="B133" s="49" t="n"/>
      <c r="C133" s="49" t="n"/>
      <c r="D133" s="49" t="n">
        <v>1</v>
      </c>
      <c r="E133" s="49" t="n">
        <v>9</v>
      </c>
      <c r="F133" s="49" t="n">
        <v>5</v>
      </c>
      <c r="G133" s="49" t="n">
        <v>15</v>
      </c>
    </row>
    <row r="134">
      <c r="A134" s="70" t="inlineStr">
        <is>
          <t>Empirical case</t>
        </is>
      </c>
      <c r="B134" s="49" t="n">
        <v>2</v>
      </c>
      <c r="C134" s="49" t="n"/>
      <c r="D134" s="49" t="n">
        <v>4</v>
      </c>
      <c r="E134" s="49" t="n">
        <v>8</v>
      </c>
      <c r="F134" s="49" t="n">
        <v>1</v>
      </c>
      <c r="G134" s="49" t="n">
        <v>15</v>
      </c>
    </row>
    <row r="135">
      <c r="A135" s="70" t="inlineStr">
        <is>
          <t>Empirical data</t>
        </is>
      </c>
      <c r="B135" s="49" t="n">
        <v>1</v>
      </c>
      <c r="C135" s="49" t="n">
        <v>1</v>
      </c>
      <c r="D135" s="49" t="n">
        <v>2</v>
      </c>
      <c r="E135" s="49" t="n"/>
      <c r="F135" s="49" t="n">
        <v>2</v>
      </c>
      <c r="G135" s="49" t="n">
        <v>6</v>
      </c>
    </row>
    <row r="136">
      <c r="A136" s="70" t="inlineStr">
        <is>
          <t>Simulation/synthetic</t>
        </is>
      </c>
      <c r="B136" s="49" t="n">
        <v>1</v>
      </c>
      <c r="C136" s="49" t="n"/>
      <c r="D136" s="49" t="n">
        <v>2</v>
      </c>
      <c r="E136" s="49" t="n">
        <v>13</v>
      </c>
      <c r="F136" s="49" t="n">
        <v>10</v>
      </c>
      <c r="G136" s="49" t="n">
        <v>26</v>
      </c>
    </row>
    <row r="137">
      <c r="A137" s="70" t="inlineStr">
        <is>
          <t>Total</t>
        </is>
      </c>
      <c r="B137" s="49" t="n">
        <v>4</v>
      </c>
      <c r="C137" s="49" t="n">
        <v>1</v>
      </c>
      <c r="D137" s="49" t="n">
        <v>9</v>
      </c>
      <c r="E137" s="49" t="n">
        <v>30</v>
      </c>
      <c r="F137" s="49" t="n">
        <v>18</v>
      </c>
      <c r="G137" s="49" t="n">
        <v>62</v>
      </c>
    </row>
    <row r="138">
      <c r="A138" s="49" t="n"/>
      <c r="B138" s="49" t="n"/>
      <c r="C138" s="49" t="n"/>
      <c r="D138" s="49" t="n"/>
      <c r="E138" s="49" t="n"/>
      <c r="F138" s="49" t="n"/>
      <c r="G138" s="49" t="n"/>
    </row>
    <row r="139">
      <c r="A139" s="70" t="inlineStr">
        <is>
          <t>N. Study IDs per cell of table K (integration extent | HITL role)</t>
        </is>
      </c>
      <c r="B139" s="49" t="n"/>
      <c r="C139" s="49" t="n"/>
      <c r="D139" s="49" t="n"/>
      <c r="E139" s="49" t="n"/>
      <c r="F139" s="49" t="n"/>
      <c r="G139" s="49" t="n"/>
    </row>
    <row r="140">
      <c r="A140" s="49" t="inlineStr">
        <is>
          <t>1 Descriptive</t>
        </is>
      </c>
      <c r="B140" s="49" t="inlineStr">
        <is>
          <t>Elevated</t>
        </is>
      </c>
      <c r="C140" s="49" t="inlineStr">
        <is>
          <t>R0025, R0270</t>
        </is>
      </c>
      <c r="D140" s="49" t="n"/>
      <c r="E140" s="49" t="n"/>
      <c r="F140" s="49" t="n"/>
      <c r="G140" s="49" t="n"/>
    </row>
    <row r="141">
      <c r="A141" s="49" t="inlineStr">
        <is>
          <t>1 Descriptive</t>
        </is>
      </c>
      <c r="B141" s="49" t="inlineStr">
        <is>
          <t>Maintained</t>
        </is>
      </c>
      <c r="C141" s="49" t="inlineStr">
        <is>
          <t>R0291</t>
        </is>
      </c>
      <c r="D141" s="49" t="n"/>
      <c r="E141" s="49" t="n"/>
      <c r="F141" s="49" t="n"/>
      <c r="G141" s="49" t="n"/>
    </row>
    <row r="142">
      <c r="A142" s="49" t="inlineStr">
        <is>
          <t>1 Descriptive</t>
        </is>
      </c>
      <c r="B142" s="49" t="inlineStr">
        <is>
          <t>Reduced</t>
        </is>
      </c>
      <c r="C142" s="49" t="inlineStr">
        <is>
          <t>R0116</t>
        </is>
      </c>
      <c r="D142" s="49" t="n"/>
      <c r="E142" s="49" t="n"/>
      <c r="F142" s="49" t="n"/>
      <c r="G142" s="49" t="n"/>
    </row>
    <row r="143">
      <c r="A143" s="49" t="inlineStr">
        <is>
          <t>2 Diagnostic</t>
        </is>
      </c>
      <c r="B143" s="49" t="inlineStr">
        <is>
          <t>Reduced</t>
        </is>
      </c>
      <c r="C143" s="49" t="inlineStr">
        <is>
          <t>R0322</t>
        </is>
      </c>
      <c r="D143" s="49" t="n"/>
      <c r="E143" s="49" t="n"/>
      <c r="F143" s="49" t="n"/>
      <c r="G143" s="49" t="n"/>
    </row>
    <row r="144">
      <c r="A144" s="49" t="inlineStr">
        <is>
          <t>3 Predictive</t>
        </is>
      </c>
      <c r="B144" s="49" t="inlineStr">
        <is>
          <t>Maintained</t>
        </is>
      </c>
      <c r="C144" s="49" t="inlineStr">
        <is>
          <t>R0078, R0157, R0194, R0530, R0589, R0621, R0663, R0674</t>
        </is>
      </c>
      <c r="D144" s="49" t="n"/>
      <c r="E144" s="49" t="n"/>
      <c r="F144" s="49" t="n"/>
      <c r="G144" s="49" t="n"/>
    </row>
    <row r="145">
      <c r="A145" s="49" t="inlineStr">
        <is>
          <t>4 Prescriptive-advisory</t>
        </is>
      </c>
      <c r="B145" s="49" t="inlineStr">
        <is>
          <t>Elevated</t>
        </is>
      </c>
      <c r="C145" s="49" t="inlineStr">
        <is>
          <t>R0080, R0084, R0137, R0201, R0221, R0309, R0328</t>
        </is>
      </c>
      <c r="D145" s="49" t="n"/>
      <c r="E145" s="49" t="n"/>
      <c r="F145" s="49" t="n"/>
      <c r="G145" s="49" t="n"/>
    </row>
    <row r="146">
      <c r="A146" s="49" t="inlineStr">
        <is>
          <t>4 Prescriptive-advisory</t>
        </is>
      </c>
      <c r="B146" s="49" t="inlineStr">
        <is>
          <t>Maintained</t>
        </is>
      </c>
      <c r="C146" s="49" t="inlineStr">
        <is>
          <t>R0008, R0009, R0037, R0045, R0097, R0129, R0178, R0223, R0272, R0273, R0298, R0525, R0554, R0564, R0614, R0639</t>
        </is>
      </c>
      <c r="D146" s="49" t="n"/>
      <c r="E146" s="49" t="n"/>
      <c r="F146" s="49" t="n"/>
      <c r="G146" s="49" t="n"/>
    </row>
    <row r="147">
      <c r="A147" s="49" t="inlineStr">
        <is>
          <t>4 Prescriptive-advisory</t>
        </is>
      </c>
      <c r="B147" s="49" t="inlineStr">
        <is>
          <t>Reduced</t>
        </is>
      </c>
      <c r="C147" s="49" t="inlineStr">
        <is>
          <t>R0323, R0327</t>
        </is>
      </c>
      <c r="D147" s="49" t="n"/>
      <c r="E147" s="49" t="n"/>
      <c r="F147" s="49" t="n"/>
      <c r="G147" s="49" t="n"/>
    </row>
    <row r="148">
      <c r="A148" s="49" t="inlineStr">
        <is>
          <t>4 Prescriptive-advisory</t>
        </is>
      </c>
      <c r="B148" s="49" t="inlineStr">
        <is>
          <t>Replaced</t>
        </is>
      </c>
      <c r="C148" s="49" t="inlineStr">
        <is>
          <t>R0203</t>
        </is>
      </c>
      <c r="D148" s="49" t="n"/>
      <c r="E148" s="49" t="n"/>
      <c r="F148" s="49" t="n"/>
      <c r="G148" s="49" t="n"/>
    </row>
    <row r="149">
      <c r="A149" s="49" t="inlineStr">
        <is>
          <t>5 Prescriptive-autonomous</t>
        </is>
      </c>
      <c r="B149" s="49" t="inlineStr">
        <is>
          <t>Maintained</t>
        </is>
      </c>
      <c r="C149" s="49" t="inlineStr">
        <is>
          <t>R0299</t>
        </is>
      </c>
      <c r="D149" s="49" t="n"/>
      <c r="E149" s="49" t="n"/>
      <c r="F149" s="49" t="n"/>
      <c r="G149" s="49" t="n"/>
    </row>
    <row r="150">
      <c r="A150" s="49" t="inlineStr">
        <is>
          <t>5 Prescriptive-autonomous</t>
        </is>
      </c>
      <c r="B150" s="49" t="inlineStr">
        <is>
          <t>Not discussed</t>
        </is>
      </c>
      <c r="C150" s="49" t="inlineStr">
        <is>
          <t>R0001, R0152, R0252</t>
        </is>
      </c>
      <c r="D150" s="49" t="n"/>
      <c r="E150" s="49" t="n"/>
      <c r="F150" s="49" t="n"/>
      <c r="G150" s="49" t="n"/>
    </row>
    <row r="151">
      <c r="A151" s="49" t="inlineStr">
        <is>
          <t>5 Prescriptive-autonomous</t>
        </is>
      </c>
      <c r="B151" s="49" t="inlineStr">
        <is>
          <t>Reduced</t>
        </is>
      </c>
      <c r="C151" s="49" t="inlineStr">
        <is>
          <t>R0011, R0044, R0077, R0113, R0237, R0306, R0331, R0520</t>
        </is>
      </c>
      <c r="D151" s="49" t="n"/>
      <c r="E151" s="49" t="n"/>
      <c r="F151" s="49" t="n"/>
      <c r="G151" s="49" t="n"/>
    </row>
    <row r="152">
      <c r="A152" s="49" t="inlineStr">
        <is>
          <t>5 Prescriptive-autonomous</t>
        </is>
      </c>
      <c r="B152" s="49" t="inlineStr">
        <is>
          <t>Replaced</t>
        </is>
      </c>
      <c r="C152" s="49" t="inlineStr">
        <is>
          <t>R0164, R0591</t>
        </is>
      </c>
      <c r="D152" s="49" t="n"/>
      <c r="E152" s="49" t="n"/>
      <c r="F152" s="49" t="n"/>
      <c r="G152" s="49" t="n"/>
    </row>
    <row r="153">
      <c r="A153" s="49" t="n"/>
      <c r="B153" s="49" t="n"/>
      <c r="C153" s="49" t="n"/>
      <c r="D153" s="49" t="n"/>
      <c r="E153" s="49" t="n"/>
      <c r="F153" s="49" t="n"/>
      <c r="G153" s="49" t="n"/>
    </row>
    <row r="154">
      <c r="A154" s="70" t="inlineStr">
        <is>
          <t>O. Reports not retrieved (n = 42), by source, for the PRISMA diagram</t>
        </is>
      </c>
      <c r="B154" s="49" t="n"/>
      <c r="C154" s="49" t="n"/>
      <c r="D154" s="49" t="n"/>
      <c r="E154" s="49" t="n"/>
      <c r="F154" s="49" t="n"/>
      <c r="G154" s="49" t="n"/>
    </row>
    <row r="155">
      <c r="A155" s="49" t="inlineStr">
        <is>
          <t>IEEE Xplore conference proceedings (not subscribed by Hull or Tec; no open copy found)</t>
        </is>
      </c>
      <c r="B155" s="49" t="n">
        <v>31</v>
      </c>
      <c r="C155" s="49" t="inlineStr">
        <is>
          <t>R0003, R0004, R0018, R0029, R0048, R0051, R0068, R0082, R0105, R0107, R0108, R0127, R0142, R0148, R0158, R0166, R0167, R0172, R0183, R0192, R0226, R0255, R0261, R0290, R0297, R0302, R0341, R0350, R0521, R0551, R0584</t>
        </is>
      </c>
      <c r="D155" s="49" t="n"/>
      <c r="E155" s="49" t="n"/>
      <c r="F155" s="49" t="n"/>
      <c r="G155" s="49" t="n"/>
    </row>
    <row r="156">
      <c r="A156" s="49" t="inlineStr">
        <is>
          <t>Springer book chapters (IFIP AICT, LNNS, LNEE, LNME, Proc. Math. &amp; Stat.; not subscribed; R0233 and R0253 embargoed on HAL until 2027-01-01)</t>
        </is>
      </c>
      <c r="B156" s="49" t="n">
        <v>8</v>
      </c>
      <c r="C156" s="49" t="inlineStr">
        <is>
          <t>R0076, R0089, R0162, R0233, R0253, R0295, R0500, R0643</t>
        </is>
      </c>
      <c r="D156" s="49" t="n"/>
      <c r="E156" s="49" t="n"/>
      <c r="F156" s="49" t="n"/>
      <c r="G156" s="49" t="n"/>
    </row>
    <row r="157">
      <c r="A157" s="49" t="inlineStr">
        <is>
          <t>Emerald (Kybernetes)</t>
        </is>
      </c>
      <c r="B157" s="49" t="n">
        <v>1</v>
      </c>
      <c r="C157" s="49" t="inlineStr">
        <is>
          <t>R0026</t>
        </is>
      </c>
      <c r="D157" s="49" t="n"/>
      <c r="E157" s="49" t="n"/>
      <c r="F157" s="49" t="n"/>
      <c r="G157" s="49" t="n"/>
    </row>
    <row r="158">
      <c r="A158" s="49" t="inlineStr">
        <is>
          <t>SPIE Proceedings</t>
        </is>
      </c>
      <c r="B158" s="49" t="n">
        <v>1</v>
      </c>
      <c r="C158" s="49" t="inlineStr">
        <is>
          <t>R0064</t>
        </is>
      </c>
      <c r="D158" s="49" t="n"/>
      <c r="E158" s="49" t="n"/>
      <c r="F158" s="49" t="n"/>
      <c r="G158" s="49" t="n"/>
    </row>
    <row r="159">
      <c r="A159" s="49" t="inlineStr">
        <is>
          <t>ASCE Library (CRC 2022)</t>
        </is>
      </c>
      <c r="B159" s="49" t="n">
        <v>1</v>
      </c>
      <c r="C159" s="49" t="inlineStr">
        <is>
          <t>R0324</t>
        </is>
      </c>
      <c r="D159" s="49" t="n"/>
      <c r="E159" s="49" t="n"/>
      <c r="F159" s="49" t="n"/>
      <c r="G159" s="49" t="n"/>
    </row>
    <row r="160">
      <c r="A160" s="49" t="inlineStr">
        <is>
          <t>Total</t>
        </is>
      </c>
      <c r="B160" s="49" t="n">
        <v>42</v>
      </c>
      <c r="C160" s="49" t="inlineStr"/>
      <c r="D160" s="49" t="n"/>
      <c r="E160" s="49" t="n"/>
      <c r="F160" s="49" t="n"/>
      <c r="G160" s="49" t="n"/>
    </row>
    <row r="161">
      <c r="A161" s="49" t="n"/>
      <c r="B161" s="49" t="n"/>
      <c r="C161" s="49" t="n"/>
      <c r="D161" s="49" t="n"/>
      <c r="E161" s="49" t="n"/>
      <c r="F161" s="49" t="n"/>
      <c r="G161" s="49" t="n"/>
    </row>
    <row r="162">
      <c r="A162" s="70" t="inlineStr">
        <is>
          <t>P. Included studies outside the typology subset (use_in_typology = N; n = 9) and reason</t>
        </is>
      </c>
      <c r="B162" s="49" t="n"/>
      <c r="C162" s="49" t="n"/>
      <c r="D162" s="49" t="n"/>
      <c r="E162" s="49" t="n"/>
      <c r="F162" s="49" t="n"/>
      <c r="G162" s="49" t="n"/>
    </row>
    <row r="163">
      <c r="A163" s="49" t="inlineStr">
        <is>
          <t>R0054</t>
        </is>
      </c>
      <c r="B163" s="49" t="inlineStr">
        <is>
          <t>4 Prescriptive-advisory | Not discussed | Interpret outputs</t>
        </is>
      </c>
      <c r="C163" s="49" t="inlineStr">
        <is>
          <t>Human role not described; the SimPy "Level-1 twin" only stress-tests ML+OR policies offline</t>
        </is>
      </c>
      <c r="D163" s="49" t="n"/>
      <c r="E163" s="49" t="n"/>
      <c r="F163" s="49" t="n"/>
      <c r="G163" s="49" t="n"/>
    </row>
    <row r="164">
      <c r="A164" s="49" t="inlineStr">
        <is>
          <t>R0057</t>
        </is>
      </c>
      <c r="B164" s="49" t="inlineStr">
        <is>
          <t>5 Prescriptive-autonomous | Not discussed | Not discussed</t>
        </is>
      </c>
      <c r="C164" s="49" t="inlineStr">
        <is>
          <t>No human appears anywhere in the closed GA-MARL loop (role and function "Not discussed")</t>
        </is>
      </c>
      <c r="D164" s="49" t="n"/>
      <c r="E164" s="49" t="n"/>
      <c r="F164" s="49" t="n"/>
      <c r="G164" s="49" t="n"/>
    </row>
    <row r="165">
      <c r="A165" s="49" t="inlineStr">
        <is>
          <t>R0094</t>
        </is>
      </c>
      <c r="B165" s="49" t="inlineStr">
        <is>
          <t>4 Prescriptive-advisory | Not discussed | Interpret outputs</t>
        </is>
      </c>
      <c r="C165" s="49" t="inlineStr">
        <is>
          <t>Conceptual proposal with nothing implemented; human role only implicit (practitioners use the surrogate)</t>
        </is>
      </c>
      <c r="D165" s="49" t="n"/>
      <c r="E165" s="49" t="n"/>
      <c r="F165" s="49" t="n"/>
      <c r="G165" s="49" t="n"/>
    </row>
    <row r="166">
      <c r="A166" s="49" t="inlineStr">
        <is>
          <t>R0118</t>
        </is>
      </c>
      <c r="B166" s="49" t="inlineStr">
        <is>
          <t>4 Prescriptive-advisory | Reduced | Interpret outputs</t>
        </is>
      </c>
      <c r="C166" s="49" t="inlineStr">
        <is>
          <t>Twin only asserted (no description, data or validation); human role ambiguous ("operators or autonomous systems")</t>
        </is>
      </c>
      <c r="D166" s="49" t="n"/>
      <c r="E166" s="49" t="n"/>
      <c r="F166" s="49" t="n"/>
      <c r="G166" s="49" t="n"/>
    </row>
    <row r="167">
      <c r="A167" s="49" t="inlineStr">
        <is>
          <t>R0119</t>
        </is>
      </c>
      <c r="B167" s="49" t="inlineStr">
        <is>
          <t>3 Predictive | Not discussed | Interpret outputs</t>
        </is>
      </c>
      <c r="C167" s="49" t="inlineStr">
        <is>
          <t>Human role not described; twin predicts shelf life, decisions left to unspecified users</t>
        </is>
      </c>
      <c r="D167" s="49" t="n"/>
      <c r="E167" s="49" t="n"/>
      <c r="F167" s="49" t="n"/>
      <c r="G167" s="49" t="n"/>
    </row>
    <row r="168">
      <c r="A168" s="49" t="inlineStr">
        <is>
          <t>R0173</t>
        </is>
      </c>
      <c r="B168" s="49" t="inlineStr">
        <is>
          <t>5 Prescriptive-autonomous | Maintained | Interpret outputs</t>
        </is>
      </c>
      <c r="C168" s="49" t="inlineStr">
        <is>
          <t>Conceptual five-layer architecture; AI named only by families, human only as AR/VR interface</t>
        </is>
      </c>
      <c r="D168" s="49" t="n"/>
      <c r="E168" s="49" t="n"/>
      <c r="F168" s="49" t="n"/>
      <c r="G168" s="49" t="n"/>
    </row>
    <row r="169">
      <c r="A169" s="49" t="inlineStr">
        <is>
          <t>R0174</t>
        </is>
      </c>
      <c r="B169" s="49" t="inlineStr">
        <is>
          <t>5 Prescriptive-autonomous | Replaced | None</t>
        </is>
      </c>
      <c r="C169" s="49" t="inlineStr">
        <is>
          <t>Internally inconsistent results and reference list (quality doubts); no human in the loop</t>
        </is>
      </c>
      <c r="D169" s="49" t="n"/>
      <c r="E169" s="49" t="n"/>
      <c r="F169" s="49" t="n"/>
      <c r="G169" s="49" t="n"/>
    </row>
    <row r="170">
      <c r="A170" s="49" t="inlineStr">
        <is>
          <t>R0249</t>
        </is>
      </c>
      <c r="B170" s="49" t="inlineStr">
        <is>
          <t>4 Prescriptive-advisory | Reduced | Interpret outputs</t>
        </is>
      </c>
      <c r="C170" s="49" t="inlineStr">
        <is>
          <t>Human role only inferred (operators currently decide; RL "without explicit human expertise"); RL algorithm unspecified</t>
        </is>
      </c>
      <c r="D170" s="49" t="n"/>
      <c r="E170" s="49" t="n"/>
      <c r="F170" s="49" t="n"/>
      <c r="G170" s="49" t="n"/>
    </row>
    <row r="171">
      <c r="A171" s="49" t="inlineStr">
        <is>
          <t>R0629</t>
        </is>
      </c>
      <c r="B171" s="49" t="inlineStr">
        <is>
          <t>5 Prescriptive-autonomous | Reduced | Interpret outputs</t>
        </is>
      </c>
      <c r="C171" s="49" t="inlineStr">
        <is>
          <t>AI limited to data mining and fuzzy rules without a named method; human role never discussed</t>
        </is>
      </c>
      <c r="D171" s="49" t="n"/>
      <c r="E171" s="49" t="n"/>
      <c r="F171" s="49" t="n"/>
      <c r="G171" s="49" t="n"/>
    </row>
    <row r="172">
      <c r="A172" s="71" t="inlineStr">
        <is>
          <t>Criterion: a study enters the typology subset only when the full text gives a legible AI-role + human-role configuration (who decides, approves, sets or interprets); studies whose human role is undescribed, whose twin or AI is only asserted, or whose reported results are internally inconsistent are kept as included studies (they count in the descriptive tables A-I) but not in the typology cross-tabs (tables K, L, N).</t>
        </is>
      </c>
      <c r="B172" s="49" t="n"/>
      <c r="C172" s="49" t="n"/>
      <c r="D172" s="49" t="n"/>
      <c r="E172" s="49" t="n"/>
      <c r="F172" s="49" t="n"/>
      <c r="G172" s="49" t="n"/>
    </row>
    <row r="173">
      <c r="A173" s="49" t="n"/>
      <c r="B173" s="49" t="n"/>
      <c r="C173" s="49" t="n"/>
      <c r="D173" s="49" t="n"/>
      <c r="E173" s="49" t="n"/>
      <c r="F173" s="49" t="n"/>
      <c r="G173" s="49" t="n"/>
    </row>
    <row r="174">
      <c r="A174" s="49" t="inlineStr">
        <is>
          <t>Q. Reconciliation of table K (n = 53): level 1 = 4 (R0025, R0270 elevated; R0291 maintained; R0116 reduced); level 2 = 1 (R0322 reduced); level 3 = 8 (all maintained); level 4 = 26 (16 maintained, 7 elevated, 2 reduced: R0323, R0327; 1 replaced: R0203); level 5 = 14 (8 reduced, 2 replaced, 3 not discussed, 1 maintained: R0299). Primary human function (n = 53): interpret outputs 21, approve/override 13, set objectives/constraints 12, handle exceptions 4, none 3; "provide data/labels" appears only as a secondary function (R0237, R0323).</t>
        </is>
      </c>
      <c r="B174" s="49" t="n"/>
      <c r="C174" s="49" t="n"/>
      <c r="D174" s="49" t="n"/>
      <c r="E174" s="49" t="n"/>
      <c r="F174" s="49" t="n"/>
      <c r="G174" s="49"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17" min="1" max="1"/>
    <col width="28" customWidth="1" style="17" min="2" max="2"/>
    <col width="6" customWidth="1" style="17" min="3" max="3"/>
    <col width="50" customWidth="1" style="17" min="4" max="4"/>
    <col width="26" customWidth="1" style="17" min="5" max="5"/>
    <col width="26" customWidth="1" style="17" min="6" max="6"/>
    <col width="8" customWidth="1" style="17" min="7" max="7"/>
    <col width="16" customWidth="1" style="17" min="8" max="8"/>
    <col width="22" customWidth="1" style="17" min="9" max="9"/>
    <col width="22" customWidth="1" style="17" min="10" max="10"/>
    <col width="8" customWidth="1" style="17" min="11" max="11"/>
    <col width="18" customWidth="1" style="17" min="12" max="12"/>
    <col width="22" customWidth="1" style="17" min="13" max="13"/>
    <col width="20" customWidth="1" style="17" min="14" max="14"/>
    <col width="14" customWidth="1" style="17" min="15" max="15"/>
    <col width="26" customWidth="1" style="17" min="16" max="16"/>
    <col width="8" customWidth="1" style="17" min="17" max="17"/>
    <col width="60" customWidth="1" style="17" min="18" max="18"/>
  </cols>
  <sheetData>
    <row r="1">
      <c r="A1" s="35" t="inlineStr">
        <is>
          <t>ID</t>
        </is>
      </c>
      <c r="B1" s="35" t="inlineStr">
        <is>
          <t>Authors</t>
        </is>
      </c>
      <c r="C1" s="35" t="inlineStr">
        <is>
          <t>Year</t>
        </is>
      </c>
      <c r="D1" s="35" t="inlineStr">
        <is>
          <t>Title</t>
        </is>
      </c>
      <c r="E1" s="35" t="inlineStr">
        <is>
          <t>Venue</t>
        </is>
      </c>
      <c r="F1" s="35" t="inlineStr">
        <is>
          <t>DOI</t>
        </is>
      </c>
      <c r="G1" s="35" t="inlineStr">
        <is>
          <t>Make (TA)</t>
        </is>
      </c>
      <c r="H1" s="35" t="inlineStr">
        <is>
          <t>Evidence type</t>
        </is>
      </c>
      <c r="I1" s="35" t="inlineStr">
        <is>
          <t>Sector</t>
        </is>
      </c>
      <c r="J1" s="35" t="inlineStr">
        <is>
          <t>SCOR (Y)</t>
        </is>
      </c>
      <c r="K1" s="35" t="inlineStr">
        <is>
          <t>End-to-end</t>
        </is>
      </c>
      <c r="L1" s="35" t="inlineStr">
        <is>
          <t>AI technique</t>
        </is>
      </c>
      <c r="M1" s="35" t="inlineStr">
        <is>
          <t>AI role</t>
        </is>
      </c>
      <c r="N1" s="35" t="inlineStr">
        <is>
          <t>Integration extent</t>
        </is>
      </c>
      <c r="O1" s="35" t="inlineStr">
        <is>
          <t>HITL role</t>
        </is>
      </c>
      <c r="P1" s="35" t="inlineStr">
        <is>
          <t>HITL function</t>
        </is>
      </c>
      <c r="Q1" s="35" t="inlineStr">
        <is>
          <t>Use in typology</t>
        </is>
      </c>
      <c r="R1" s="35" t="inlineStr">
        <is>
          <t>Key finding</t>
        </is>
      </c>
    </row>
    <row r="2">
      <c r="A2" s="49" t="inlineStr">
        <is>
          <t>R0001</t>
        </is>
      </c>
      <c r="B2" s="49" t="inlineStr">
        <is>
          <t>Guzmán E.; Andrés B.; Torres-Polo M.</t>
        </is>
      </c>
      <c r="C2" s="49" t="n">
        <v>2026</v>
      </c>
      <c r="D2" s="49" t="inlineStr">
        <is>
          <t>A cooperative digital twin–multi-agent reinforcement learning for circular supply chains: balanced control across production, logistics, and sustainability</t>
        </is>
      </c>
      <c r="E2" s="49" t="inlineStr">
        <is>
          <t>Computers and Industrial Engineering</t>
        </is>
      </c>
      <c r="F2" s="49" t="inlineStr">
        <is>
          <t>10.1016/j.cie.2026.112044</t>
        </is>
      </c>
      <c r="G2" s="49" t="inlineStr"/>
      <c r="H2" s="49" t="inlineStr">
        <is>
          <t>Simulation/synthetic</t>
        </is>
      </c>
      <c r="I2" s="49" t="inlineStr">
        <is>
          <t>Generic/cross-sector (circular supply chain; construction benchmark, transfer to discrete manufacturing, process industries, waste management)</t>
        </is>
      </c>
      <c r="J2" s="49" t="inlineStr">
        <is>
          <t>Plan/Make/Deliver/Return</t>
        </is>
      </c>
      <c r="K2" s="49" t="inlineStr">
        <is>
          <t>N</t>
        </is>
      </c>
      <c r="L2" s="49" t="inlineStr">
        <is>
          <t>Reinforcement learning</t>
        </is>
      </c>
      <c r="M2" s="49" t="inlineStr">
        <is>
          <t>Control</t>
        </is>
      </c>
      <c r="N2" s="49" t="inlineStr">
        <is>
          <t>5 Prescriptive-autonomous</t>
        </is>
      </c>
      <c r="O2" s="49" t="inlineStr">
        <is>
          <t>Not discussed</t>
        </is>
      </c>
      <c r="P2" s="49" t="inlineStr">
        <is>
          <t>Set objectives/constraints</t>
        </is>
      </c>
      <c r="Q2" s="49" t="inlineStr">
        <is>
          <t>Y</t>
        </is>
      </c>
      <c r="R2" s="49" t="inlineStr">
        <is>
          <t>A five-agent cooperative MARL controller trained in a simulation-based circular-supply-chain DT cut lead time 4.5% and raised OTIF 1.8 p.p. versus no action with bounded cost/CO2 increases, preserved effect signs under shocks, transferred across sectors without retuning; integrated data shifted operations toward lower cost and CO2.</t>
        </is>
      </c>
    </row>
    <row r="3">
      <c r="A3" s="49" t="inlineStr">
        <is>
          <t>R0008</t>
        </is>
      </c>
      <c r="B3" s="49" t="inlineStr">
        <is>
          <t>Kaarlela T.; Alekseev S.; Maljamäki P.; Ikäheimo E.; Kurvinen E.</t>
        </is>
      </c>
      <c r="C3" s="49" t="n">
        <v>2026</v>
      </c>
      <c r="D3" s="49" t="inlineStr">
        <is>
          <t>Digital twin framework for electric truck route and infrastructure planning in the Nordic region</t>
        </is>
      </c>
      <c r="E3" s="49" t="inlineStr">
        <is>
          <t>Transportation Engineering</t>
        </is>
      </c>
      <c r="F3" s="49" t="inlineStr">
        <is>
          <t>10.1016/j.treng.2026.100426</t>
        </is>
      </c>
      <c r="G3" s="49" t="inlineStr"/>
      <c r="H3" s="49" t="inlineStr">
        <is>
          <t>Empirical case</t>
        </is>
      </c>
      <c r="I3" s="49" t="inlineStr">
        <is>
          <t>Road freight/transport logistics (heavy-duty electric trucks)</t>
        </is>
      </c>
      <c r="J3" s="49" t="inlineStr">
        <is>
          <t>Plan/Deliver</t>
        </is>
      </c>
      <c r="K3" s="49" t="inlineStr">
        <is>
          <t>N</t>
        </is>
      </c>
      <c r="L3" s="49" t="inlineStr">
        <is>
          <t>Classical ML</t>
        </is>
      </c>
      <c r="M3" s="49" t="inlineStr">
        <is>
          <t>Forecasting/estimation</t>
        </is>
      </c>
      <c r="N3" s="49" t="inlineStr">
        <is>
          <t>4 Prescriptive-advisory</t>
        </is>
      </c>
      <c r="O3" s="49" t="inlineStr">
        <is>
          <t>Maintained</t>
        </is>
      </c>
      <c r="P3" s="49" t="inlineStr">
        <is>
          <t>Set objectives/constraints</t>
        </is>
      </c>
      <c r="Q3" s="49" t="inlineStr">
        <is>
          <t>Y</t>
        </is>
      </c>
      <c r="R3" s="49" t="inlineStr">
        <is>
          <t>Gradient Boosting on 180+ real winter trips predicts electric-truck depth of discharge (R2=0.58; load, torque and weight dominate), feeding energy-optimal Dijkstra routing; a TruckMaker-calibrated digital twin with virtual interface lets planners test charger/fleet scenarios; co-simulation reproduces speed (R2~0.99). Infrastructure analysis remains what-if decision support, not optimisation.</t>
        </is>
      </c>
    </row>
    <row r="4">
      <c r="A4" s="49" t="inlineStr">
        <is>
          <t>R0009</t>
        </is>
      </c>
      <c r="B4" s="49" t="inlineStr">
        <is>
          <t>Han F.; Liu L.; Sun J.</t>
        </is>
      </c>
      <c r="C4" s="49" t="n">
        <v>2026</v>
      </c>
      <c r="D4" s="49" t="inlineStr">
        <is>
          <t>Logistics equipment condition monitoring and prediction based on digital twin and machine learning</t>
        </is>
      </c>
      <c r="E4" s="49" t="inlineStr">
        <is>
          <t>Scientific Reports</t>
        </is>
      </c>
      <c r="F4" s="49" t="inlineStr">
        <is>
          <t>10.1038/s41598-026-43380-4</t>
        </is>
      </c>
      <c r="G4" s="49" t="inlineStr"/>
      <c r="H4" s="49" t="inlineStr">
        <is>
          <t>Simulation/synthetic</t>
        </is>
      </c>
      <c r="I4" s="49" t="inlineStr">
        <is>
          <t>Warehousing</t>
        </is>
      </c>
      <c r="J4" s="49" t="inlineStr">
        <is>
          <t>Deliver</t>
        </is>
      </c>
      <c r="K4" s="49" t="inlineStr">
        <is>
          <t>N</t>
        </is>
      </c>
      <c r="L4" s="49" t="inlineStr">
        <is>
          <t>Hybrid</t>
        </is>
      </c>
      <c r="M4" s="49" t="inlineStr">
        <is>
          <t>Forecasting/estimation</t>
        </is>
      </c>
      <c r="N4" s="49" t="inlineStr">
        <is>
          <t>4 Prescriptive-advisory</t>
        </is>
      </c>
      <c r="O4" s="49" t="inlineStr">
        <is>
          <t>Maintained</t>
        </is>
      </c>
      <c r="P4" s="49" t="inlineStr">
        <is>
          <t>Approve/override</t>
        </is>
      </c>
      <c r="Q4" s="49" t="inlineStr">
        <is>
          <t>Y</t>
        </is>
      </c>
      <c r="R4" s="49" t="inlineStr">
        <is>
          <t>Three-layer IoT-digital twin-ML architecture for predictive maintenance of distribution-centre equipment (forklifts, conveyors, AGVs): ensemble anomaly detection (F1 0.915), LSTM/RF RUL prediction (R2 0.907), fault classification (92.1%); reported 42% less unplanned downtime and 4.5-month payback; low-confidence predictions routed to technicians, whose corrections retrain models.</t>
        </is>
      </c>
    </row>
    <row r="5">
      <c r="A5" s="49" t="inlineStr">
        <is>
          <t>R0011</t>
        </is>
      </c>
      <c r="B5" s="49" t="inlineStr">
        <is>
          <t>Ivanov D.</t>
        </is>
      </c>
      <c r="C5" s="49" t="n">
        <v>2026</v>
      </c>
      <c r="D5" s="49" t="inlineStr">
        <is>
          <t>Toward Industry 6.0: The Ecosystem Age, superintelligence, viability, and OR-AI symbiosis</t>
        </is>
      </c>
      <c r="E5" s="49" t="inlineStr">
        <is>
          <t>Computers and Operations Research</t>
        </is>
      </c>
      <c r="F5" s="49" t="inlineStr">
        <is>
          <t>10.1016/j.cor.2026.107563</t>
        </is>
      </c>
      <c r="G5" s="49" t="inlineStr"/>
      <c r="H5" s="49" t="inlineStr">
        <is>
          <t>Conceptual</t>
        </is>
      </c>
      <c r="I5" s="49" t="inlineStr">
        <is>
          <t>Generic/cross-sector</t>
        </is>
      </c>
      <c r="J5" s="49" t="inlineStr">
        <is>
          <t>Plan/Source/Make/Deliver</t>
        </is>
      </c>
      <c r="K5" s="49" t="inlineStr">
        <is>
          <t>Y</t>
        </is>
      </c>
      <c r="L5" s="49" t="inlineStr">
        <is>
          <t>LLM/agent</t>
        </is>
      </c>
      <c r="M5" s="49" t="inlineStr">
        <is>
          <t>Decision support</t>
        </is>
      </c>
      <c r="N5" s="49" t="inlineStr">
        <is>
          <t>5 Prescriptive-autonomous</t>
        </is>
      </c>
      <c r="O5" s="49" t="inlineStr">
        <is>
          <t>Reduced</t>
        </is>
      </c>
      <c r="P5" s="49" t="inlineStr">
        <is>
          <t>Set objectives/constraints</t>
        </is>
      </c>
      <c r="Q5" s="49" t="inlineStr">
        <is>
          <t>Y</t>
        </is>
      </c>
      <c r="R5" s="49" t="inlineStr">
        <is>
          <t>Conceptualises Industry 6.0 as a digital-twin-driven, agentic-AI ecosystem and proposes a 7-layer OR-AI symbiosis architecture for agentic digital twins (infrastructure to resilience intelligence) in which OR models become continuous orchestration engines, agents autonomously synchronise cross-firm MPS/MRP, and managers define decision rules while validating AI outputs.</t>
        </is>
      </c>
    </row>
    <row r="6">
      <c r="A6" s="49" t="inlineStr">
        <is>
          <t>R0025</t>
        </is>
      </c>
      <c r="B6" s="49" t="inlineStr">
        <is>
          <t>Schwede C.; Schipper L.; Cirullies J.</t>
        </is>
      </c>
      <c r="C6" s="49" t="n">
        <v>2026</v>
      </c>
      <c r="D6" s="49" t="inlineStr">
        <is>
          <t>Enabling Non-Simulation Experts to Adapt Digital Twins during Production System Redesign using Agentic AI</t>
        </is>
      </c>
      <c r="E6" s="49" t="inlineStr">
        <is>
          <t>ICCMB 2026 - Proceedings of 2026 the 9th International Conference on Computers in Management and Business</t>
        </is>
      </c>
      <c r="F6" s="49" t="inlineStr">
        <is>
          <t>10.1145/3802463.3802479</t>
        </is>
      </c>
      <c r="G6" s="49" t="inlineStr">
        <is>
          <t>Make</t>
        </is>
      </c>
      <c r="H6" s="49" t="inlineStr">
        <is>
          <t>Empirical case</t>
        </is>
      </c>
      <c r="I6" s="49" t="inlineStr">
        <is>
          <t>Discrete manufacturing / electronics assembly (laboratory IoT-Factory, HSBI Bielefeld; smart product in ~150 variants, mobile robots for parts supply)</t>
        </is>
      </c>
      <c r="J6" s="49" t="inlineStr">
        <is>
          <t>Make</t>
        </is>
      </c>
      <c r="K6" s="49" t="inlineStr">
        <is>
          <t>N</t>
        </is>
      </c>
      <c r="L6" s="49" t="inlineStr">
        <is>
          <t>LLM/agent</t>
        </is>
      </c>
      <c r="M6" s="49" t="inlineStr">
        <is>
          <t>Other</t>
        </is>
      </c>
      <c r="N6" s="49" t="inlineStr">
        <is>
          <t>1 Descriptive</t>
        </is>
      </c>
      <c r="O6" s="49" t="inlineStr">
        <is>
          <t>Elevated</t>
        </is>
      </c>
      <c r="P6" s="49" t="inlineStr">
        <is>
          <t>Set objectives/constraints; Approve/override; Interpret outputs</t>
        </is>
      </c>
      <c r="Q6" s="49" t="inlineStr">
        <is>
          <t>Y</t>
        </is>
      </c>
      <c r="R6" s="49" t="inlineStr">
        <is>
          <t>Agentic LLM system (five Smolagents code agents, ReAct, RAG over OFacT documentation/state model; Qwen3-32B) lets non-experts structurally adapt an event-log-generated material-flow twin of a lab assembly factory via natural language; lean multi-agent, RAG planning and non-reasoning LLMs performed best (up to 100% success), removing expert-authored step instructions.</t>
        </is>
      </c>
    </row>
    <row r="7">
      <c r="A7" s="49" t="inlineStr">
        <is>
          <t>R0037</t>
        </is>
      </c>
      <c r="B7" s="49" t="inlineStr">
        <is>
          <t>Leong W.Y.</t>
        </is>
      </c>
      <c r="C7" s="49" t="n">
        <v>2026</v>
      </c>
      <c r="D7" s="49" t="inlineStr">
        <is>
          <t>Climate-Disruption Early Warning for Malaysian Supply Chains Using Multimodal Data</t>
        </is>
      </c>
      <c r="E7" s="49" t="inlineStr">
        <is>
          <t>ICCMB 2026 - Proceedings of 2026 the 9th International Conference on Computers in Management and Business</t>
        </is>
      </c>
      <c r="F7" s="49" t="inlineStr">
        <is>
          <t>10.1145/3802463.3802485</t>
        </is>
      </c>
      <c r="G7" s="49" t="inlineStr"/>
      <c r="H7" s="49" t="inlineStr">
        <is>
          <t>Simulation/synthetic</t>
        </is>
      </c>
      <c r="I7" s="49" t="inlineStr">
        <is>
          <t>Generic/cross-sector (logistics/ports, manufacturing, agri-food; Malaysia)</t>
        </is>
      </c>
      <c r="J7" s="49" t="inlineStr">
        <is>
          <t>Plan/Source/Make/Deliver</t>
        </is>
      </c>
      <c r="K7" s="49" t="inlineStr">
        <is>
          <t>Y</t>
        </is>
      </c>
      <c r="L7" s="49" t="inlineStr">
        <is>
          <t>Hybrid</t>
        </is>
      </c>
      <c r="M7" s="49" t="inlineStr">
        <is>
          <t>Forecasting/estimation</t>
        </is>
      </c>
      <c r="N7" s="49" t="inlineStr">
        <is>
          <t>4 Prescriptive-advisory</t>
        </is>
      </c>
      <c r="O7" s="49" t="inlineStr">
        <is>
          <t>Maintained</t>
        </is>
      </c>
      <c r="P7" s="49" t="inlineStr">
        <is>
          <t>Approve/override</t>
        </is>
      </c>
      <c r="Q7" s="49" t="inlineStr">
        <is>
          <t>Y</t>
        </is>
      </c>
      <c r="R7" s="49" t="inlineStr">
        <is>
          <t>Simulated Malaysian supply chain CDEWS: RNN and graph-based risk forecasting on fused multimodal data plus a supply chain digital twin for what-if mitigation analysis raised disruption lead time from 8–12 h to 64–72 h and cut logistics downtime roughly one-third, stockout risk and recovery duration in three flood/rainfall scenarios.</t>
        </is>
      </c>
    </row>
    <row r="8">
      <c r="A8" s="49" t="inlineStr">
        <is>
          <t>R0044</t>
        </is>
      </c>
      <c r="B8" s="49" t="inlineStr">
        <is>
          <t>Elmay F.; Kadadha M.; Singh S.; Mizouni R.; Otrok H.; Mourad A.</t>
        </is>
      </c>
      <c r="C8" s="49" t="n">
        <v>2026</v>
      </c>
      <c r="D8" s="49" t="inlineStr">
        <is>
          <t>Digital-twins and machine learning-assisted stable, energy-aware unmanned aerial and ground vehicles delivery in blockchain-enabled crowdsourcing framework</t>
        </is>
      </c>
      <c r="E8" s="49" t="inlineStr">
        <is>
          <t>Future Generation Computer Systems</t>
        </is>
      </c>
      <c r="F8" s="49" t="inlineStr">
        <is>
          <t>10.1016/j.future.2025.108004</t>
        </is>
      </c>
      <c r="G8" s="49" t="inlineStr"/>
      <c r="H8" s="49" t="inlineStr">
        <is>
          <t>Simulation/synthetic</t>
        </is>
      </c>
      <c r="I8" s="49" t="inlineStr">
        <is>
          <t>Last-mile delivery / pharma cold chain</t>
        </is>
      </c>
      <c r="J8" s="49" t="inlineStr">
        <is>
          <t>Deliver</t>
        </is>
      </c>
      <c r="K8" s="49" t="inlineStr">
        <is>
          <t>N</t>
        </is>
      </c>
      <c r="L8" s="49" t="inlineStr">
        <is>
          <t>Classical ML</t>
        </is>
      </c>
      <c r="M8" s="49" t="inlineStr">
        <is>
          <t>Forecasting/estimation</t>
        </is>
      </c>
      <c r="N8" s="49" t="inlineStr">
        <is>
          <t>5 Prescriptive-autonomous</t>
        </is>
      </c>
      <c r="O8" s="49" t="inlineStr">
        <is>
          <t>Reduced</t>
        </is>
      </c>
      <c r="P8" s="49" t="inlineStr">
        <is>
          <t>Handle exceptions</t>
        </is>
      </c>
      <c r="Q8" s="49" t="inlineStr">
        <is>
          <t>Y</t>
        </is>
      </c>
      <c r="R8" s="49" t="inlineStr">
        <is>
          <t>Package digital twins (Arrhenius model) plus Random Forest predictions of UAV energy and delivery success, feeding a blockchain-hosted Gale-Shapley allocation, improve QoS by at least 37%, delivery success by at least 45%, worker reputation by 32% and payoff by 22% versus benchmarks; the RF energy model reaches MAE 1.66.</t>
        </is>
      </c>
    </row>
    <row r="9">
      <c r="A9" s="49" t="inlineStr">
        <is>
          <t>R0045</t>
        </is>
      </c>
      <c r="B9" s="49" t="inlineStr">
        <is>
          <t>Saidi C.; Hamani N.; Benaissa M.; Rolf B.; Reggelin T.; Lang S.</t>
        </is>
      </c>
      <c r="C9" s="49" t="n">
        <v>2026</v>
      </c>
      <c r="D9" s="49" t="inlineStr">
        <is>
          <t>Towards Intelligent Supply Chain Reconfiguration: A Framework Integrating Dynamic Knowledge Graph and AI-Driven Optimization</t>
        </is>
      </c>
      <c r="E9" s="49" t="inlineStr">
        <is>
          <t>Lecture Notes in Mechanical Engineering</t>
        </is>
      </c>
      <c r="F9" s="49" t="inlineStr">
        <is>
          <t>10.1007/978-3-032-16889-4_39</t>
        </is>
      </c>
      <c r="G9" s="49" t="inlineStr"/>
      <c r="H9" s="49" t="inlineStr">
        <is>
          <t>Conceptual</t>
        </is>
      </c>
      <c r="I9" s="49" t="inlineStr">
        <is>
          <t>Generic/cross-sector (reconfigurable supply chain, no industry specified)</t>
        </is>
      </c>
      <c r="J9" s="49" t="inlineStr">
        <is>
          <t>Plan/Source/Make/Deliver</t>
        </is>
      </c>
      <c r="K9" s="49" t="inlineStr">
        <is>
          <t>Y</t>
        </is>
      </c>
      <c r="L9" s="49" t="inlineStr">
        <is>
          <t>Hybrid</t>
        </is>
      </c>
      <c r="M9" s="49" t="inlineStr">
        <is>
          <t>Optimisation; Forecasting/estimation</t>
        </is>
      </c>
      <c r="N9" s="49" t="inlineStr">
        <is>
          <t>4 Prescriptive-advisory</t>
        </is>
      </c>
      <c r="O9" s="49" t="inlineStr">
        <is>
          <t>Maintained</t>
        </is>
      </c>
      <c r="P9" s="49" t="inlineStr">
        <is>
          <t>Interpret outputs</t>
        </is>
      </c>
      <c r="Q9" s="49" t="inlineStr">
        <is>
          <t>Y</t>
        </is>
      </c>
      <c r="R9" s="49" t="inlineStr">
        <is>
          <t>Conceptual framework only: a dynamic knowledge graph feeds a supply chain digital twin; an AI/metaheuristic optimisation engine suggests reconfigurations that are simulated and validated in the twin before deployment, with actors assessing scenarios; no implementation, named algorithm, or evaluation is provided.</t>
        </is>
      </c>
    </row>
    <row r="10">
      <c r="A10" s="49" t="inlineStr">
        <is>
          <t>R0054</t>
        </is>
      </c>
      <c r="B10" s="49" t="inlineStr">
        <is>
          <t>Iqbal T.</t>
        </is>
      </c>
      <c r="C10" s="49" t="n">
        <v>2026</v>
      </c>
      <c r="D10" s="49" t="inlineStr">
        <is>
          <t>MACHINE LEARNING–DRIVEN SMART SHARING PLATFORMS FOR OPTIMIZING LAST-MILE DELIVERY IN SAUDI ARABIA’S E-COMMERCE SECTOR</t>
        </is>
      </c>
      <c r="E10" s="49" t="inlineStr">
        <is>
          <t>Logforum</t>
        </is>
      </c>
      <c r="F10" s="49" t="inlineStr">
        <is>
          <t>10.17270/j.log.001371</t>
        </is>
      </c>
      <c r="G10" s="49" t="inlineStr"/>
      <c r="H10" s="49" t="inlineStr">
        <is>
          <t>Simulation/synthetic</t>
        </is>
      </c>
      <c r="I10" s="49" t="inlineStr">
        <is>
          <t>Retail/e-commerce last-mile delivery (Saudi Arabia; pooled courier fleets and parcel lockers)</t>
        </is>
      </c>
      <c r="J10" s="49" t="inlineStr">
        <is>
          <t>Plan/Deliver</t>
        </is>
      </c>
      <c r="K10" s="49" t="inlineStr">
        <is>
          <t>N</t>
        </is>
      </c>
      <c r="L10" s="49" t="inlineStr">
        <is>
          <t>Classical ML</t>
        </is>
      </c>
      <c r="M10" s="49" t="inlineStr">
        <is>
          <t>Forecasting/estimation</t>
        </is>
      </c>
      <c r="N10" s="49" t="inlineStr">
        <is>
          <t>4 Prescriptive-advisory</t>
        </is>
      </c>
      <c r="O10" s="49" t="inlineStr">
        <is>
          <t>Not discussed</t>
        </is>
      </c>
      <c r="P10" s="49" t="inlineStr">
        <is>
          <t>Interpret outputs</t>
        </is>
      </c>
      <c r="Q10" s="49" t="inlineStr">
        <is>
          <t>N</t>
        </is>
      </c>
      <c r="R10" s="49" t="inlineStr">
        <is>
          <t>Gradient-boosting demand/ETA forecasts (LightGBM, CatBoost, SHAP) feed OR-Tools VRP-TW routing and CP-SAT locker siting; a SimPy 'Level-1' digital twin only stress-tests these policies. Pooled fleets cut routing cost 65% and lift on-time delivery from 37% to 100%; 25 lockers cut CO2 to 0.06 kg/parcel; SLA holds under Ramadan/weather stress.</t>
        </is>
      </c>
    </row>
    <row r="11">
      <c r="A11" s="49" t="inlineStr">
        <is>
          <t>R0057</t>
        </is>
      </c>
      <c r="B11" s="49" t="inlineStr">
        <is>
          <t>Sahu D.P.; Rathore B.; Iqbal R.S.; Jiang W.; Prakash S.; Singh V.K.</t>
        </is>
      </c>
      <c r="C11" s="49" t="n">
        <v>2026</v>
      </c>
      <c r="D11" s="49" t="inlineStr">
        <is>
          <t>A Hybrid Genetic Algorithm and Multi-Agent Reinforcement Learning Framework for Optimized Supply Chain Management Using Edge-Enabled Digital Twins</t>
        </is>
      </c>
      <c r="E11" s="49" t="inlineStr">
        <is>
          <t>IEEE Open Journal of the Communications Society</t>
        </is>
      </c>
      <c r="F11" s="49" t="inlineStr">
        <is>
          <t>10.1109/ojcoms.2026.3714979</t>
        </is>
      </c>
      <c r="G11" s="49" t="inlineStr"/>
      <c r="H11" s="49" t="inlineStr">
        <is>
          <t>Simulation/synthetic</t>
        </is>
      </c>
      <c r="I11" s="49" t="inlineStr">
        <is>
          <t>Generic/cross-sector (multi-echelon network of warehouses, distribution centres and retailers; no industry specified)</t>
        </is>
      </c>
      <c r="J11" s="49" t="inlineStr">
        <is>
          <t>Plan/Source/Deliver</t>
        </is>
      </c>
      <c r="K11" s="49" t="inlineStr">
        <is>
          <t>N</t>
        </is>
      </c>
      <c r="L11" s="49" t="inlineStr">
        <is>
          <t>Hybrid</t>
        </is>
      </c>
      <c r="M11" s="49" t="inlineStr">
        <is>
          <t>Optimisation</t>
        </is>
      </c>
      <c r="N11" s="49" t="inlineStr">
        <is>
          <t>5 Prescriptive-autonomous</t>
        </is>
      </c>
      <c r="O11" s="49" t="inlineStr">
        <is>
          <t>Not discussed</t>
        </is>
      </c>
      <c r="P11" s="49" t="inlineStr">
        <is>
          <t>Not discussed</t>
        </is>
      </c>
      <c r="Q11" s="49" t="inlineStr">
        <is>
          <t>N</t>
        </is>
      </c>
      <c r="R11" s="49" t="inlineStr">
        <is>
          <t>Hybrid GA (global inventory allocation, routing, supplier selection) plus Q-learning MARL agents (reorder, reroute, risk mitigation) in a closed loop with edge digital twins of warehouses, distribution centres and retailers; Python simulations on synthetic plus public data beat GA, MARL, ACO, PSO (fill rate 96.5%, turnover 5.78, stockouts 4.3%).</t>
        </is>
      </c>
    </row>
    <row r="12">
      <c r="A12" s="49" t="inlineStr">
        <is>
          <t>R0077</t>
        </is>
      </c>
      <c r="B12" s="49" t="inlineStr">
        <is>
          <t>Dogančić B.; Rožić J.; Jokić M.; Čeredar M.</t>
        </is>
      </c>
      <c r="C12" s="49" t="n">
        <v>2026</v>
      </c>
      <c r="D12" s="49" t="inlineStr">
        <is>
          <t>Decentralised Manufacturing as a Networked Cyber–Physical System: Formalising Free and Open-Source Software Governance and ML Adaptation for Distributed Robustness</t>
        </is>
      </c>
      <c r="E12" s="49" t="inlineStr">
        <is>
          <t>Systems</t>
        </is>
      </c>
      <c r="F12" s="49" t="inlineStr">
        <is>
          <t>10.3390/systems14050469</t>
        </is>
      </c>
      <c r="G12" s="49" t="inlineStr">
        <is>
          <t>Make</t>
        </is>
      </c>
      <c r="H12" s="49" t="inlineStr">
        <is>
          <t>Conceptual</t>
        </is>
      </c>
      <c r="I12" s="49" t="inlineStr">
        <is>
          <t>Manufacturing/digital fabrication (3D printing, CNC, laser)</t>
        </is>
      </c>
      <c r="J12" s="49" t="inlineStr">
        <is>
          <t>Make</t>
        </is>
      </c>
      <c r="K12" s="49" t="inlineStr">
        <is>
          <t>N</t>
        </is>
      </c>
      <c r="L12" s="49" t="inlineStr">
        <is>
          <t>Hybrid</t>
        </is>
      </c>
      <c r="M12" s="49" t="inlineStr">
        <is>
          <t>Control</t>
        </is>
      </c>
      <c r="N12" s="49" t="inlineStr">
        <is>
          <t>5 Prescriptive-autonomous</t>
        </is>
      </c>
      <c r="O12" s="49" t="inlineStr">
        <is>
          <t>Reduced</t>
        </is>
      </c>
      <c r="P12" s="49" t="inlineStr">
        <is>
          <t>Approve/override</t>
        </is>
      </c>
      <c r="Q12" s="49" t="inlineStr">
        <is>
          <t>Y</t>
        </is>
      </c>
      <c r="R12" s="49" t="inlineStr">
        <is>
          <t>Analytical framework: each fabrication node's Cognitive Gateway hosts a digital-twin nominal model whose twin gap trains a GP/neural-network disturbance estimator that automatically corrects control inputs; federated learning propagates corrections. FOSS governance provides redundancy, substitutability and informational persistence, absorbing supply chain (vendor lock-in), regulatory and process disturbances without central control.</t>
        </is>
      </c>
    </row>
    <row r="13">
      <c r="A13" s="49" t="inlineStr">
        <is>
          <t>R0078</t>
        </is>
      </c>
      <c r="B13" s="49" t="inlineStr">
        <is>
          <t>Zhang W.; Yu C.; Newman S.T.; Cheung Ho Kin D.; Zhong R.Y.</t>
        </is>
      </c>
      <c r="C13" s="49" t="n">
        <v>2026</v>
      </c>
      <c r="D13" s="49" t="inlineStr">
        <is>
          <t>A machine learning approach for forecasting resilient material delivery in the construction industry</t>
        </is>
      </c>
      <c r="E13" s="49" t="inlineStr">
        <is>
          <t>International Journal of Production Research</t>
        </is>
      </c>
      <c r="F13" s="49" t="inlineStr">
        <is>
          <t>10.1080/00207543.2025.2482733</t>
        </is>
      </c>
      <c r="G13" s="49" t="inlineStr"/>
      <c r="H13" s="49" t="inlineStr">
        <is>
          <t>Empirical data</t>
        </is>
      </c>
      <c r="I13" s="49" t="inlineStr">
        <is>
          <t>Construction</t>
        </is>
      </c>
      <c r="J13" s="49" t="inlineStr">
        <is>
          <t>Plan/Source/Deliver</t>
        </is>
      </c>
      <c r="K13" s="49" t="inlineStr">
        <is>
          <t>N</t>
        </is>
      </c>
      <c r="L13" s="49" t="inlineStr">
        <is>
          <t>Classical ML</t>
        </is>
      </c>
      <c r="M13" s="49" t="inlineStr">
        <is>
          <t>Forecasting/estimation</t>
        </is>
      </c>
      <c r="N13" s="49" t="inlineStr">
        <is>
          <t>3 Predictive</t>
        </is>
      </c>
      <c r="O13" s="49" t="inlineStr">
        <is>
          <t>Maintained</t>
        </is>
      </c>
      <c r="P13" s="49" t="inlineStr">
        <is>
          <t>Interpret outputs</t>
        </is>
      </c>
      <c r="Q13" s="49" t="inlineStr">
        <is>
          <t>Y</t>
        </is>
      </c>
      <c r="R13" s="49" t="inlineStr">
        <is>
          <t>A digital supply chain twin with a Kanban and AI layer running an improved HMM (M3HMM) forecasts construction material/machine delivery delays; on seven real projects M3HMM reached ~90% accuracy, beating LR, SVR, GMM, LSTM and HMM, with alerts ~5 days ahead for contractors' decisions.</t>
        </is>
      </c>
    </row>
    <row r="14">
      <c r="A14" s="49" t="inlineStr">
        <is>
          <t>R0080</t>
        </is>
      </c>
      <c r="B14" s="49" t="inlineStr">
        <is>
          <t>Genetti S.; Scarton G.; Formentini M.; Iacca G.</t>
        </is>
      </c>
      <c r="C14" s="49" t="n">
        <v>2026</v>
      </c>
      <c r="D14" s="49" t="inlineStr">
        <is>
          <t>An intelligent Digital Twin based on machine learning for interpretable decision-making in manufacturing</t>
        </is>
      </c>
      <c r="E14" s="49" t="inlineStr">
        <is>
          <t>International Journal of Production Economics</t>
        </is>
      </c>
      <c r="F14" s="49" t="inlineStr">
        <is>
          <t>10.1016/j.ijpe.2025.109841</t>
        </is>
      </c>
      <c r="G14" s="49" t="inlineStr">
        <is>
          <t>Make</t>
        </is>
      </c>
      <c r="H14" s="49" t="inlineStr">
        <is>
          <t>Empirical case</t>
        </is>
      </c>
      <c r="I14" s="49" t="inlineStr">
        <is>
          <t>Machine tool manufacturing (CNC laser-cutting and tube-processing machines, Adige Spa / BLM Group, Italy; more than half of components outsourced)</t>
        </is>
      </c>
      <c r="J14" s="49" t="inlineStr">
        <is>
          <t>Plan/Source/Make/Deliver</t>
        </is>
      </c>
      <c r="K14" s="49" t="inlineStr">
        <is>
          <t>N</t>
        </is>
      </c>
      <c r="L14" s="49" t="inlineStr">
        <is>
          <t>Hybrid</t>
        </is>
      </c>
      <c r="M14" s="49" t="inlineStr">
        <is>
          <t>Optimisation</t>
        </is>
      </c>
      <c r="N14" s="49" t="inlineStr">
        <is>
          <t>4 Prescriptive-advisory</t>
        </is>
      </c>
      <c r="O14" s="49" t="inlineStr">
        <is>
          <t>Elevated</t>
        </is>
      </c>
      <c r="P14" s="49" t="inlineStr">
        <is>
          <t>Approve/override</t>
        </is>
      </c>
      <c r="Q14" s="49" t="inlineStr">
        <is>
          <t>Y</t>
        </is>
      </c>
      <c r="R14" s="49" t="inlineStr">
        <is>
          <t>Action research at Adige Spa: an AnyLogic supply-chain twin drives evolutionary-RL learning of interpretable decision-tree scheduling policies, explained by four LLMs; expert votes steer the search, speeding convergence up to 21% and lowering makespan in 3/5 datasets, while interpretability proved decisive for stakeholder acceptance.</t>
        </is>
      </c>
    </row>
    <row r="15">
      <c r="A15" s="49" t="inlineStr">
        <is>
          <t>R0084</t>
        </is>
      </c>
      <c r="B15" s="49" t="inlineStr">
        <is>
          <t>Ivanov D.</t>
        </is>
      </c>
      <c r="C15" s="49" t="n">
        <v>2026</v>
      </c>
      <c r="D15" s="49" t="inlineStr">
        <is>
          <t>Agentic digital twins: bridging model-based and AI-driven decision-making support for a new era of supply chain and operations management</t>
        </is>
      </c>
      <c r="E15" s="49" t="inlineStr">
        <is>
          <t>International Journal of Production Research</t>
        </is>
      </c>
      <c r="F15" s="49" t="inlineStr">
        <is>
          <t>10.1080/00207543.2026.2630277</t>
        </is>
      </c>
      <c r="G15" s="49" t="inlineStr"/>
      <c r="H15" s="49" t="inlineStr">
        <is>
          <t>Conceptual</t>
        </is>
      </c>
      <c r="I15" s="49" t="inlineStr">
        <is>
          <t>Generic/cross-sector (illustrations: Automotive - Ford deep-tier network; Cloud/IT - Microsoft cloud supply chain)</t>
        </is>
      </c>
      <c r="J15" s="49" t="inlineStr">
        <is>
          <t>Plan/Source/Make/Deliver</t>
        </is>
      </c>
      <c r="K15" s="49" t="inlineStr">
        <is>
          <t>Y</t>
        </is>
      </c>
      <c r="L15" s="49" t="inlineStr">
        <is>
          <t>LLM/agent</t>
        </is>
      </c>
      <c r="M15" s="49" t="inlineStr">
        <is>
          <t>Decision support</t>
        </is>
      </c>
      <c r="N15" s="49" t="inlineStr">
        <is>
          <t>4 Prescriptive-advisory</t>
        </is>
      </c>
      <c r="O15" s="49" t="inlineStr">
        <is>
          <t>Elevated</t>
        </is>
      </c>
      <c r="P15" s="49" t="inlineStr">
        <is>
          <t>Set objectives/constraints; Approve/override; Interpret outputs; Handle exceptions</t>
        </is>
      </c>
      <c r="Q15" s="49" t="inlineStr">
        <is>
          <t>Y</t>
        </is>
      </c>
      <c r="R15" s="49" t="inlineStr">
        <is>
          <t>Theorises the A-SCDT (agentic AI + digital twin + model-based optimisation/simulation) via the ICARUS framework: an architecture of data-concierge, co-pilot, LLM role, risk and operational agents around a central human planner; humans lead and validate, AI informs and automates flows, humans monitor anomalies.</t>
        </is>
      </c>
    </row>
    <row r="16">
      <c r="A16" s="49" t="inlineStr">
        <is>
          <t>R0094</t>
        </is>
      </c>
      <c r="B16" s="49" t="inlineStr">
        <is>
          <t>Ozturk, C; O'Sullivan, B</t>
        </is>
      </c>
      <c r="C16" s="49" t="n">
        <v>2026</v>
      </c>
      <c r="D16" s="49" t="inlineStr">
        <is>
          <t>An Adaptive Supply Chain Stress Testing Framework with Deep Learning</t>
        </is>
      </c>
      <c r="E16" s="49" t="inlineStr">
        <is>
          <t>TRANSPORT TRANSITIONS: ADVANCING SUSTAINABLE AND INCLUSIVE MOBILITY, TRA CONFERENCE 2024, VOL 5</t>
        </is>
      </c>
      <c r="F16" s="49" t="inlineStr">
        <is>
          <t>10.1007/978-3-032-04774-8_75</t>
        </is>
      </c>
      <c r="G16" s="49" t="inlineStr"/>
      <c r="H16" s="49" t="inlineStr">
        <is>
          <t>Conceptual</t>
        </is>
      </c>
      <c r="I16" s="49" t="inlineStr">
        <is>
          <t>Generic/cross-sector (multi-tier supply chain networks of public and private organisations; requirements from interviews, mainly manufacturing)</t>
        </is>
      </c>
      <c r="J16" s="49" t="inlineStr">
        <is>
          <t>Plan/Source/Make/Deliver</t>
        </is>
      </c>
      <c r="K16" s="49" t="inlineStr">
        <is>
          <t>Y</t>
        </is>
      </c>
      <c r="L16" s="49" t="inlineStr">
        <is>
          <t>Other deep learning</t>
        </is>
      </c>
      <c r="M16" s="49" t="inlineStr">
        <is>
          <t>Simulation surrogate</t>
        </is>
      </c>
      <c r="N16" s="49" t="inlineStr">
        <is>
          <t>4 Prescriptive-advisory</t>
        </is>
      </c>
      <c r="O16" s="49" t="inlineStr">
        <is>
          <t>Not discussed</t>
        </is>
      </c>
      <c r="P16" s="49" t="inlineStr">
        <is>
          <t>Interpret outputs</t>
        </is>
      </c>
      <c r="Q16" s="49" t="inlineStr">
        <is>
          <t>N</t>
        </is>
      </c>
      <c r="R16" s="49" t="inlineStr">
        <is>
          <t>Conceptual proposal (no implementation or results): a supply-chain digital twin combining a BOM/geospatial graph model, ML disruption prediction, an optimisation decision model and discrete-event simulation with a feedback loop; an ANN metamodel trained on the decision-simulation pair serves as surrogate so practitioners can stress-test without modeling tools.</t>
        </is>
      </c>
    </row>
    <row r="17">
      <c r="A17" s="49" t="inlineStr">
        <is>
          <t>R0097</t>
        </is>
      </c>
      <c r="B17" s="49" t="inlineStr">
        <is>
          <t>Keshvarinia M.; MacKenzie C.A.; Zhao Z.</t>
        </is>
      </c>
      <c r="C17" s="49" t="n">
        <v>2025</v>
      </c>
      <c r="D17" s="49" t="inlineStr">
        <is>
          <t>A simulation-based digital twin model for data-driven decision optimization</t>
        </is>
      </c>
      <c r="E17" s="49" t="inlineStr">
        <is>
          <t>Decision Analytics Journal</t>
        </is>
      </c>
      <c r="F17" s="49" t="inlineStr">
        <is>
          <t>10.1016/j.dajour.2025.100646</t>
        </is>
      </c>
      <c r="G17" s="49" t="inlineStr">
        <is>
          <t>Make</t>
        </is>
      </c>
      <c r="H17" s="49" t="inlineStr">
        <is>
          <t>Simulation/synthetic</t>
        </is>
      </c>
      <c r="I17" s="49" t="inlineStr">
        <is>
          <t>Manufacturing (generic, hypothetical job shop)</t>
        </is>
      </c>
      <c r="J17" s="49" t="inlineStr">
        <is>
          <t>Plan/Source/Make</t>
        </is>
      </c>
      <c r="K17" s="49" t="inlineStr">
        <is>
          <t>N</t>
        </is>
      </c>
      <c r="L17" s="49" t="inlineStr">
        <is>
          <t>Classical ML</t>
        </is>
      </c>
      <c r="M17" s="49" t="inlineStr">
        <is>
          <t>Simulation surrogate</t>
        </is>
      </c>
      <c r="N17" s="49" t="inlineStr">
        <is>
          <t>4 Prescriptive-advisory</t>
        </is>
      </c>
      <c r="O17" s="49" t="inlineStr">
        <is>
          <t>Maintained</t>
        </is>
      </c>
      <c r="P17" s="49" t="inlineStr">
        <is>
          <t>Approve/override</t>
        </is>
      </c>
      <c r="Q17" s="49" t="inlineStr">
        <is>
          <t>Y</t>
        </is>
      </c>
      <c r="R17" s="49" t="inlineStr">
        <is>
          <t>Simulated DT (Simio DES: five-station plant, five suppliers, (Q,r) inventory, condition-based maintenance) with six ML regressors as surrogates predicting profit of 5,880 mitigation combinations; static recommendations recover 72%/50% of lost profit (32/48-day delays), and real-time state updates at supply arrival change the optimal mix (forklift, reorder quantity, overtime).</t>
        </is>
      </c>
    </row>
    <row r="18">
      <c r="A18" s="49" t="inlineStr">
        <is>
          <t>R0113</t>
        </is>
      </c>
      <c r="B18" s="49" t="inlineStr">
        <is>
          <t>Fatorachian H.; Kazemi H.; Pawar K.</t>
        </is>
      </c>
      <c r="C18" s="49" t="n">
        <v>2025</v>
      </c>
      <c r="D18" s="49" t="inlineStr">
        <is>
          <t>Enhancing Smart City Logistics Through IoT-Enabled Predictive Analytics: A Digital Twin and Cybernetic Feedback Approach</t>
        </is>
      </c>
      <c r="E18" s="49" t="inlineStr">
        <is>
          <t>Smart Cities</t>
        </is>
      </c>
      <c r="F18" s="49" t="inlineStr">
        <is>
          <t>10.3390/smartcities8020056</t>
        </is>
      </c>
      <c r="G18" s="49" t="inlineStr"/>
      <c r="H18" s="49" t="inlineStr">
        <is>
          <t>Empirical data</t>
        </is>
      </c>
      <c r="I18" s="49" t="inlineStr">
        <is>
          <t>Urban logistics / last-mile delivery</t>
        </is>
      </c>
      <c r="J18" s="49" t="inlineStr">
        <is>
          <t>Plan/Deliver</t>
        </is>
      </c>
      <c r="K18" s="49" t="inlineStr">
        <is>
          <t>N</t>
        </is>
      </c>
      <c r="L18" s="49" t="inlineStr">
        <is>
          <t>Hybrid</t>
        </is>
      </c>
      <c r="M18" s="49" t="inlineStr">
        <is>
          <t>Forecasting/estimation</t>
        </is>
      </c>
      <c r="N18" s="49" t="inlineStr">
        <is>
          <t>5 Prescriptive-autonomous</t>
        </is>
      </c>
      <c r="O18" s="49" t="inlineStr">
        <is>
          <t>Reduced</t>
        </is>
      </c>
      <c r="P18" s="49" t="inlineStr">
        <is>
          <t>Set objectives/constraints</t>
        </is>
      </c>
      <c r="Q18" s="49" t="inlineStr">
        <is>
          <t>Y</t>
        </is>
      </c>
      <c r="R18" s="49" t="inlineStr">
        <is>
          <t>Framework combining IoT data, XGBoost/MLP predictors, a digital twin and a cybernetic feedback loop for last-mile delivery; on real data from a UK logistics firm, delivery-quality prediction accuracy rose from 76.3% (AUC 0.45) to 85.0% with the feedback loop; operational decisions are autonomous, humans set objectives.</t>
        </is>
      </c>
    </row>
    <row r="19">
      <c r="A19" s="49" t="inlineStr">
        <is>
          <t>R0116</t>
        </is>
      </c>
      <c r="B19" s="49" t="inlineStr">
        <is>
          <t>Fedorin D.V.; Nastenko S.K.; Polyanichenko D.S.; Sukhanov A.V.; Grishaev S.Y.; Butakova M.A.</t>
        </is>
      </c>
      <c r="C19" s="49" t="n">
        <v>2025</v>
      </c>
      <c r="D19" s="49" t="inlineStr">
        <is>
          <t>Method for Rrecognizing and Generating Three-Dimensional Objects to Create Digital Twins</t>
        </is>
      </c>
      <c r="E19" s="49" t="inlineStr">
        <is>
          <t>International Journal of Fuzzy Logic and Intelligent Systems</t>
        </is>
      </c>
      <c r="F19" s="49" t="inlineStr">
        <is>
          <t>10.5391/ijfis.2025.25.1.97</t>
        </is>
      </c>
      <c r="G19" s="49" t="inlineStr"/>
      <c r="H19" s="49" t="inlineStr">
        <is>
          <t>Empirical data</t>
        </is>
      </c>
      <c r="I19" s="49" t="inlineStr">
        <is>
          <t>Maritime/port</t>
        </is>
      </c>
      <c r="J19" s="49" t="inlineStr">
        <is>
          <t>Deliver</t>
        </is>
      </c>
      <c r="K19" s="49" t="inlineStr">
        <is>
          <t>N</t>
        </is>
      </c>
      <c r="L19" s="49" t="inlineStr">
        <is>
          <t>Other deep learning</t>
        </is>
      </c>
      <c r="M19" s="49" t="inlineStr">
        <is>
          <t>Other</t>
        </is>
      </c>
      <c r="N19" s="49" t="inlineStr">
        <is>
          <t>1 Descriptive</t>
        </is>
      </c>
      <c r="O19" s="49" t="inlineStr">
        <is>
          <t>Reduced</t>
        </is>
      </c>
      <c r="P19" s="49" t="inlineStr">
        <is>
          <t>Approve/override</t>
        </is>
      </c>
      <c r="Q19" s="49" t="inlineStr">
        <is>
          <t>Y</t>
        </is>
      </c>
      <c r="R19" s="49" t="inlineStr">
        <is>
          <t>A GIS-integrated editor with two U-Nets and a YOLOv8-obb detector reconstructs port container-yard topology from satellite images (mAP@0.5 0.95, mean contour deviation -0.153) and exports it to a digital twin's 3D scene; an expert test halved reconstruction labour (20 h to 10 h), with users still correcting contours.</t>
        </is>
      </c>
    </row>
    <row r="20">
      <c r="A20" s="49" t="inlineStr">
        <is>
          <t>R0118</t>
        </is>
      </c>
      <c r="B20" s="49" t="inlineStr">
        <is>
          <t>Bhoite T.D.; Buktar R.B.; Mahalle P.N.; Khond M.P.; Pise G.S.; More Y.</t>
        </is>
      </c>
      <c r="C20" s="49" t="n">
        <v>2025</v>
      </c>
      <c r="D20" s="49" t="inlineStr">
        <is>
          <t>Productivity Enhancement in the Indian Auto Component Manufacturing Supply Chain Through IoT, Digital Twins with Generative AI, and Stacked Encoder-Enhanced Neural Networks</t>
        </is>
      </c>
      <c r="E20" s="49" t="inlineStr">
        <is>
          <t>Operations Research Forum</t>
        </is>
      </c>
      <c r="F20" s="49" t="inlineStr">
        <is>
          <t>10.1007/s43069-025-00522-0</t>
        </is>
      </c>
      <c r="G20" s="49" t="inlineStr">
        <is>
          <t>Make</t>
        </is>
      </c>
      <c r="H20" s="49" t="inlineStr">
        <is>
          <t>Simulation/synthetic</t>
        </is>
      </c>
      <c r="I20" s="49" t="inlineStr">
        <is>
          <t>Automotive</t>
        </is>
      </c>
      <c r="J20" s="49" t="inlineStr">
        <is>
          <t>Make</t>
        </is>
      </c>
      <c r="K20" s="49" t="inlineStr">
        <is>
          <t>N</t>
        </is>
      </c>
      <c r="L20" s="49" t="inlineStr">
        <is>
          <t>Hybrid</t>
        </is>
      </c>
      <c r="M20" s="49" t="inlineStr">
        <is>
          <t>Anomaly detection</t>
        </is>
      </c>
      <c r="N20" s="49" t="inlineStr">
        <is>
          <t>4 Prescriptive-advisory</t>
        </is>
      </c>
      <c r="O20" s="49" t="inlineStr">
        <is>
          <t>Reduced</t>
        </is>
      </c>
      <c r="P20" s="49" t="inlineStr">
        <is>
          <t>Interpret outputs</t>
        </is>
      </c>
      <c r="Q20" s="49" t="inlineStr">
        <is>
          <t>N</t>
        </is>
      </c>
      <c r="R20" s="49" t="inlineStr">
        <is>
          <t>Layered IoT-digital twin-generative AI architecture with a hybrid BN-SE-PO model (Bayesian network, stacked encoder, Puma optimizer) for anomaly detection and decision suggestions; a claimed digital-twin simulation of a CNC machining cell reports OEE 65-&gt;82%, cycle time -25%, defects -50%, but the twin, data and validation are undocumented.</t>
        </is>
      </c>
    </row>
    <row r="21">
      <c r="A21" s="49" t="inlineStr">
        <is>
          <t>R0119</t>
        </is>
      </c>
      <c r="B21" s="49" t="inlineStr">
        <is>
          <t>Zou Y.; Wu J.; Meng X.; Wang X.; Manzardo A.</t>
        </is>
      </c>
      <c r="C21" s="49" t="n">
        <v>2025</v>
      </c>
      <c r="D21" s="49" t="inlineStr">
        <is>
          <t>Digital twin integration for dynamic quality loss control in fruit supply chains</t>
        </is>
      </c>
      <c r="E21" s="49" t="inlineStr">
        <is>
          <t>Journal of Food Engineering</t>
        </is>
      </c>
      <c r="F21" s="49" t="inlineStr">
        <is>
          <t>10.1016/j.jfoodeng.2025.112577</t>
        </is>
      </c>
      <c r="G21" s="49" t="inlineStr"/>
      <c r="H21" s="49" t="inlineStr">
        <is>
          <t>Empirical data</t>
        </is>
      </c>
      <c r="I21" s="49" t="inlineStr">
        <is>
          <t>Food/cold chain</t>
        </is>
      </c>
      <c r="J21" s="49" t="inlineStr">
        <is>
          <t>Deliver</t>
        </is>
      </c>
      <c r="K21" s="49" t="inlineStr">
        <is>
          <t>N</t>
        </is>
      </c>
      <c r="L21" s="49" t="inlineStr">
        <is>
          <t>RNN/LSTM/GRU</t>
        </is>
      </c>
      <c r="M21" s="49" t="inlineStr">
        <is>
          <t>Forecasting/estimation</t>
        </is>
      </c>
      <c r="N21" s="49" t="inlineStr">
        <is>
          <t>3 Predictive</t>
        </is>
      </c>
      <c r="O21" s="49" t="inlineStr">
        <is>
          <t>Not discussed</t>
        </is>
      </c>
      <c r="P21" s="49" t="inlineStr">
        <is>
          <t>Interpret outputs</t>
        </is>
      </c>
      <c r="Q21" s="49" t="inlineStr">
        <is>
          <t>N</t>
        </is>
      </c>
      <c r="R21" s="49" t="inlineStr">
        <is>
          <t>A BiLSTM-attention model inside a five-dimensional cold-chain digital twin, using one pallet-level sensor, predicts in-box fruit temperature within ±0.3 °C (about 60% error reduction vs ambient-only), giving shelf-life errors under ±1.2 days and simulated food-loss reductions of 8.6-15.5%; box-level twins are the most precise unit.</t>
        </is>
      </c>
    </row>
    <row r="22">
      <c r="A22" s="49" t="inlineStr">
        <is>
          <t>R0129</t>
        </is>
      </c>
      <c r="B22" s="49" t="inlineStr">
        <is>
          <t>Badakhshan E.; Ivanov D.</t>
        </is>
      </c>
      <c r="C22" s="49" t="n">
        <v>2025</v>
      </c>
      <c r="D22" s="49" t="inlineStr">
        <is>
          <t>Integrating digital twin and blockchain for responsive working capital management in supply chains facing financial disruptions</t>
        </is>
      </c>
      <c r="E22" s="49" t="inlineStr">
        <is>
          <t>International Journal of Production Research</t>
        </is>
      </c>
      <c r="F22" s="49" t="inlineStr">
        <is>
          <t>10.1080/00207543.2025.2507112</t>
        </is>
      </c>
      <c r="G22" s="49" t="inlineStr"/>
      <c r="H22" s="49" t="inlineStr">
        <is>
          <t>Simulation/synthetic</t>
        </is>
      </c>
      <c r="I22" s="49" t="inlineStr">
        <is>
          <t>Generic/cross-sector</t>
        </is>
      </c>
      <c r="J22" s="49" t="inlineStr">
        <is>
          <t>Plan/Source/Make/Deliver</t>
        </is>
      </c>
      <c r="K22" s="49" t="inlineStr">
        <is>
          <t>Y</t>
        </is>
      </c>
      <c r="L22" s="49" t="inlineStr">
        <is>
          <t>Classical ML</t>
        </is>
      </c>
      <c r="M22" s="49" t="inlineStr">
        <is>
          <t>Decision support</t>
        </is>
      </c>
      <c r="N22" s="49" t="inlineStr">
        <is>
          <t>4 Prescriptive-advisory</t>
        </is>
      </c>
      <c r="O22" s="49" t="inlineStr">
        <is>
          <t>Maintained</t>
        </is>
      </c>
      <c r="P22" s="49" t="inlineStr">
        <is>
          <t>Interpret outputs</t>
        </is>
      </c>
      <c r="Q22" s="49" t="inlineStr">
        <is>
          <t>Y</t>
        </is>
      </c>
      <c r="R22" s="49" t="inlineStr">
        <is>
          <t>Blockchain data sharing alone reduces but does not eliminate the cash-flow bullwhip; adding the digital twin (DES + supervised ML generating inventory/credit decision rules) eliminates it and further raises inventory turnover, shortens cash conversion cycles and lowers costs for distributors and manufacturer, with service level unchanged.</t>
        </is>
      </c>
    </row>
    <row r="23">
      <c r="A23" s="49" t="inlineStr">
        <is>
          <t>R0137</t>
        </is>
      </c>
      <c r="B23" s="49" t="inlineStr">
        <is>
          <t>Ivanov D.</t>
        </is>
      </c>
      <c r="C23" s="49" t="n">
        <v>2025</v>
      </c>
      <c r="D23" s="49" t="inlineStr">
        <is>
          <t>From digital twins to supply chain ecosystems</t>
        </is>
      </c>
      <c r="E23" s="49" t="inlineStr">
        <is>
          <t>IFAC-PapersOnLine</t>
        </is>
      </c>
      <c r="F23" s="49" t="inlineStr">
        <is>
          <t>10.1016/j.ifacol.2025.09.014</t>
        </is>
      </c>
      <c r="G23" s="49" t="inlineStr"/>
      <c r="H23" s="49" t="inlineStr">
        <is>
          <t>Conceptual</t>
        </is>
      </c>
      <c r="I23" s="49" t="inlineStr">
        <is>
          <t>Generic/cross-sector (supply chain resilience, ripple effect and stress-testing; no industry case)</t>
        </is>
      </c>
      <c r="J23" s="49" t="inlineStr">
        <is>
          <t>Plan/Source/Make/Deliver</t>
        </is>
      </c>
      <c r="K23" s="49" t="inlineStr">
        <is>
          <t>Y</t>
        </is>
      </c>
      <c r="L23" s="49" t="inlineStr">
        <is>
          <t>LLM/agent</t>
        </is>
      </c>
      <c r="M23" s="49" t="inlineStr">
        <is>
          <t>Decision support</t>
        </is>
      </c>
      <c r="N23" s="49" t="inlineStr">
        <is>
          <t>4 Prescriptive-advisory</t>
        </is>
      </c>
      <c r="O23" s="49" t="inlineStr">
        <is>
          <t>Elevated</t>
        </is>
      </c>
      <c r="P23" s="49" t="inlineStr">
        <is>
          <t>Handle exceptions</t>
        </is>
      </c>
      <c r="Q23" s="49" t="inlineStr">
        <is>
          <t>Y</t>
        </is>
      </c>
      <c r="R23" s="49" t="inlineStr">
        <is>
          <t>Conceptual extension of the intelligent digital twin to a digital supply chain ecosystem: ontologies plus generative AI let the system build and adapt its simulation models and generate disruption scenarios for resilience stress-testing, within a human-AI collaboration where decision tasks are delegated back and forth (human-in-the-loop, not full automation).</t>
        </is>
      </c>
    </row>
    <row r="24">
      <c r="A24" s="49" t="inlineStr">
        <is>
          <t>R0152</t>
        </is>
      </c>
      <c r="B24" s="49" t="inlineStr">
        <is>
          <t>Mhiri M.; Mkacher H.; Al-Khatib M.; Kharbeche M.; AlNouss A.; Haouari M.</t>
        </is>
      </c>
      <c r="C24" s="49" t="n">
        <v>2025</v>
      </c>
      <c r="D24" s="49" t="inlineStr">
        <is>
          <t>Enhancing Liquefied Natural Gas supply chain robustness through digital twin-driven machine learning models: A special case of cryogenic heat exchanger</t>
        </is>
      </c>
      <c r="E24" s="49" t="inlineStr">
        <is>
          <t>Gas Science and Engineering</t>
        </is>
      </c>
      <c r="F24" s="49" t="inlineStr">
        <is>
          <t>10.1016/j.jgsce.2025.205714</t>
        </is>
      </c>
      <c r="G24" s="49" t="inlineStr">
        <is>
          <t>Make</t>
        </is>
      </c>
      <c r="H24" s="49" t="inlineStr">
        <is>
          <t>Simulation/synthetic</t>
        </is>
      </c>
      <c r="I24" s="49" t="inlineStr">
        <is>
          <t>Energy (LNG / oil &amp; gas)</t>
        </is>
      </c>
      <c r="J24" s="49" t="inlineStr">
        <is>
          <t>Make</t>
        </is>
      </c>
      <c r="K24" s="49" t="inlineStr">
        <is>
          <t>N</t>
        </is>
      </c>
      <c r="L24" s="49" t="inlineStr">
        <is>
          <t>Classical ML</t>
        </is>
      </c>
      <c r="M24" s="49" t="inlineStr">
        <is>
          <t>Forecasting/estimation</t>
        </is>
      </c>
      <c r="N24" s="49" t="inlineStr">
        <is>
          <t>5 Prescriptive-autonomous</t>
        </is>
      </c>
      <c r="O24" s="49" t="inlineStr">
        <is>
          <t>Not discussed</t>
        </is>
      </c>
      <c r="P24" s="49" t="inlineStr">
        <is>
          <t>None</t>
        </is>
      </c>
      <c r="Q24" s="49" t="inlineStr">
        <is>
          <t>Y</t>
        </is>
      </c>
      <c r="R24" s="49" t="inlineStr">
        <is>
          <t>Proof-of-concept twin (Aspen HYSYS model of a cryogenic heat exchanger + decision-tree surrogate + VAR forecaster) predicts the next operating state and autonomously restores it to the nearest safe state; on synthetic scenarios it detects 52-57% of failures early and cuts cumulative downtime about 30% versus corrective maintenance.</t>
        </is>
      </c>
    </row>
    <row r="25">
      <c r="A25" s="49" t="inlineStr">
        <is>
          <t>R0157</t>
        </is>
      </c>
      <c r="B25" s="49" t="inlineStr">
        <is>
          <t>Xiros V.; Gonzalez Castro J.M.; Fernandez-Pelaez F.; Magoutas B.; Christidis K.</t>
        </is>
      </c>
      <c r="C25" s="49" t="n">
        <v>2025</v>
      </c>
      <c r="D25" s="49" t="inlineStr">
        <is>
          <t>Supply Chain Data Analytics for Digital Twins: A Comprehensive Framework</t>
        </is>
      </c>
      <c r="E25" s="49" t="inlineStr">
        <is>
          <t>Applied Sciences (Switzerland)</t>
        </is>
      </c>
      <c r="F25" s="49" t="inlineStr">
        <is>
          <t>10.3390/app15126939</t>
        </is>
      </c>
      <c r="G25" s="49" t="inlineStr"/>
      <c r="H25" s="49" t="inlineStr">
        <is>
          <t>Empirical case</t>
        </is>
      </c>
      <c r="I25" s="49" t="inlineStr">
        <is>
          <t>Circular manufacturing (food processing; WEEE magnet recycling)</t>
        </is>
      </c>
      <c r="J25" s="49" t="inlineStr">
        <is>
          <t>Plan/Source/Make/Return</t>
        </is>
      </c>
      <c r="K25" s="49" t="inlineStr">
        <is>
          <t>N</t>
        </is>
      </c>
      <c r="L25" s="49" t="inlineStr">
        <is>
          <t>Classical ML</t>
        </is>
      </c>
      <c r="M25" s="49" t="inlineStr">
        <is>
          <t>Forecasting/estimation</t>
        </is>
      </c>
      <c r="N25" s="49" t="inlineStr">
        <is>
          <t>3 Predictive</t>
        </is>
      </c>
      <c r="O25" s="49" t="inlineStr">
        <is>
          <t>Maintained</t>
        </is>
      </c>
      <c r="P25" s="49" t="inlineStr">
        <is>
          <t>Interpret outputs</t>
        </is>
      </c>
      <c r="Q25" s="49" t="inlineStr">
        <is>
          <t>Y</t>
        </is>
      </c>
      <c r="R25" s="49" t="inlineStr">
        <is>
          <t>A containerized, data-space-compliant analytics service attached to existing factory digital twins adds ML anomaly detection, forecasting and trained regressors (magnet properties) in a juice plant and a three-actor WEEE magnet-recycling chain; outputs stay advisory: alerts and predictions feed engineers who simulate parameters and decide.</t>
        </is>
      </c>
    </row>
    <row r="26">
      <c r="A26" s="49" t="inlineStr">
        <is>
          <t>R0164</t>
        </is>
      </c>
      <c r="B26" s="49" t="inlineStr">
        <is>
          <t>Luo B.; Chen H.</t>
        </is>
      </c>
      <c r="C26" s="49" t="n">
        <v>2025</v>
      </c>
      <c r="D26" s="49" t="inlineStr">
        <is>
          <t>Design of a Geographic Path Model for Dongguan Export Based on Multi-Agent Reinforcement Learning and Supply Chain Simulation</t>
        </is>
      </c>
      <c r="E26" s="49" t="inlineStr">
        <is>
          <t>Proceedings of the 2025 5th International Conference on Internet of Things and Machine Learning, IoTML 2025</t>
        </is>
      </c>
      <c r="F26" s="49" t="inlineStr">
        <is>
          <t>10.1145/3749566.3749610</t>
        </is>
      </c>
      <c r="G26" s="49" t="inlineStr"/>
      <c r="H26" s="49" t="inlineStr">
        <is>
          <t>Simulation/synthetic</t>
        </is>
      </c>
      <c r="I26" s="49" t="inlineStr">
        <is>
          <t>Cross-border export logistics (Dongguan electronics/manufacturing cluster; ports, customs, multimodal freight)</t>
        </is>
      </c>
      <c r="J26" s="49" t="inlineStr">
        <is>
          <t>Plan/Deliver</t>
        </is>
      </c>
      <c r="K26" s="49" t="inlineStr">
        <is>
          <t>N</t>
        </is>
      </c>
      <c r="L26" s="49" t="inlineStr">
        <is>
          <t>Reinforcement learning</t>
        </is>
      </c>
      <c r="M26" s="49" t="inlineStr">
        <is>
          <t>Optimisation</t>
        </is>
      </c>
      <c r="N26" s="49" t="inlineStr">
        <is>
          <t>5 Prescriptive-autonomous</t>
        </is>
      </c>
      <c r="O26" s="49" t="inlineStr">
        <is>
          <t>Replaced</t>
        </is>
      </c>
      <c r="P26" s="49" t="inlineStr">
        <is>
          <t>Interpret outputs; Set objectives/constraints</t>
        </is>
      </c>
      <c r="Q26" s="49" t="inlineStr">
        <is>
          <t>Y</t>
        </is>
      </c>
      <c r="R26" s="49" t="inlineStr">
        <is>
          <t>MARL (Double Dueling DQN agents for manufacturers, logistics providers, ports, customs) trained in a digital-twin simulation of the Dongguan export corridor reportedly cuts cost/TEU 22% vs GA, raises deadline compliance to 94.2% and re-plans disruptions in 43 s; agents coordinate without centralised oversight. Reported figures are internally inconsistent.</t>
        </is>
      </c>
    </row>
    <row r="27">
      <c r="A27" s="49" t="inlineStr">
        <is>
          <t>R0173</t>
        </is>
      </c>
      <c r="B27" s="49" t="inlineStr">
        <is>
          <t>Paul S.</t>
        </is>
      </c>
      <c r="C27" s="49" t="n">
        <v>2025</v>
      </c>
      <c r="D27" s="49" t="inlineStr">
        <is>
          <t>Integration of Digital Twin and AI-enabled ERP Systems: A Conceptual Framework for Intelligent Electronics Manufacturing Services</t>
        </is>
      </c>
      <c r="E27" s="49" t="inlineStr">
        <is>
          <t>2025 6th International Conference on Communications, Information, Electronic and Energy Systems, CIEES 2025 - Conference Proceedings</t>
        </is>
      </c>
      <c r="F27" s="49" t="inlineStr">
        <is>
          <t>10.1109/ciees66347.2025.11300246</t>
        </is>
      </c>
      <c r="G27" s="49" t="inlineStr">
        <is>
          <t>Make</t>
        </is>
      </c>
      <c r="H27" s="49" t="inlineStr">
        <is>
          <t>Conceptual</t>
        </is>
      </c>
      <c r="I27" s="49" t="inlineStr">
        <is>
          <t>Electronics manufacturing services (EMS)</t>
        </is>
      </c>
      <c r="J27" s="49" t="inlineStr">
        <is>
          <t>Plan/Source/Make/Deliver</t>
        </is>
      </c>
      <c r="K27" s="49" t="inlineStr">
        <is>
          <t>N</t>
        </is>
      </c>
      <c r="L27" s="49" t="inlineStr">
        <is>
          <t>Hybrid</t>
        </is>
      </c>
      <c r="M27" s="49" t="inlineStr">
        <is>
          <t>Decision support</t>
        </is>
      </c>
      <c r="N27" s="49" t="inlineStr">
        <is>
          <t>5 Prescriptive-autonomous</t>
        </is>
      </c>
      <c r="O27" s="49" t="inlineStr">
        <is>
          <t>Maintained</t>
        </is>
      </c>
      <c r="P27" s="49" t="inlineStr">
        <is>
          <t>Interpret outputs</t>
        </is>
      </c>
      <c r="Q27" s="49" t="inlineStr">
        <is>
          <t>N</t>
        </is>
      </c>
      <c r="R27" s="49" t="inlineStr">
        <is>
          <t>Conceptual five-layer architecture (physical, digital twin, MES, ERP, AI-orchestration) in which the twin mirrors SMT/PCBA lines and feeds an AI layer that forecasts demand, reschedules production, optimises inventory and triggers work and purchase orders automatically; supplier, OEM and 3PL links run through ERP B2B messages.</t>
        </is>
      </c>
    </row>
    <row r="28">
      <c r="A28" s="49" t="inlineStr">
        <is>
          <t>R0174</t>
        </is>
      </c>
      <c r="B28" s="49" t="inlineStr">
        <is>
          <t>Manoharan G.; Gharat A.; Banu R.N.; Soni A.; Sudhakar K.; Dhanke J.A.</t>
        </is>
      </c>
      <c r="C28" s="49" t="n">
        <v>2025</v>
      </c>
      <c r="D28" s="49" t="inlineStr">
        <is>
          <t>Digital Twin-Enabled Supply Chain Management in Cloud-based Smart Enterprises</t>
        </is>
      </c>
      <c r="E28" s="49" t="inlineStr">
        <is>
          <t>Proceedings of the 6th International Conference on Smart Electronics and Communication, ICOSEC 2025</t>
        </is>
      </c>
      <c r="F28" s="49" t="inlineStr">
        <is>
          <t>10.1109/icosec67334.2025.11459761</t>
        </is>
      </c>
      <c r="G28" s="49" t="inlineStr"/>
      <c r="H28" s="49" t="inlineStr">
        <is>
          <t>Simulation/synthetic</t>
        </is>
      </c>
      <c r="I28" s="49" t="inlineStr">
        <is>
          <t>Generic/cross-sector</t>
        </is>
      </c>
      <c r="J28" s="49" t="inlineStr">
        <is>
          <t>Plan/Make/Deliver</t>
        </is>
      </c>
      <c r="K28" s="49" t="inlineStr">
        <is>
          <t>N</t>
        </is>
      </c>
      <c r="L28" s="49" t="inlineStr">
        <is>
          <t>Hybrid</t>
        </is>
      </c>
      <c r="M28" s="49" t="inlineStr">
        <is>
          <t>Control</t>
        </is>
      </c>
      <c r="N28" s="49" t="inlineStr">
        <is>
          <t>5 Prescriptive-autonomous</t>
        </is>
      </c>
      <c r="O28" s="49" t="inlineStr">
        <is>
          <t>Replaced</t>
        </is>
      </c>
      <c r="P28" s="49" t="inlineStr">
        <is>
          <t>None</t>
        </is>
      </c>
      <c r="Q28" s="49" t="inlineStr">
        <is>
          <t>N</t>
        </is>
      </c>
      <c r="R28" s="49" t="inlineStr">
        <is>
          <t>A designed DT-FL-MASChain framework pairs an asset-level digital twin with an autonomous agent at each node; federated averaging trains local predictive models (efficiency label, downtime) without sharing raw data, and agents plus smart contracts trigger maintenance, restocking and routing automatically, with no human approval step.</t>
        </is>
      </c>
    </row>
    <row r="29">
      <c r="A29" s="49" t="inlineStr">
        <is>
          <t>R0178</t>
        </is>
      </c>
      <c r="B29" s="49" t="inlineStr">
        <is>
          <t>Abdullahi I.; Larijani H.; Liarokapis D.; Paterson J.; Jones D.; Murray S.</t>
        </is>
      </c>
      <c r="C29" s="49" t="n">
        <v>2025</v>
      </c>
      <c r="D29" s="49" t="inlineStr">
        <is>
          <t>A Data-Intelligence-Driven Digital Twin Framework for Improving Sustainability in Logistics</t>
        </is>
      </c>
      <c r="E29" s="49" t="inlineStr">
        <is>
          <t>Applied Sciences (Switzerland)</t>
        </is>
      </c>
      <c r="F29" s="49" t="inlineStr">
        <is>
          <t>10.3390/app15020601</t>
        </is>
      </c>
      <c r="G29" s="49" t="inlineStr"/>
      <c r="H29" s="49" t="inlineStr">
        <is>
          <t>Empirical case</t>
        </is>
      </c>
      <c r="I29" s="49" t="inlineStr">
        <is>
          <t>Road freight transport / logistics services</t>
        </is>
      </c>
      <c r="J29" s="49" t="inlineStr">
        <is>
          <t>Plan/Deliver</t>
        </is>
      </c>
      <c r="K29" s="49" t="inlineStr">
        <is>
          <t>N</t>
        </is>
      </c>
      <c r="L29" s="49" t="inlineStr">
        <is>
          <t>Reinforcement learning</t>
        </is>
      </c>
      <c r="M29" s="49" t="inlineStr">
        <is>
          <t>Optimisation</t>
        </is>
      </c>
      <c r="N29" s="49" t="inlineStr">
        <is>
          <t>4 Prescriptive-advisory</t>
        </is>
      </c>
      <c r="O29" s="49" t="inlineStr">
        <is>
          <t>Maintained</t>
        </is>
      </c>
      <c r="P29" s="49" t="inlineStr">
        <is>
          <t>Approve/override</t>
        </is>
      </c>
      <c r="Q29" s="49" t="inlineStr">
        <is>
          <t>Y</t>
        </is>
      </c>
      <c r="R29" s="49" t="inlineStr">
        <is>
          <t>A distributed logistics DT (Azure Digital Twins + Databricks) streams fleet telematics and ERP orders into an RL job-assignment/routing model; planners accept or reject its recommendations and their responses act as RL reward. Preliminary what-if simulations on 2023 company data indicate a 20-30% carbon-footprint reduction from avoided empty runs.</t>
        </is>
      </c>
    </row>
    <row r="30">
      <c r="A30" s="49" t="inlineStr">
        <is>
          <t>R0194</t>
        </is>
      </c>
      <c r="B30" s="49" t="inlineStr">
        <is>
          <t>Ogunsoto O.V.; Olivares-Aguila J.; ElMaraghy W.</t>
        </is>
      </c>
      <c r="C30" s="49" t="n">
        <v>2025</v>
      </c>
      <c r="D30" s="49" t="inlineStr">
        <is>
          <t>A conceptual digital twin framework for supply chain recovery and resilience</t>
        </is>
      </c>
      <c r="E30" s="49" t="inlineStr">
        <is>
          <t>Supply Chain Analytics</t>
        </is>
      </c>
      <c r="F30" s="49" t="inlineStr">
        <is>
          <t>10.1016/j.sca.2024.100091</t>
        </is>
      </c>
      <c r="G30" s="49" t="inlineStr"/>
      <c r="H30" s="49" t="inlineStr">
        <is>
          <t>Simulation/synthetic</t>
        </is>
      </c>
      <c r="I30" s="49" t="inlineStr">
        <is>
          <t>Generic/cross-sector</t>
        </is>
      </c>
      <c r="J30" s="49" t="inlineStr">
        <is>
          <t>Plan/Source/Make/Deliver</t>
        </is>
      </c>
      <c r="K30" s="49" t="inlineStr">
        <is>
          <t>Y</t>
        </is>
      </c>
      <c r="L30" s="49" t="inlineStr">
        <is>
          <t>Hybrid</t>
        </is>
      </c>
      <c r="M30" s="49" t="inlineStr">
        <is>
          <t>Forecasting/estimation</t>
        </is>
      </c>
      <c r="N30" s="49" t="inlineStr">
        <is>
          <t>3 Predictive</t>
        </is>
      </c>
      <c r="O30" s="49" t="inlineStr">
        <is>
          <t>Maintained</t>
        </is>
      </c>
      <c r="P30" s="49" t="inlineStr">
        <is>
          <t>Interpret outputs</t>
        </is>
      </c>
      <c r="Q30" s="49" t="inlineStr">
        <is>
          <t>Y</t>
        </is>
      </c>
      <c r="R30" s="49" t="inlineStr">
        <is>
          <t>Three-phase conceptual DSCT: an LSTM on Kerala rainfall predicts floods (75% accuracy, 84% AUC-ROC); a FlexSim DES of a real four-echelon network quantifies service-level drops under 65%/35% capacity disruptions; an MLPNN trained on the simulation output yields a recovery indicator (epoch of MSE convergence) as decision support for planners.</t>
        </is>
      </c>
    </row>
    <row r="31">
      <c r="A31" s="49" t="inlineStr">
        <is>
          <t>R0201</t>
        </is>
      </c>
      <c r="B31" s="49" t="inlineStr">
        <is>
          <t>Pilutti Namer T.; Tornielli M.</t>
        </is>
      </c>
      <c r="C31" s="49" t="n">
        <v>2025</v>
      </c>
      <c r="D31" s="49" t="inlineStr">
        <is>
          <t>Fincantieri Shipyards Digital Twin Model</t>
        </is>
      </c>
      <c r="E31" s="49" t="inlineStr">
        <is>
          <t>Progress in Marine Science and Technology</t>
        </is>
      </c>
      <c r="F31" s="49" t="inlineStr">
        <is>
          <t>10.3233/pmst250135</t>
        </is>
      </c>
      <c r="G31" s="49" t="inlineStr">
        <is>
          <t>Make</t>
        </is>
      </c>
      <c r="H31" s="49" t="inlineStr">
        <is>
          <t>Empirical case</t>
        </is>
      </c>
      <c r="I31" s="49" t="inlineStr">
        <is>
          <t>Maritime/shipbuilding</t>
        </is>
      </c>
      <c r="J31" s="49" t="inlineStr">
        <is>
          <t>Plan/Source/Make</t>
        </is>
      </c>
      <c r="K31" s="49" t="inlineStr">
        <is>
          <t>N</t>
        </is>
      </c>
      <c r="L31" s="49" t="inlineStr">
        <is>
          <t>Hybrid</t>
        </is>
      </c>
      <c r="M31" s="49" t="inlineStr">
        <is>
          <t>Decision support</t>
        </is>
      </c>
      <c r="N31" s="49" t="inlineStr">
        <is>
          <t>4 Prescriptive-advisory</t>
        </is>
      </c>
      <c r="O31" s="49" t="inlineStr">
        <is>
          <t>Elevated</t>
        </is>
      </c>
      <c r="P31" s="49" t="inlineStr">
        <is>
          <t>Approve/override</t>
        </is>
      </c>
      <c r="Q31" s="49" t="inlineStr">
        <is>
          <t>Y</t>
        </is>
      </c>
      <c r="R31" s="49" t="inlineStr">
        <is>
          <t>Fincantieri's shipyard 'twin of twins' (data, visualisation, AI simulation) is being deployed across planning, production and logistics/supply chain, with AI algorithms for weld inspection, sheet placement, truck scheduling/reordering and GenAI operator agents; AI proposes, operators confirm, and change management/training are treated as decisive for adoption.</t>
        </is>
      </c>
    </row>
    <row r="32">
      <c r="A32" s="49" t="inlineStr">
        <is>
          <t>R0203</t>
        </is>
      </c>
      <c r="B32" s="49" t="inlineStr">
        <is>
          <t>Kochnev A.</t>
        </is>
      </c>
      <c r="C32" s="49" t="n">
        <v>2025</v>
      </c>
      <c r="D32" s="49" t="inlineStr">
        <is>
          <t>HOW AUTONOMOUS ROBOTS AND INDOOR MAPPING IMPROVE WAREHOUSE SAFETY</t>
        </is>
      </c>
      <c r="E32" s="49" t="inlineStr">
        <is>
          <t>International Multidisciplinary Scientific GeoConference Surveying Geology and Mining Ecology Management, SGEM</t>
        </is>
      </c>
      <c r="F32" s="49" t="inlineStr">
        <is>
          <t>10.5593/sgem2025/2.1/s10.25</t>
        </is>
      </c>
      <c r="G32" s="49" t="inlineStr"/>
      <c r="H32" s="49" t="inlineStr">
        <is>
          <t>Simulation/synthetic</t>
        </is>
      </c>
      <c r="I32" s="49" t="inlineStr">
        <is>
          <t>Warehousing (automotive components plant, Czech Republic)</t>
        </is>
      </c>
      <c r="J32" s="49" t="inlineStr">
        <is>
          <t>Source/Make/Deliver</t>
        </is>
      </c>
      <c r="K32" s="49" t="inlineStr">
        <is>
          <t>N</t>
        </is>
      </c>
      <c r="L32" s="49" t="inlineStr">
        <is>
          <t>Other</t>
        </is>
      </c>
      <c r="M32" s="49" t="inlineStr">
        <is>
          <t>Control</t>
        </is>
      </c>
      <c r="N32" s="49" t="inlineStr">
        <is>
          <t>4 Prescriptive-advisory</t>
        </is>
      </c>
      <c r="O32" s="49" t="inlineStr">
        <is>
          <t>Replaced</t>
        </is>
      </c>
      <c r="P32" s="49" t="inlineStr">
        <is>
          <t>Interpret outputs</t>
        </is>
      </c>
      <c r="Q32" s="49" t="inlineStr">
        <is>
          <t>Y</t>
        </is>
      </c>
      <c r="R32" s="49" t="inlineStr">
        <is>
          <t>A GIS/CAD digital twin of a 7000 m2 Czech automotive warehouse simulated replacing forklifts with three AMRs: risk scores fell ~40%, transport cycle time 28%, human-vehicle conflict zones 42%. All figures are simulated; AMRs are not deployed and the 'machine learning' is never specified.</t>
        </is>
      </c>
    </row>
    <row r="33">
      <c r="A33" s="49" t="inlineStr">
        <is>
          <t>R0221</t>
        </is>
      </c>
      <c r="B33" s="49" t="inlineStr">
        <is>
          <t>Nicoletti B.; Appolloni A.</t>
        </is>
      </c>
      <c r="C33" s="49" t="n">
        <v>2025</v>
      </c>
      <c r="D33" s="49" t="inlineStr">
        <is>
          <t>The Impact of AI Foundation models on the future of digital engineering for logistics and supply Chain</t>
        </is>
      </c>
      <c r="E33" s="49" t="inlineStr">
        <is>
          <t>Digital Engineering</t>
        </is>
      </c>
      <c r="F33" s="49" t="inlineStr">
        <is>
          <t>10.1016/j.dte.2025.100058</t>
        </is>
      </c>
      <c r="G33" s="49" t="inlineStr"/>
      <c r="H33" s="49" t="inlineStr">
        <is>
          <t>Empirical case</t>
        </is>
      </c>
      <c r="I33" s="49" t="inlineStr">
        <is>
          <t>Shipbuilding/maritime (case: leading global shipbuilding company); framework itself generic/cross-sector LSCM structured by SCOR</t>
        </is>
      </c>
      <c r="J33" s="49" t="inlineStr">
        <is>
          <t>Make</t>
        </is>
      </c>
      <c r="K33" s="49" t="inlineStr">
        <is>
          <t>N</t>
        </is>
      </c>
      <c r="L33" s="49" t="inlineStr">
        <is>
          <t>LLM/agent</t>
        </is>
      </c>
      <c r="M33" s="49" t="inlineStr">
        <is>
          <t>Decision support</t>
        </is>
      </c>
      <c r="N33" s="49" t="inlineStr">
        <is>
          <t>4 Prescriptive-advisory</t>
        </is>
      </c>
      <c r="O33" s="49" t="inlineStr">
        <is>
          <t>Elevated</t>
        </is>
      </c>
      <c r="P33" s="49" t="inlineStr">
        <is>
          <t>Interpret outputs</t>
        </is>
      </c>
      <c r="Q33" s="49" t="inlineStr">
        <is>
          <t>Y</t>
        </is>
      </c>
      <c r="R33" s="49" t="inlineStr">
        <is>
          <t>Proposes a CPPS (5C) functional/technical architecture where a fine-tuned LLM AI kernel with RAG, AI agents and a knowledge-based model drive per-machine digital twins for virtual testing and predictive maintenance; maps FM tools to all six SCOR processes; shipyard case (VFM drones, predictive maintenance, surrogate simulations) reports qualitative benefits only.</t>
        </is>
      </c>
    </row>
    <row r="34">
      <c r="A34" s="49" t="inlineStr">
        <is>
          <t>R0223</t>
        </is>
      </c>
      <c r="B34" s="49" t="inlineStr">
        <is>
          <t>Ziari M.; Taleizadeh A.A.</t>
        </is>
      </c>
      <c r="C34" s="49" t="n">
        <v>2025</v>
      </c>
      <c r="D34" s="49" t="inlineStr">
        <is>
          <t>Integrated data-driven and artificial intelligence framework to develop digital twins in distribution system of supply chains: A real industrial case</t>
        </is>
      </c>
      <c r="E34" s="49" t="inlineStr">
        <is>
          <t>International Journal of Production Economics</t>
        </is>
      </c>
      <c r="F34" s="49" t="inlineStr">
        <is>
          <t>10.1016/j.ijpe.2025.109743</t>
        </is>
      </c>
      <c r="G34" s="49" t="inlineStr"/>
      <c r="H34" s="49" t="inlineStr">
        <is>
          <t>Empirical case</t>
        </is>
      </c>
      <c r="I34" s="49" t="inlineStr">
        <is>
          <t>Packaging manufacturing / FMCG distribution (glass and plastic bottles)</t>
        </is>
      </c>
      <c r="J34" s="49" t="inlineStr">
        <is>
          <t>Plan/Source/Make/Deliver</t>
        </is>
      </c>
      <c r="K34" s="49" t="inlineStr">
        <is>
          <t>N</t>
        </is>
      </c>
      <c r="L34" s="49" t="inlineStr">
        <is>
          <t>Classical ML</t>
        </is>
      </c>
      <c r="M34" s="49" t="inlineStr">
        <is>
          <t>Forecasting/estimation</t>
        </is>
      </c>
      <c r="N34" s="49" t="inlineStr">
        <is>
          <t>4 Prescriptive-advisory</t>
        </is>
      </c>
      <c r="O34" s="49" t="inlineStr">
        <is>
          <t>Maintained</t>
        </is>
      </c>
      <c r="P34" s="49" t="inlineStr">
        <is>
          <t>Interpret outputs</t>
        </is>
      </c>
      <c r="Q34" s="49" t="inlineStr">
        <is>
          <t>Y</t>
        </is>
      </c>
      <c r="R34" s="49" t="inlineStr">
        <is>
          <t>A three-layer distribution-system twin (physical world, reported data, digital world) with an Elastic Net demand-forecasting core feeding a simulation-optimisation DSS integrated with ERP; in a glass/plastic bottle manufacturer it reports R2 0.86-0.87, MAE 9.2% of mean demand, 85-89% service levels and 22% better forecast accuracy.</t>
        </is>
      </c>
    </row>
    <row r="35">
      <c r="A35" s="49" t="inlineStr">
        <is>
          <t>R0237</t>
        </is>
      </c>
      <c r="B35" s="49" t="inlineStr">
        <is>
          <t>Monizza G.P.; Mozaffari M.; Fabbrizzi S.; Gamper J.; Lanz O.; Matt D.T.</t>
        </is>
      </c>
      <c r="C35" s="49" t="n">
        <v>2024</v>
      </c>
      <c r="D35" s="49" t="inlineStr">
        <is>
          <t>Defining a Cognitive Digital Twin architecture in food supply chains: the early outcomes of DSS4LCO initiative</t>
        </is>
      </c>
      <c r="E35" s="49" t="inlineStr">
        <is>
          <t>Proceedings of the International Food Operations and Processing Simulation Workshop, FOODOPS</t>
        </is>
      </c>
      <c r="F35" s="49" t="inlineStr">
        <is>
          <t>10.46354/i3m.2024.foodops.010</t>
        </is>
      </c>
      <c r="G35" s="49" t="inlineStr"/>
      <c r="H35" s="49" t="inlineStr">
        <is>
          <t>Conceptual</t>
        </is>
      </c>
      <c r="I35" s="49" t="inlineStr">
        <is>
          <t>Food/cold chain (food supply chains in general; prototype with local stakeholders only planned, no case yet)</t>
        </is>
      </c>
      <c r="J35" s="49" t="inlineStr">
        <is>
          <t>Plan/Source/Make/Deliver</t>
        </is>
      </c>
      <c r="K35" s="49" t="inlineStr">
        <is>
          <t>Y</t>
        </is>
      </c>
      <c r="L35" s="49" t="inlineStr">
        <is>
          <t>Hybrid</t>
        </is>
      </c>
      <c r="M35" s="49" t="inlineStr">
        <is>
          <t>Decision support; Optimisation</t>
        </is>
      </c>
      <c r="N35" s="49" t="inlineStr">
        <is>
          <t>5 Prescriptive-autonomous</t>
        </is>
      </c>
      <c r="O35" s="49" t="inlineStr">
        <is>
          <t>Reduced</t>
        </is>
      </c>
      <c r="P35" s="49" t="inlineStr">
        <is>
          <t>Approve/override; Handle exceptions; Provide data/labels</t>
        </is>
      </c>
      <c r="Q35" s="49" t="inlineStr">
        <is>
          <t>Y</t>
        </is>
      </c>
      <c r="R35" s="49" t="inlineStr">
        <is>
          <t>Design-science proposal (nothing implemented) of a Cognitive Digital Twin for food supply chains: DT domain (IIoT, VSM virtual model, LARG index, multi-objective optimisation) plus CDT domain (OWL ontology, knowledge graphs, ML engine) intended to decide autonomously, with selective classification (abstention) and active learning keeping humans co-piloting.</t>
        </is>
      </c>
    </row>
    <row r="36">
      <c r="A36" s="49" t="inlineStr">
        <is>
          <t>R0249</t>
        </is>
      </c>
      <c r="B36" s="49" t="inlineStr">
        <is>
          <t>Campos M.G.G.; van Beurden P.</t>
        </is>
      </c>
      <c r="C36" s="49" t="n">
        <v>2024</v>
      </c>
      <c r="D36" s="49" t="inlineStr">
        <is>
          <t>Potential of Applying Artificial Intelligence to Hot Metal Logistics Management</t>
        </is>
      </c>
      <c r="E36" s="49" t="inlineStr">
        <is>
          <t>China's Refractories</t>
        </is>
      </c>
      <c r="F36" s="49" t="inlineStr">
        <is>
          <t>10.19691/j.cnki.1004-4493.2024.03.006</t>
        </is>
      </c>
      <c r="G36" s="49" t="inlineStr">
        <is>
          <t>Make</t>
        </is>
      </c>
      <c r="H36" s="49" t="inlineStr">
        <is>
          <t>Simulation/synthetic</t>
        </is>
      </c>
      <c r="I36" s="49" t="inlineStr">
        <is>
          <t>Steel/metals manufacturing (intra-plant hot metal logistics)</t>
        </is>
      </c>
      <c r="J36" s="49" t="inlineStr">
        <is>
          <t>Plan/Make</t>
        </is>
      </c>
      <c r="K36" s="49" t="inlineStr">
        <is>
          <t>N</t>
        </is>
      </c>
      <c r="L36" s="49" t="inlineStr">
        <is>
          <t>Reinforcement learning</t>
        </is>
      </c>
      <c r="M36" s="49" t="inlineStr">
        <is>
          <t>Optimisation</t>
        </is>
      </c>
      <c r="N36" s="49" t="inlineStr">
        <is>
          <t>4 Prescriptive-advisory</t>
        </is>
      </c>
      <c r="O36" s="49" t="inlineStr">
        <is>
          <t>Reduced</t>
        </is>
      </c>
      <c r="P36" s="49" t="inlineStr">
        <is>
          <t>Interpret outputs</t>
        </is>
      </c>
      <c r="Q36" s="49" t="inlineStr">
        <is>
          <t>N</t>
        </is>
      </c>
      <c r="R36" s="49" t="inlineStr">
        <is>
          <t>Validated digital twins of Tata Steel's torpedo and hot-metal-ladle cycles (within 5% / 8 min of real operation), fed by FEM-derived reduced-order thermal models, let reinforcement-learning agents select ladles/torpedoes and schedule the hot metal route, cutting simulated hot metal temperature loss by 15 degC versus the FIFO baseline.</t>
        </is>
      </c>
    </row>
    <row r="37">
      <c r="A37" s="49" t="inlineStr">
        <is>
          <t>R0252</t>
        </is>
      </c>
      <c r="B37" s="49" t="inlineStr">
        <is>
          <t>Corsini R.R.; Costa A.; Fichera S.; Framinan J.M.</t>
        </is>
      </c>
      <c r="C37" s="49" t="n">
        <v>2024</v>
      </c>
      <c r="D37" s="49" t="inlineStr">
        <is>
          <t>Digital twin model with machine learning and optimization for resilient production–distribution systems under disruptions</t>
        </is>
      </c>
      <c r="E37" s="49" t="inlineStr">
        <is>
          <t>Computers and Industrial Engineering</t>
        </is>
      </c>
      <c r="F37" s="49" t="inlineStr">
        <is>
          <t>10.1016/j.cie.2024.110145</t>
        </is>
      </c>
      <c r="G37" s="49" t="inlineStr"/>
      <c r="H37" s="49" t="inlineStr">
        <is>
          <t>Simulation/synthetic</t>
        </is>
      </c>
      <c r="I37" s="49" t="inlineStr">
        <is>
          <t>Semiconductor manufacturing</t>
        </is>
      </c>
      <c r="J37" s="49" t="inlineStr">
        <is>
          <t>Plan/Source</t>
        </is>
      </c>
      <c r="K37" s="49" t="inlineStr">
        <is>
          <t>N</t>
        </is>
      </c>
      <c r="L37" s="49" t="inlineStr">
        <is>
          <t>Hybrid</t>
        </is>
      </c>
      <c r="M37" s="49" t="inlineStr">
        <is>
          <t>Optimisation</t>
        </is>
      </c>
      <c r="N37" s="49" t="inlineStr">
        <is>
          <t>5 Prescriptive-autonomous</t>
        </is>
      </c>
      <c r="O37" s="49" t="inlineStr">
        <is>
          <t>Not discussed</t>
        </is>
      </c>
      <c r="P37" s="49" t="inlineStr">
        <is>
          <t>None</t>
        </is>
      </c>
      <c r="Q37" s="49" t="inlineStr">
        <is>
          <t>Y</t>
        </is>
      </c>
      <c r="R37" s="49" t="inlineStr">
        <is>
          <t>A closed-loop DT (moving-average lead-time forecast, simulation, ANN surrogates inside PSO) re-optimising SOUT parameters every 30 days kept fill rate near 99%, cut backlog by 81-92% and improved time-to-recover and time-to-survive versus static parameters under COVID-shaped lead-time disruptions, at ~8.7 s per review; no human step in the loop.</t>
        </is>
      </c>
    </row>
    <row r="38">
      <c r="A38" s="49" t="inlineStr">
        <is>
          <t>R0270</t>
        </is>
      </c>
      <c r="B38" s="49" t="inlineStr">
        <is>
          <t>Yang C.; Yu H.; Zheng Y.; Ala-Laurinaho R.; Feng L.; Tammi K.</t>
        </is>
      </c>
      <c r="C38" s="49" t="n">
        <v>2024</v>
      </c>
      <c r="D38" s="49" t="inlineStr">
        <is>
          <t>Towards Human-Centric Manufacturing: Leveraging Digital Twin for Enhanced Industrial Processes</t>
        </is>
      </c>
      <c r="E38" s="49" t="inlineStr">
        <is>
          <t>IECON Proceedings (Industrial Electronics Conference)</t>
        </is>
      </c>
      <c r="F38" s="49" t="inlineStr">
        <is>
          <t>10.1109/iecon55916.2024.10905474</t>
        </is>
      </c>
      <c r="G38" s="49" t="inlineStr">
        <is>
          <t>Make</t>
        </is>
      </c>
      <c r="H38" s="49" t="inlineStr">
        <is>
          <t>Empirical case</t>
        </is>
      </c>
      <c r="I38" s="49" t="inlineStr">
        <is>
          <t>Manufacturing / intra-plant logistics</t>
        </is>
      </c>
      <c r="J38" s="49" t="inlineStr">
        <is>
          <t>Make</t>
        </is>
      </c>
      <c r="K38" s="49" t="inlineStr">
        <is>
          <t>N</t>
        </is>
      </c>
      <c r="L38" s="49" t="inlineStr">
        <is>
          <t>LLM/agent</t>
        </is>
      </c>
      <c r="M38" s="49" t="inlineStr">
        <is>
          <t>Decision support</t>
        </is>
      </c>
      <c r="N38" s="49" t="inlineStr">
        <is>
          <t>1 Descriptive</t>
        </is>
      </c>
      <c r="O38" s="49" t="inlineStr">
        <is>
          <t>Elevated</t>
        </is>
      </c>
      <c r="P38" s="49" t="inlineStr">
        <is>
          <t>Interpret outputs</t>
        </is>
      </c>
      <c r="Q38" s="49" t="inlineStr">
        <is>
          <t>Y</t>
        </is>
      </c>
      <c r="R38" s="49" t="inlineStr">
        <is>
          <t>A three-layer DT architecture (Data, Knowledge, AI, 3D engines) with an industrial-process ontology was implemented in a lab factory and validated on in-plant AGV/crane transport: an LLM-RAG over a Neo4j knowledge graph answers operator queries in natural language, while knowledge-driven 3D safety zones alert crane operators; latency under 300 ms.</t>
        </is>
      </c>
    </row>
    <row r="39">
      <c r="A39" s="49" t="inlineStr">
        <is>
          <t>R0272</t>
        </is>
      </c>
      <c r="B39" s="49" t="inlineStr">
        <is>
          <t>Badakhshan E.; Ball P.</t>
        </is>
      </c>
      <c r="C39" s="49" t="n">
        <v>2024</v>
      </c>
      <c r="D39" s="49" t="inlineStr">
        <is>
          <t>Deploying hybrid modelling to support the development of a digital twin for supply chain master planning under disruptions</t>
        </is>
      </c>
      <c r="E39" s="49" t="inlineStr">
        <is>
          <t>International Journal of Production Research</t>
        </is>
      </c>
      <c r="F39" s="49" t="inlineStr">
        <is>
          <t>10.1080/00207543.2023.2244604</t>
        </is>
      </c>
      <c r="G39" s="49" t="inlineStr"/>
      <c r="H39" s="49" t="inlineStr">
        <is>
          <t>Simulation/synthetic</t>
        </is>
      </c>
      <c r="I39" s="49" t="inlineStr">
        <is>
          <t>Generic/cross-sector</t>
        </is>
      </c>
      <c r="J39" s="49" t="inlineStr">
        <is>
          <t>Plan/Make/Deliver</t>
        </is>
      </c>
      <c r="K39" s="49" t="inlineStr">
        <is>
          <t>N</t>
        </is>
      </c>
      <c r="L39" s="49" t="inlineStr">
        <is>
          <t>Classical ML</t>
        </is>
      </c>
      <c r="M39" s="49" t="inlineStr">
        <is>
          <t>Decision support</t>
        </is>
      </c>
      <c r="N39" s="49" t="inlineStr">
        <is>
          <t>4 Prescriptive-advisory</t>
        </is>
      </c>
      <c r="O39" s="49" t="inlineStr">
        <is>
          <t>Maintained</t>
        </is>
      </c>
      <c r="P39" s="49" t="inlineStr">
        <is>
          <t>Set objectives/constraints</t>
        </is>
      </c>
      <c r="Q39" s="49" t="inlineStr">
        <is>
          <t>Y</t>
        </is>
      </c>
      <c r="R39" s="49" t="inlineStr">
        <is>
          <t>Hybrid DES-CART decision tree-MIP framework (a digital-twin precursor with periodic physical-digital data flow) updates the SC master plan under demand and lead-time disruptions; responsive planning raised DC service level (+16.88% for product 1) and cut total cost by 15% versus unresponsive planning.</t>
        </is>
      </c>
    </row>
    <row r="40">
      <c r="A40" s="49" t="inlineStr">
        <is>
          <t>R0273</t>
        </is>
      </c>
      <c r="B40" s="49" t="inlineStr">
        <is>
          <t>Ivanov D.</t>
        </is>
      </c>
      <c r="C40" s="49" t="n">
        <v>2024</v>
      </c>
      <c r="D40" s="49" t="inlineStr">
        <is>
          <t>Conceptualisation of a 7-element digital twin framework in supply chain and operations management</t>
        </is>
      </c>
      <c r="E40" s="49" t="inlineStr">
        <is>
          <t>International Journal of Production Research</t>
        </is>
      </c>
      <c r="F40" s="49" t="inlineStr">
        <is>
          <t>10.1080/00207543.2023.2217291</t>
        </is>
      </c>
      <c r="G40" s="49" t="inlineStr"/>
      <c r="H40" s="49" t="inlineStr">
        <is>
          <t>Conceptual</t>
        </is>
      </c>
      <c r="I40" s="49" t="inlineStr">
        <is>
          <t>Generic/cross-sector</t>
        </is>
      </c>
      <c r="J40" s="49" t="inlineStr">
        <is>
          <t>Plan/Source/Make/Deliver/Return</t>
        </is>
      </c>
      <c r="K40" s="49" t="inlineStr">
        <is>
          <t>Y</t>
        </is>
      </c>
      <c r="L40" s="49" t="inlineStr">
        <is>
          <t>Other</t>
        </is>
      </c>
      <c r="M40" s="49" t="inlineStr">
        <is>
          <t>Decision support</t>
        </is>
      </c>
      <c r="N40" s="49" t="inlineStr">
        <is>
          <t>4 Prescriptive-advisory</t>
        </is>
      </c>
      <c r="O40" s="49" t="inlineStr">
        <is>
          <t>Maintained</t>
        </is>
      </c>
      <c r="P40" s="49" t="inlineStr">
        <is>
          <t>Approve/override</t>
        </is>
      </c>
      <c r="Q40" s="49" t="inlineStr">
        <is>
          <t>Y</t>
        </is>
      </c>
      <c r="R40" s="49" t="inlineStr">
        <is>
          <t>Proposes a 7-element SCOM digital twin framework (technology, people, management, organisation, scope, task, modelling) and five twin types; concludes twins are socio-technical systems with continuous human–AI interaction, where analytics (simulation, optimisation, neural networks, ML/RL) is the modelling backbone and decisions stay with humans or pass to AI by design.</t>
        </is>
      </c>
    </row>
    <row r="41">
      <c r="A41" s="49" t="inlineStr">
        <is>
          <t>R0291</t>
        </is>
      </c>
      <c r="B41" s="49" t="inlineStr">
        <is>
          <t>Tang Y.M.; Kuo W.T.; Lee C.K.M.</t>
        </is>
      </c>
      <c r="C41" s="49" t="n">
        <v>2023</v>
      </c>
      <c r="D41" s="49" t="inlineStr">
        <is>
          <t>Real-time Mixed Reality (MR) and Artificial Intelligence (AI) object recognition integration for digital twin in Industry 4.0</t>
        </is>
      </c>
      <c r="E41" s="49" t="inlineStr">
        <is>
          <t>Internet of Things (Netherlands)</t>
        </is>
      </c>
      <c r="F41" s="49" t="inlineStr">
        <is>
          <t>10.1016/j.iot.2023.100753</t>
        </is>
      </c>
      <c r="G41" s="49" t="inlineStr"/>
      <c r="H41" s="49" t="inlineStr">
        <is>
          <t>Simulation/synthetic</t>
        </is>
      </c>
      <c r="I41" s="49" t="inlineStr">
        <is>
          <t>Warehousing</t>
        </is>
      </c>
      <c r="J41" s="49" t="inlineStr">
        <is>
          <t>Deliver</t>
        </is>
      </c>
      <c r="K41" s="49" t="inlineStr">
        <is>
          <t>N</t>
        </is>
      </c>
      <c r="L41" s="49" t="inlineStr">
        <is>
          <t>Other deep learning</t>
        </is>
      </c>
      <c r="M41" s="49" t="inlineStr">
        <is>
          <t>Other</t>
        </is>
      </c>
      <c r="N41" s="49" t="inlineStr">
        <is>
          <t>1 Descriptive</t>
        </is>
      </c>
      <c r="O41" s="49" t="inlineStr">
        <is>
          <t>Maintained</t>
        </is>
      </c>
      <c r="P41" s="49" t="inlineStr">
        <is>
          <t>Interpret outputs</t>
        </is>
      </c>
      <c r="Q41" s="49" t="inlineStr">
        <is>
          <t>Y</t>
        </is>
      </c>
      <c r="R41" s="49" t="inlineStr">
        <is>
          <t>Lab prototype (HoloLens MR + Azure cloud + MySQL) framed as a warehouse digital twin: YOLOv5-s detects packages and pulls item records (location, order number) onto an MR dashboard for operators (125 FPS, 67.3% mAP). Forecast/risk functions only described; humans keep all logistics decisions.</t>
        </is>
      </c>
    </row>
    <row r="42">
      <c r="A42" s="49" t="inlineStr">
        <is>
          <t>R0298</t>
        </is>
      </c>
      <c r="B42" s="49" t="inlineStr">
        <is>
          <t>Badakhshan E.; Ball P.</t>
        </is>
      </c>
      <c r="C42" s="49" t="n">
        <v>2023</v>
      </c>
      <c r="D42" s="49" t="inlineStr">
        <is>
          <t>Applying digital twins for inventory and cash management in supply chains under physical and financial disruptions</t>
        </is>
      </c>
      <c r="E42" s="49" t="inlineStr">
        <is>
          <t>International Journal of Production Research</t>
        </is>
      </c>
      <c r="F42" s="49" t="inlineStr">
        <is>
          <t>10.1080/00207543.2022.2093682</t>
        </is>
      </c>
      <c r="G42" s="49" t="inlineStr"/>
      <c r="H42" s="49" t="inlineStr">
        <is>
          <t>Simulation/synthetic</t>
        </is>
      </c>
      <c r="I42" s="49" t="inlineStr">
        <is>
          <t>FMCG (consumer goods)</t>
        </is>
      </c>
      <c r="J42" s="49" t="inlineStr">
        <is>
          <t>Plan/Source/Make/Deliver</t>
        </is>
      </c>
      <c r="K42" s="49" t="inlineStr">
        <is>
          <t>Y</t>
        </is>
      </c>
      <c r="L42" s="49" t="inlineStr">
        <is>
          <t>Classical ML</t>
        </is>
      </c>
      <c r="M42" s="49" t="inlineStr">
        <is>
          <t>Decision support</t>
        </is>
      </c>
      <c r="N42" s="49" t="inlineStr">
        <is>
          <t>4 Prescriptive-advisory</t>
        </is>
      </c>
      <c r="O42" s="49" t="inlineStr">
        <is>
          <t>Maintained</t>
        </is>
      </c>
      <c r="P42" s="49" t="inlineStr">
        <is>
          <t>Interpret outputs</t>
        </is>
      </c>
      <c r="Q42" s="49" t="inlineStr">
        <is>
          <t>Y</t>
        </is>
      </c>
      <c r="R42" s="49" t="inlineStr">
        <is>
          <t>Simulation-generated data trained a CART decision tree (83-86% accuracy) whose rules set inventory and cash replenishment policies; centralised planning with these rules cut the manufacturer's cash conversion cycle by 11.1 and 9.5 weeks versus decentralised planning, with and without disruptions; the wholesaler's ordering policy drives manufacturer CCC.</t>
        </is>
      </c>
    </row>
    <row r="43">
      <c r="A43" s="49" t="inlineStr">
        <is>
          <t>R0299</t>
        </is>
      </c>
      <c r="B43" s="49" t="inlineStr">
        <is>
          <t>Khetani N.; Sharma A.; Kulkarni A.</t>
        </is>
      </c>
      <c r="C43" s="49" t="n">
        <v>2023</v>
      </c>
      <c r="D43" s="49" t="inlineStr">
        <is>
          <t>Real-Time Logistics and Warehouse Integration via Networks of the Future and Dynamic Digital Twins</t>
        </is>
      </c>
      <c r="E43" s="49" t="inlineStr">
        <is>
          <t>2023 IEEE Engineering Informatics, EI 2023</t>
        </is>
      </c>
      <c r="F43" s="49" t="inlineStr">
        <is>
          <t>10.1109/ieeeconf58110.2023.10520525</t>
        </is>
      </c>
      <c r="G43" s="49" t="inlineStr"/>
      <c r="H43" s="49" t="inlineStr">
        <is>
          <t>Empirical data</t>
        </is>
      </c>
      <c r="I43" s="49" t="inlineStr">
        <is>
          <t>Warehousing</t>
        </is>
      </c>
      <c r="J43" s="49" t="inlineStr">
        <is>
          <t>Plan/Deliver</t>
        </is>
      </c>
      <c r="K43" s="49" t="inlineStr">
        <is>
          <t>N</t>
        </is>
      </c>
      <c r="L43" s="49" t="inlineStr">
        <is>
          <t>Classical ML</t>
        </is>
      </c>
      <c r="M43" s="49" t="inlineStr">
        <is>
          <t>Forecasting/estimation</t>
        </is>
      </c>
      <c r="N43" s="49" t="inlineStr">
        <is>
          <t>5 Prescriptive-autonomous</t>
        </is>
      </c>
      <c r="O43" s="49" t="inlineStr">
        <is>
          <t>Maintained</t>
        </is>
      </c>
      <c r="P43" s="49" t="inlineStr">
        <is>
          <t>Handle exceptions</t>
        </is>
      </c>
      <c r="Q43" s="49" t="inlineStr">
        <is>
          <t>Y</t>
        </is>
      </c>
      <c r="R43" s="49" t="inlineStr">
        <is>
          <t>A proof-of-concept warehouse digital twin couples Ridge-regularised polynomial regression on real packing data (RMSE 14.72 s vs 19.04 s linear, 89% cohesion) with a grid-adapted A* pathfinder, plus Node-RED/Traccar/RFID and 5G, to auto-release orders and re-route AGVs after layout changes.</t>
        </is>
      </c>
    </row>
    <row r="44">
      <c r="A44" s="49" t="inlineStr">
        <is>
          <t>R0306</t>
        </is>
      </c>
      <c r="B44" s="49" t="inlineStr">
        <is>
          <t>Lim J.-B.; Jeong J.</t>
        </is>
      </c>
      <c r="C44" s="49" t="n">
        <v>2023</v>
      </c>
      <c r="D44" s="49" t="inlineStr">
        <is>
          <t>Factory Simulation of Optimization Techniques Based on Deep Reinforcement Learning for Storage Devices</t>
        </is>
      </c>
      <c r="E44" s="49" t="inlineStr">
        <is>
          <t>Applied Sciences (Switzerland)</t>
        </is>
      </c>
      <c r="F44" s="49" t="inlineStr">
        <is>
          <t>10.3390/app13179690</t>
        </is>
      </c>
      <c r="G44" s="49" t="inlineStr">
        <is>
          <t>Make</t>
        </is>
      </c>
      <c r="H44" s="49" t="inlineStr">
        <is>
          <t>Simulation/synthetic</t>
        </is>
      </c>
      <c r="I44" s="49" t="inlineStr">
        <is>
          <t>Electronics manufacturing (battery management system production line; intra-plant stocker/buffer logistics)</t>
        </is>
      </c>
      <c r="J44" s="49" t="inlineStr">
        <is>
          <t>Make</t>
        </is>
      </c>
      <c r="K44" s="49" t="inlineStr">
        <is>
          <t>N</t>
        </is>
      </c>
      <c r="L44" s="49" t="inlineStr">
        <is>
          <t>Reinforcement learning</t>
        </is>
      </c>
      <c r="M44" s="49" t="inlineStr">
        <is>
          <t>Control</t>
        </is>
      </c>
      <c r="N44" s="49" t="inlineStr">
        <is>
          <t>5 Prescriptive-autonomous</t>
        </is>
      </c>
      <c r="O44" s="49" t="inlineStr">
        <is>
          <t>Reduced</t>
        </is>
      </c>
      <c r="P44" s="49" t="inlineStr">
        <is>
          <t>Set objectives/constraints</t>
        </is>
      </c>
      <c r="Q44" s="49" t="inlineStr">
        <is>
          <t>Y</t>
        </is>
      </c>
      <c r="R44" s="49" t="inlineStr">
        <is>
          <t>PPO agent (Stable-Baselines3 in FlexSim) choosing which item type each router pulls from the stocker cut stocker average waiting time from 3348 s (FIFO) to 145 s and mean queue from about 272 to 12 items at similar daily output (7304 vs 7058); converged after 3000-8000 training steps.</t>
        </is>
      </c>
    </row>
    <row r="45">
      <c r="A45" s="49" t="inlineStr">
        <is>
          <t>R0309</t>
        </is>
      </c>
      <c r="B45" s="49" t="inlineStr">
        <is>
          <t>Ivanov D.</t>
        </is>
      </c>
      <c r="C45" s="49" t="n">
        <v>2023</v>
      </c>
      <c r="D45" s="49" t="inlineStr">
        <is>
          <t>Intelligent digital twin (iDT) for supply chain stress-testing, resilience, and viability</t>
        </is>
      </c>
      <c r="E45" s="49" t="inlineStr">
        <is>
          <t>International Journal of Production Economics</t>
        </is>
      </c>
      <c r="F45" s="49" t="inlineStr">
        <is>
          <t>10.1016/j.ijpe.2023.108938</t>
        </is>
      </c>
      <c r="G45" s="49" t="inlineStr"/>
      <c r="H45" s="49" t="inlineStr">
        <is>
          <t>Conceptual</t>
        </is>
      </c>
      <c r="I45" s="49" t="inlineStr">
        <is>
          <t>Generic/cross-sector</t>
        </is>
      </c>
      <c r="J45" s="49" t="inlineStr">
        <is>
          <t>Plan/Source/Make/Deliver</t>
        </is>
      </c>
      <c r="K45" s="49" t="inlineStr">
        <is>
          <t>Y</t>
        </is>
      </c>
      <c r="L45" s="49" t="inlineStr">
        <is>
          <t>Other</t>
        </is>
      </c>
      <c r="M45" s="49" t="inlineStr">
        <is>
          <t>Decision support</t>
        </is>
      </c>
      <c r="N45" s="49" t="inlineStr">
        <is>
          <t>4 Prescriptive-advisory</t>
        </is>
      </c>
      <c r="O45" s="49" t="inlineStr">
        <is>
          <t>Elevated</t>
        </is>
      </c>
      <c r="P45" s="49" t="inlineStr">
        <is>
          <t>Set objectives/constraints; Handle exceptions; Approve/override</t>
        </is>
      </c>
      <c r="Q45" s="49" t="inlineStr">
        <is>
          <t>Y</t>
        </is>
      </c>
      <c r="R45" s="49" t="inlineStr">
        <is>
          <t>Proposes the iDT: an SC digital twin extended with an AI part (agents' training/learning environment, self-learning, rule discovery from data). Humans define practices and rules, decide (step 4) with iDT support and keep non-standardised situations; AI takes standardised tasks, recommends and extends human metaknowledge; mutual delegation, no full automation.</t>
        </is>
      </c>
    </row>
    <row r="46">
      <c r="A46" s="49" t="inlineStr">
        <is>
          <t>R0322</t>
        </is>
      </c>
      <c r="B46" s="49" t="inlineStr">
        <is>
          <t>Melesse T.Y.; Bollo M.; Pasquale V.D.; Centro F.; Riemma S.</t>
        </is>
      </c>
      <c r="C46" s="49" t="n">
        <v>2022</v>
      </c>
      <c r="D46" s="49" t="inlineStr">
        <is>
          <t>Machine Learning-Based Digital Twin for Monitoring Fruit Quality Evolution</t>
        </is>
      </c>
      <c r="E46" s="49" t="inlineStr">
        <is>
          <t>Procedia Computer Science</t>
        </is>
      </c>
      <c r="F46" s="49" t="inlineStr">
        <is>
          <t>10.1016/j.procs.2022.01.200</t>
        </is>
      </c>
      <c r="G46" s="49" t="inlineStr"/>
      <c r="H46" s="49" t="inlineStr">
        <is>
          <t>Empirical data</t>
        </is>
      </c>
      <c r="I46" s="49" t="inlineStr">
        <is>
          <t>Food/cold chain</t>
        </is>
      </c>
      <c r="J46" s="49" t="inlineStr">
        <is>
          <t>Deliver</t>
        </is>
      </c>
      <c r="K46" s="49" t="inlineStr">
        <is>
          <t>N</t>
        </is>
      </c>
      <c r="L46" s="49" t="inlineStr">
        <is>
          <t>Other deep learning</t>
        </is>
      </c>
      <c r="M46" s="49" t="inlineStr">
        <is>
          <t>Forecasting/estimation</t>
        </is>
      </c>
      <c r="N46" s="49" t="inlineStr">
        <is>
          <t>2 Diagnostic</t>
        </is>
      </c>
      <c r="O46" s="49" t="inlineStr">
        <is>
          <t>Reduced</t>
        </is>
      </c>
      <c r="P46" s="49" t="inlineStr">
        <is>
          <t>Interpret outputs</t>
        </is>
      </c>
      <c r="Q46" s="49" t="inlineStr">
        <is>
          <t>Y</t>
        </is>
      </c>
      <c r="R46" s="49" t="inlineStr">
        <is>
          <t>A deep CNN trained on 3,968 thermal images of bananas (four grades: fresh, good, bad, rotten) reached 99% validation and test accuracy, taken as proof that thermal imaging can feed a machine-learning-based fruit digital twin that alerts retailers before stock is wasted; the SAP-based twin architecture remains a proposal.</t>
        </is>
      </c>
    </row>
    <row r="47">
      <c r="A47" s="49" t="inlineStr">
        <is>
          <t>R0323</t>
        </is>
      </c>
      <c r="B47" s="49" t="inlineStr">
        <is>
          <t>Leung E.K.H.; Lee C.K.H.; Ouyang Z.</t>
        </is>
      </c>
      <c r="C47" s="49" t="n">
        <v>2022</v>
      </c>
      <c r="D47" s="49" t="inlineStr">
        <is>
          <t>From traditional warehouses to Physical Internet hubs: A digital twin-based inbound synchronization framework for PI-order management</t>
        </is>
      </c>
      <c r="E47" s="49" t="inlineStr">
        <is>
          <t>International Journal of Production Economics</t>
        </is>
      </c>
      <c r="F47" s="49" t="inlineStr">
        <is>
          <t>10.1016/j.ijpe.2021.108353</t>
        </is>
      </c>
      <c r="G47" s="49" t="inlineStr"/>
      <c r="H47" s="49" t="inlineStr">
        <is>
          <t>Simulation/synthetic</t>
        </is>
      </c>
      <c r="I47" s="49" t="inlineStr">
        <is>
          <t>Warehousing</t>
        </is>
      </c>
      <c r="J47" s="49" t="inlineStr">
        <is>
          <t>Plan/Deliver</t>
        </is>
      </c>
      <c r="K47" s="49" t="inlineStr">
        <is>
          <t>N</t>
        </is>
      </c>
      <c r="L47" s="49" t="inlineStr">
        <is>
          <t>Hybrid</t>
        </is>
      </c>
      <c r="M47" s="49" t="inlineStr">
        <is>
          <t>Forecasting/estimation; Optimisation</t>
        </is>
      </c>
      <c r="N47" s="49" t="inlineStr">
        <is>
          <t>4 Prescriptive-advisory</t>
        </is>
      </c>
      <c r="O47" s="49" t="inlineStr">
        <is>
          <t>Reduced</t>
        </is>
      </c>
      <c r="P47" s="49" t="inlineStr">
        <is>
          <t>Interpret outputs; Provide data/labels</t>
        </is>
      </c>
      <c r="Q47" s="49" t="inlineStr">
        <is>
          <t>Y</t>
        </is>
      </c>
      <c r="R47" s="49" t="inlineStr">
        <is>
          <t>A DT/IoT-based framework for Physical Internet city hubs embeds ANFIS demand forecasting and a joint order-fulfilment/replenishment optimisation model; simulation of a 600-SKU forward-reserve hub shows joint, forecast-driven operations cut daily picker travel by 80.9% and reserve-area visits by 79.8% versus standalone operations.</t>
        </is>
      </c>
    </row>
    <row r="48">
      <c r="A48" s="49" t="inlineStr">
        <is>
          <t>R0327</t>
        </is>
      </c>
      <c r="B48" s="49" t="inlineStr">
        <is>
          <t>Martin G.; Oger R.</t>
        </is>
      </c>
      <c r="C48" s="49" t="n">
        <v>2022</v>
      </c>
      <c r="D48" s="49" t="inlineStr">
        <is>
          <t>A Reinforcement Learning Powered Digital Twin to Support Supply Chain Decisions</t>
        </is>
      </c>
      <c r="E48" s="49" t="inlineStr">
        <is>
          <t>Proceedings of the Annual Hawaii International Conference on System Sciences</t>
        </is>
      </c>
      <c r="F48" s="49" t="inlineStr">
        <is>
          <t>10.24251/hicss.2022.287</t>
        </is>
      </c>
      <c r="G48" s="49" t="inlineStr"/>
      <c r="H48" s="49" t="inlineStr">
        <is>
          <t>Simulation/synthetic</t>
        </is>
      </c>
      <c r="I48" s="49" t="inlineStr">
        <is>
          <t>Healthcare (drug/pharmaceutical distribution chain: manufacturer, custodian, wholesaler-distributor, pharmacies)</t>
        </is>
      </c>
      <c r="J48" s="49" t="inlineStr">
        <is>
          <t>Plan/Source/Deliver</t>
        </is>
      </c>
      <c r="K48" s="49" t="inlineStr">
        <is>
          <t>Y</t>
        </is>
      </c>
      <c r="L48" s="49" t="inlineStr">
        <is>
          <t>Reinforcement learning</t>
        </is>
      </c>
      <c r="M48" s="49" t="inlineStr">
        <is>
          <t>Decision support</t>
        </is>
      </c>
      <c r="N48" s="49" t="inlineStr">
        <is>
          <t>4 Prescriptive-advisory</t>
        </is>
      </c>
      <c r="O48" s="49" t="inlineStr">
        <is>
          <t>Reduced</t>
        </is>
      </c>
      <c r="P48" s="49" t="inlineStr">
        <is>
          <t>Approve/override</t>
        </is>
      </c>
      <c r="Q48" s="49" t="inlineStr">
        <is>
          <t>Y</t>
        </is>
      </c>
      <c r="R48" s="49" t="inlineStr">
        <is>
          <t>A two-phase framework trains a DRL agent (Dueling DDQN, action branching) in a simulated environment that then serves as the supply chain digital twin, recommending replenishment orders for a four-echelon drug chain; the agent approaches and sometimes exceeds base-stock performance, far exceeds a human-like heuristic, but is less stable.</t>
        </is>
      </c>
    </row>
    <row r="49">
      <c r="A49" s="49" t="inlineStr">
        <is>
          <t>R0328</t>
        </is>
      </c>
      <c r="B49" s="49" t="inlineStr">
        <is>
          <t>Greis N.P.; Nogueira M.L.; Rohde W.</t>
        </is>
      </c>
      <c r="C49" s="49" t="n">
        <v>2022</v>
      </c>
      <c r="D49" s="49" t="inlineStr">
        <is>
          <t>Towards Learning-Enabled Digital Twin with Augmented Reality for Resilient Production Scheduling</t>
        </is>
      </c>
      <c r="E49" s="49" t="inlineStr">
        <is>
          <t>IFAC-PapersOnLine</t>
        </is>
      </c>
      <c r="F49" s="49" t="inlineStr">
        <is>
          <t>10.1016/j.ifacol.2022.09.678</t>
        </is>
      </c>
      <c r="G49" s="49" t="inlineStr">
        <is>
          <t>Make</t>
        </is>
      </c>
      <c r="H49" s="49" t="inlineStr">
        <is>
          <t>Conceptual</t>
        </is>
      </c>
      <c r="I49" s="49" t="inlineStr">
        <is>
          <t>Discrete manufacturing (rail parts, Siemens use case)</t>
        </is>
      </c>
      <c r="J49" s="49" t="inlineStr">
        <is>
          <t>Plan/Source/Make/Deliver</t>
        </is>
      </c>
      <c r="K49" s="49" t="inlineStr">
        <is>
          <t>Y</t>
        </is>
      </c>
      <c r="L49" s="49" t="inlineStr">
        <is>
          <t>Classical ML</t>
        </is>
      </c>
      <c r="M49" s="49" t="inlineStr">
        <is>
          <t>Forecasting/estimation; Decision support</t>
        </is>
      </c>
      <c r="N49" s="49" t="inlineStr">
        <is>
          <t>4 Prescriptive-advisory</t>
        </is>
      </c>
      <c r="O49" s="49" t="inlineStr">
        <is>
          <t>Elevated</t>
        </is>
      </c>
      <c r="P49" s="49" t="inlineStr">
        <is>
          <t>Approve/override; Handle exceptions; Interpret outputs</t>
        </is>
      </c>
      <c r="Q49" s="49" t="inlineStr">
        <is>
          <t>Y</t>
        </is>
      </c>
      <c r="R49" s="49" t="inlineStr">
        <is>
          <t>Conceptual extension of the authors' ML-enabled digital twin for integrated production-logistics: AR overlays present ML rescheduling recommendations, KPIs and plan-vs-actual deviations so a human can select or override recommendations outside the model's learned experience; rare exogenous disruptions stay with human experts; cognitive twins are the longer-term path.</t>
        </is>
      </c>
    </row>
    <row r="50">
      <c r="A50" s="49" t="inlineStr">
        <is>
          <t>R0331</t>
        </is>
      </c>
      <c r="B50" s="49" t="inlineStr">
        <is>
          <t>Greis N.P.; Nogueira M.L.; Rohde W.</t>
        </is>
      </c>
      <c r="C50" s="49" t="n">
        <v>2021</v>
      </c>
      <c r="D50" s="49" t="inlineStr">
        <is>
          <t>Digital Twin Framework for Machine Learning-Enabled Integrated Production and Logistics Processes</t>
        </is>
      </c>
      <c r="E50" s="49" t="inlineStr">
        <is>
          <t>IFIP Advances in Information and Communication Technology</t>
        </is>
      </c>
      <c r="F50" s="49" t="inlineStr">
        <is>
          <t>10.1007/978-3-030-85874-2_23</t>
        </is>
      </c>
      <c r="G50" s="49" t="inlineStr">
        <is>
          <t>Make</t>
        </is>
      </c>
      <c r="H50" s="49" t="inlineStr">
        <is>
          <t>Conceptual</t>
        </is>
      </c>
      <c r="I50" s="49" t="inlineStr">
        <is>
          <t>Discrete manufacturing (generic OEM with upstream supplier and downstream customer; no named case)</t>
        </is>
      </c>
      <c r="J50" s="49" t="inlineStr">
        <is>
          <t>Plan/Source/Make/Deliver</t>
        </is>
      </c>
      <c r="K50" s="49" t="inlineStr">
        <is>
          <t>Y</t>
        </is>
      </c>
      <c r="L50" s="49" t="inlineStr">
        <is>
          <t>Classical ML</t>
        </is>
      </c>
      <c r="M50" s="49" t="inlineStr">
        <is>
          <t>Forecasting/estimation; Decision support</t>
        </is>
      </c>
      <c r="N50" s="49" t="inlineStr">
        <is>
          <t>5 Prescriptive-autonomous</t>
        </is>
      </c>
      <c r="O50" s="49" t="inlineStr">
        <is>
          <t>Reduced</t>
        </is>
      </c>
      <c r="P50" s="49" t="inlineStr">
        <is>
          <t>Set objectives/constraints; Interpret outputs</t>
        </is>
      </c>
      <c r="Q50" s="49" t="inlineStr">
        <is>
          <t>Y</t>
        </is>
      </c>
      <c r="R50" s="49" t="inlineStr">
        <is>
          <t>Conceptual three-module framework: ML supplier-risk prediction (RF/SVM/kNN/ANN) feeds a shop-floor digital twin whose sense-and-respond ML model recommends rescheduling; the twin simulates and validates the schedule before it is pushed to MES for execution; a transit module cascades delays to customer delivery dates. No implementation or results.</t>
        </is>
      </c>
    </row>
    <row r="51">
      <c r="A51" s="49" t="inlineStr">
        <is>
          <t>R0520</t>
        </is>
      </c>
      <c r="B51" s="49" t="inlineStr">
        <is>
          <t>Nozari H.; Yordanova Z.</t>
        </is>
      </c>
      <c r="C51" s="49" t="n">
        <v>2026</v>
      </c>
      <c r="D51" s="49" t="inlineStr">
        <is>
          <t>A Self-Deciding Adaptive Digital Twin Framework Using Agentic AI for Fuzzy Multi-Objective Optimization of Food Logistics</t>
        </is>
      </c>
      <c r="E51" s="49" t="inlineStr">
        <is>
          <t>Algorithms</t>
        </is>
      </c>
      <c r="F51" s="49" t="inlineStr">
        <is>
          <t>10.3390/a19030218</t>
        </is>
      </c>
      <c r="G51" s="49" t="inlineStr"/>
      <c r="H51" s="49" t="inlineStr">
        <is>
          <t>Simulation/synthetic</t>
        </is>
      </c>
      <c r="I51" s="49" t="inlineStr">
        <is>
          <t>Food/cold chain</t>
        </is>
      </c>
      <c r="J51" s="49" t="inlineStr">
        <is>
          <t>Plan/Source/Deliver</t>
        </is>
      </c>
      <c r="K51" s="49" t="inlineStr">
        <is>
          <t>Y</t>
        </is>
      </c>
      <c r="L51" s="49" t="inlineStr">
        <is>
          <t>Hybrid</t>
        </is>
      </c>
      <c r="M51" s="49" t="inlineStr">
        <is>
          <t>Optimisation</t>
        </is>
      </c>
      <c r="N51" s="49" t="inlineStr">
        <is>
          <t>5 Prescriptive-autonomous</t>
        </is>
      </c>
      <c r="O51" s="49" t="inlineStr">
        <is>
          <t>Reduced</t>
        </is>
      </c>
      <c r="P51" s="49" t="inlineStr">
        <is>
          <t>Set objectives/constraints</t>
        </is>
      </c>
      <c r="Q51" s="49" t="inlineStr">
        <is>
          <t>Y</t>
        </is>
      </c>
      <c r="R51" s="49" t="inlineStr">
        <is>
          <t>Embedding a fuzzy multi-objective model in an adaptive digital twin whose agentic layer re-weights objectives from the twin state cut logistics cost ~4-5% and waste ~13% and raised service level ~4% versus static weights, with faster post-disruption recovery; the loop selects and implements policies with no human step.</t>
        </is>
      </c>
    </row>
    <row r="52">
      <c r="A52" s="49" t="inlineStr">
        <is>
          <t>R0525</t>
        </is>
      </c>
      <c r="B52" s="49" t="inlineStr">
        <is>
          <t>Ivanov D.; Gusikhin O.</t>
        </is>
      </c>
      <c r="C52" s="49" t="n">
        <v>2026</v>
      </c>
      <c r="D52" s="49" t="inlineStr">
        <is>
          <t>Supply chain digital twin design and implementation at scale: A case study at the Ford Motor Company and generalizations</t>
        </is>
      </c>
      <c r="E52" s="49" t="inlineStr">
        <is>
          <t>Omega (United Kingdom)</t>
        </is>
      </c>
      <c r="F52" s="49" t="inlineStr">
        <is>
          <t>10.1016/j.omega.2025.103447</t>
        </is>
      </c>
      <c r="G52" s="49" t="inlineStr"/>
      <c r="H52" s="49" t="inlineStr">
        <is>
          <t>Empirical case</t>
        </is>
      </c>
      <c r="I52" s="49" t="inlineStr">
        <is>
          <t>Automotive</t>
        </is>
      </c>
      <c r="J52" s="49" t="inlineStr">
        <is>
          <t>Plan/Source/Make/Deliver</t>
        </is>
      </c>
      <c r="K52" s="49" t="inlineStr">
        <is>
          <t>N</t>
        </is>
      </c>
      <c r="L52" s="49" t="inlineStr">
        <is>
          <t>Hybrid</t>
        </is>
      </c>
      <c r="M52" s="49" t="inlineStr">
        <is>
          <t>Decision support</t>
        </is>
      </c>
      <c r="N52" s="49" t="inlineStr">
        <is>
          <t>4 Prescriptive-advisory</t>
        </is>
      </c>
      <c r="O52" s="49" t="inlineStr">
        <is>
          <t>Maintained</t>
        </is>
      </c>
      <c r="P52" s="49" t="inlineStr">
        <is>
          <t>Interpret outputs</t>
        </is>
      </c>
      <c r="Q52" s="49" t="inlineStr">
        <is>
          <t>Y</t>
        </is>
      </c>
      <c r="R52" s="49" t="inlineStr">
        <is>
          <t>Ford's at-scale SCDT is a federated, three-layer (intracompany/Tier-1/deep-tier) twin whose executed AI is deep-learning-plus-survival-analysis supplier-shortfall forecasting; agentic AI is designed in as an orchestrator of point tools that alerts managers and recommends actions, while final decisions stay with humans; autonomous execution remains prospective (only e-mail alerts run unattended).</t>
        </is>
      </c>
    </row>
    <row r="53">
      <c r="A53" s="49" t="inlineStr">
        <is>
          <t>R0530</t>
        </is>
      </c>
      <c r="B53" s="49" t="inlineStr">
        <is>
          <t>Zhang C.; Wang X.; Liu L.</t>
        </is>
      </c>
      <c r="C53" s="49" t="n">
        <v>2026</v>
      </c>
      <c r="D53" s="49" t="inlineStr">
        <is>
          <t>Next-Generation AI‑Driven Digital Twin Framework for Market Volatility Warning and Risk Detection in Global Logistics Supply Chains</t>
        </is>
      </c>
      <c r="E53" s="49" t="inlineStr">
        <is>
          <t>IEEE Communications Standards Magazine</t>
        </is>
      </c>
      <c r="F53" s="49" t="inlineStr">
        <is>
          <t>10.1109/mcomstd.2025.3641867</t>
        </is>
      </c>
      <c r="G53" s="49" t="inlineStr"/>
      <c r="H53" s="49" t="inlineStr">
        <is>
          <t>Conceptual</t>
        </is>
      </c>
      <c r="I53" s="49" t="inlineStr">
        <is>
          <t>Global logistics / multimodal freight (vessels, trucks, ports, warehouses, cold chain)</t>
        </is>
      </c>
      <c r="J53" s="49" t="inlineStr">
        <is>
          <t>Plan/Deliver</t>
        </is>
      </c>
      <c r="K53" s="49" t="inlineStr">
        <is>
          <t>N</t>
        </is>
      </c>
      <c r="L53" s="49" t="inlineStr">
        <is>
          <t>Hybrid</t>
        </is>
      </c>
      <c r="M53" s="49" t="inlineStr">
        <is>
          <t>Anomaly detection</t>
        </is>
      </c>
      <c r="N53" s="49" t="inlineStr">
        <is>
          <t>3 Predictive</t>
        </is>
      </c>
      <c r="O53" s="49" t="inlineStr">
        <is>
          <t>Maintained</t>
        </is>
      </c>
      <c r="P53" s="49" t="inlineStr">
        <is>
          <t>Handle exceptions</t>
        </is>
      </c>
      <c r="Q53" s="49" t="inlineStr">
        <is>
          <t>Y</t>
        </is>
      </c>
      <c r="R53" s="49" t="inlineStr">
        <is>
          <t>Standards-aligned, security-centred AI-driven DT architecture for global logistics: 5G/6G sensor streams pass an edge node to a secure cloud that updates per-asset twins; gradient-boosted trees and LSTM models trained by federated learning detect anomalies and forecast volatility, and alerts go to operators for proactive intervention. Conceptual, no empirical validation.</t>
        </is>
      </c>
    </row>
    <row r="54">
      <c r="A54" s="49" t="inlineStr">
        <is>
          <t>R0554</t>
        </is>
      </c>
      <c r="B54" s="49" t="inlineStr">
        <is>
          <t>Ivanov D.</t>
        </is>
      </c>
      <c r="C54" s="49" t="n">
        <v>2025</v>
      </c>
      <c r="D54" s="49" t="inlineStr">
        <is>
          <t>Conceptual and formal models for design, adaptation, and control of digital twins in supply chain ecosystems</t>
        </is>
      </c>
      <c r="E54" s="49" t="inlineStr">
        <is>
          <t>Omega (United Kingdom)</t>
        </is>
      </c>
      <c r="F54" s="49" t="inlineStr">
        <is>
          <t>10.1016/j.omega.2025.103356</t>
        </is>
      </c>
      <c r="G54" s="49" t="inlineStr"/>
      <c r="H54" s="49" t="inlineStr">
        <is>
          <t>Conceptual</t>
        </is>
      </c>
      <c r="I54" s="49" t="inlineStr">
        <is>
          <t>Generic/cross-sector (illustrative scenarios: tariff-shock resilience stress testing; agri-food cereal supply chain in MENA via the CERERE platform under development)</t>
        </is>
      </c>
      <c r="J54" s="49" t="inlineStr">
        <is>
          <t>Plan/Source/Make/Deliver</t>
        </is>
      </c>
      <c r="K54" s="49" t="inlineStr">
        <is>
          <t>Y</t>
        </is>
      </c>
      <c r="L54" s="49" t="inlineStr">
        <is>
          <t>Hybrid</t>
        </is>
      </c>
      <c r="M54" s="49" t="inlineStr">
        <is>
          <t>Decision support</t>
        </is>
      </c>
      <c r="N54" s="49" t="inlineStr">
        <is>
          <t>4 Prescriptive-advisory</t>
        </is>
      </c>
      <c r="O54" s="49" t="inlineStr">
        <is>
          <t>Maintained</t>
        </is>
      </c>
      <c r="P54" s="49" t="inlineStr">
        <is>
          <t>Approve/override</t>
        </is>
      </c>
      <c r="Q54" s="49" t="inlineStr">
        <is>
          <t>Y</t>
        </is>
      </c>
      <c r="R54" s="49" t="inlineStr">
        <is>
          <t>Theory-building paper: defines the digital supply chain ecosystem, formalizes the twin as a control-theoretic decision-support loop (plan, control, observe, adapt) and a cyber-physical framework with a human-AI collaboration space; AI generates/adapts models and scenarios and recommends actions, while humans verify and decide (AI agent is support, not decision-maker).</t>
        </is>
      </c>
    </row>
    <row r="55">
      <c r="A55" s="49" t="inlineStr">
        <is>
          <t>R0564</t>
        </is>
      </c>
      <c r="B55" s="49" t="inlineStr">
        <is>
          <t>Neyra J.; Silva L.; Netto J.; Medina A.</t>
        </is>
      </c>
      <c r="C55" s="49" t="n">
        <v>2025</v>
      </c>
      <c r="D55" s="49" t="inlineStr">
        <is>
          <t>Optimization of Operations in Solid Bulk Port Terminals Using Digital Twin</t>
        </is>
      </c>
      <c r="E55" s="49" t="inlineStr">
        <is>
          <t>Proceedings - Winter Simulation Conference</t>
        </is>
      </c>
      <c r="F55" s="49" t="inlineStr">
        <is>
          <t>10.1109/wsc68292.2025.11339094</t>
        </is>
      </c>
      <c r="G55" s="49" t="inlineStr"/>
      <c r="H55" s="49" t="inlineStr">
        <is>
          <t>Empirical case</t>
        </is>
      </c>
      <c r="I55" s="49" t="inlineStr">
        <is>
          <t>Maritime/port (solid bulk / iron ore export terminal, Brazil)</t>
        </is>
      </c>
      <c r="J55" s="49" t="inlineStr">
        <is>
          <t>Plan/Deliver</t>
        </is>
      </c>
      <c r="K55" s="49" t="inlineStr">
        <is>
          <t>N</t>
        </is>
      </c>
      <c r="L55" s="49" t="inlineStr">
        <is>
          <t>Metaheuristic/evolutionary</t>
        </is>
      </c>
      <c r="M55" s="49" t="inlineStr">
        <is>
          <t>Optimisation</t>
        </is>
      </c>
      <c r="N55" s="49" t="inlineStr">
        <is>
          <t>4 Prescriptive-advisory</t>
        </is>
      </c>
      <c r="O55" s="49" t="inlineStr">
        <is>
          <t>Maintained</t>
        </is>
      </c>
      <c r="P55" s="49" t="inlineStr">
        <is>
          <t>Set objectives/constraints</t>
        </is>
      </c>
      <c r="Q55" s="49" t="inlineStr">
        <is>
          <t>Y</t>
        </is>
      </c>
      <c r="R55" s="49" t="inlineStr">
        <is>
          <t>AnyLogic agent-based simulation coupled with an Ant Colony System scheduler, validated against real terminal KPIs (deviations under 5%), cut total ship stay time from 199.6 h to 194.3 h in the base scenario (84.8 h with simultaneous yard-to-ship routes), with estimated demurrage savings of USD 130,750-788,969 within about five minutes.</t>
        </is>
      </c>
    </row>
    <row r="56">
      <c r="A56" s="49" t="inlineStr">
        <is>
          <t>R0589</t>
        </is>
      </c>
      <c r="B56" s="49" t="inlineStr">
        <is>
          <t>Shang, W; Wang, YJ; Zhu, AD; Chen, Y; Fu, PH; Li, XL; Zhu, LF; Sheng, JQ; Zhang, B; Yue, J</t>
        </is>
      </c>
      <c r="C56" s="49" t="n">
        <v>2025</v>
      </c>
      <c r="D56" s="49" t="inlineStr">
        <is>
          <t>DigiPyramid: A Multiresolution Digital Twin Framework for Reliable Logistics Management-Conceptualization, Implementation, and Intelligentization</t>
        </is>
      </c>
      <c r="E56" s="49" t="inlineStr">
        <is>
          <t>IEEE ACCESS</t>
        </is>
      </c>
      <c r="F56" s="49" t="inlineStr">
        <is>
          <t>10.1109/access.2025.3606168</t>
        </is>
      </c>
      <c r="G56" s="49" t="inlineStr"/>
      <c r="H56" s="49" t="inlineStr">
        <is>
          <t>Empirical case</t>
        </is>
      </c>
      <c r="I56" s="49" t="inlineStr">
        <is>
          <t>Warehousing/logistics (nationwide distribution network, China)</t>
        </is>
      </c>
      <c r="J56" s="49" t="inlineStr">
        <is>
          <t>Plan/Deliver</t>
        </is>
      </c>
      <c r="K56" s="49" t="inlineStr">
        <is>
          <t>N</t>
        </is>
      </c>
      <c r="L56" s="49" t="inlineStr">
        <is>
          <t>Hybrid</t>
        </is>
      </c>
      <c r="M56" s="49" t="inlineStr">
        <is>
          <t>Forecasting/estimation</t>
        </is>
      </c>
      <c r="N56" s="49" t="inlineStr">
        <is>
          <t>3 Predictive</t>
        </is>
      </c>
      <c r="O56" s="49" t="inlineStr">
        <is>
          <t>Maintained</t>
        </is>
      </c>
      <c r="P56" s="49" t="inlineStr">
        <is>
          <t>Interpret outputs; Set objectives/constraints</t>
        </is>
      </c>
      <c r="Q56" s="49" t="inlineStr">
        <is>
          <t>Y</t>
        </is>
      </c>
      <c r="R56" s="49" t="inlineStr">
        <is>
          <t>Implemented multiresolution logistics twin (DigiPyramid) for a Chinese nationwide logistics firm: RPA aggregates ERP/WMS/TMS data, Bayesian networks and computer vision fill 'breakpoints', 'gray boxes' and 'black boxes', and AHP-derived indicators serve four human decision levels (managers, planners, schedulers, operators); humans keep all decisions, AI only improves twin fidelity.</t>
        </is>
      </c>
    </row>
    <row r="57">
      <c r="A57" s="49" t="inlineStr">
        <is>
          <t>R0591</t>
        </is>
      </c>
      <c r="B57" s="49" t="inlineStr">
        <is>
          <t>Zhou, LY; Leng, SP; Quek, TQS</t>
        </is>
      </c>
      <c r="C57" s="49" t="n">
        <v>2025</v>
      </c>
      <c r="D57" s="49" t="inlineStr">
        <is>
          <t>VerDT: A Versatile Digital Twins Framework for UAVs-Based Industrial Cyber-Physical Systems</t>
        </is>
      </c>
      <c r="E57" s="49" t="inlineStr">
        <is>
          <t>IEEE TRANSACTIONS ON MOBILE COMPUTING</t>
        </is>
      </c>
      <c r="F57" s="49" t="inlineStr">
        <is>
          <t>10.1109/tmc.2025.3567284</t>
        </is>
      </c>
      <c r="G57" s="49" t="inlineStr"/>
      <c r="H57" s="49" t="inlineStr">
        <is>
          <t>Simulation/synthetic</t>
        </is>
      </c>
      <c r="I57" s="49" t="inlineStr">
        <is>
          <t>UAV logistics (parcel delivery)</t>
        </is>
      </c>
      <c r="J57" s="49" t="inlineStr">
        <is>
          <t>Deliver</t>
        </is>
      </c>
      <c r="K57" s="49" t="inlineStr">
        <is>
          <t>N</t>
        </is>
      </c>
      <c r="L57" s="49" t="inlineStr">
        <is>
          <t>Hybrid</t>
        </is>
      </c>
      <c r="M57" s="49" t="inlineStr">
        <is>
          <t>Optimisation</t>
        </is>
      </c>
      <c r="N57" s="49" t="inlineStr">
        <is>
          <t>5 Prescriptive-autonomous</t>
        </is>
      </c>
      <c r="O57" s="49" t="inlineStr">
        <is>
          <t>Replaced</t>
        </is>
      </c>
      <c r="P57" s="49" t="inlineStr">
        <is>
          <t>None</t>
        </is>
      </c>
      <c r="Q57" s="49" t="inlineStr">
        <is>
          <t>Y</t>
        </is>
      </c>
      <c r="R57" s="49" t="inlineStr">
        <is>
          <t>Edge-hosted double digital twin (learned resource-scheduling twin plus PSO path-planning twin, built from GAN-augmented data with attention-based learning and MA-DDPG) plans UAV parcel deliveries fully autonomously; hardware-in-the-loop Gazebo tests show 63.9% lower distribution latency and 10.9% higher successful-delivery ratio than benchmarks.</t>
        </is>
      </c>
    </row>
    <row r="58">
      <c r="A58" s="49" t="inlineStr">
        <is>
          <t>R0614</t>
        </is>
      </c>
      <c r="B58" s="49" t="inlineStr">
        <is>
          <t>Biller B.; Biller S.</t>
        </is>
      </c>
      <c r="C58" s="49" t="n">
        <v>2023</v>
      </c>
      <c r="D58" s="49" t="inlineStr">
        <is>
          <t>Implementing Digital Twins That Learn: AI and Simulation Are at the Core</t>
        </is>
      </c>
      <c r="E58" s="49" t="inlineStr">
        <is>
          <t>Machines</t>
        </is>
      </c>
      <c r="F58" s="49" t="inlineStr">
        <is>
          <t>10.3390/machines11040425</t>
        </is>
      </c>
      <c r="G58" s="49" t="inlineStr"/>
      <c r="H58" s="49" t="inlineStr">
        <is>
          <t>Conceptual</t>
        </is>
      </c>
      <c r="I58" s="49" t="inlineStr">
        <is>
          <t>Generic/cross-sector (manufacturing; factory and supply chain process twins, examples from semiconductor, battery, healthcare, consumer goods)</t>
        </is>
      </c>
      <c r="J58" s="49" t="inlineStr">
        <is>
          <t>Plan/Source/Make/Deliver</t>
        </is>
      </c>
      <c r="K58" s="49" t="inlineStr">
        <is>
          <t>Y</t>
        </is>
      </c>
      <c r="L58" s="49" t="inlineStr">
        <is>
          <t>Hybrid</t>
        </is>
      </c>
      <c r="M58" s="49" t="inlineStr">
        <is>
          <t>Decision support</t>
        </is>
      </c>
      <c r="N58" s="49" t="inlineStr">
        <is>
          <t>4 Prescriptive-advisory</t>
        </is>
      </c>
      <c r="O58" s="49" t="inlineStr">
        <is>
          <t>Maintained</t>
        </is>
      </c>
      <c r="P58" s="49" t="inlineStr">
        <is>
          <t>Interpret outputs</t>
        </is>
      </c>
      <c r="Q58" s="49" t="inlineStr">
        <is>
          <t>Y</t>
        </is>
      </c>
      <c r="R58" s="49" t="inlineStr">
        <is>
          <t>Conceptual framing of process (factory/supply chain) digital twins as evolving, learning systems built on four elements (Data, Domain, Analytics, Outcome) and three functions (offline model development, real-time synchronization, online learning); discrete-event simulation augmented by ML surrogates, RL agents and computer vision describes, predicts and prescribes actions on factory/supply-chain KPIs.</t>
        </is>
      </c>
    </row>
    <row r="59">
      <c r="A59" s="49" t="inlineStr">
        <is>
          <t>R0621</t>
        </is>
      </c>
      <c r="B59" s="49" t="inlineStr">
        <is>
          <t>Melesse T.Y.; Bollo M.; Di Pasquale V.; Riemma S.</t>
        </is>
      </c>
      <c r="C59" s="49" t="n">
        <v>2022</v>
      </c>
      <c r="D59" s="49" t="inlineStr">
        <is>
          <t>Digital Twin for Inventory Planning of Fresh Produce</t>
        </is>
      </c>
      <c r="E59" s="49" t="inlineStr">
        <is>
          <t>IFAC-PapersOnLine</t>
        </is>
      </c>
      <c r="F59" s="49" t="inlineStr">
        <is>
          <t>10.1016/j.ifacol.2022.10.134</t>
        </is>
      </c>
      <c r="G59" s="49" t="inlineStr"/>
      <c r="H59" s="49" t="inlineStr">
        <is>
          <t>Empirical case</t>
        </is>
      </c>
      <c r="I59" s="49" t="inlineStr">
        <is>
          <t>Food/cold chain (non-profit food bank, fresh fruit)</t>
        </is>
      </c>
      <c r="J59" s="49" t="inlineStr">
        <is>
          <t>Plan/Source/Deliver</t>
        </is>
      </c>
      <c r="K59" s="49" t="inlineStr">
        <is>
          <t>N</t>
        </is>
      </c>
      <c r="L59" s="49" t="inlineStr">
        <is>
          <t>Other</t>
        </is>
      </c>
      <c r="M59" s="49" t="inlineStr">
        <is>
          <t>Forecasting/estimation</t>
        </is>
      </c>
      <c r="N59" s="49" t="inlineStr">
        <is>
          <t>3 Predictive</t>
        </is>
      </c>
      <c r="O59" s="49" t="inlineStr">
        <is>
          <t>Maintained</t>
        </is>
      </c>
      <c r="P59" s="49" t="inlineStr">
        <is>
          <t>Interpret outputs</t>
        </is>
      </c>
      <c r="Q59" s="49" t="inlineStr">
        <is>
          <t>Y</t>
        </is>
      </c>
      <c r="R59" s="49" t="inlineStr">
        <is>
          <t>A time-series forecasting model in SAP Analytics Cloud (Smart Predict) on the food bank's historical donation and distribution data is framed as a continuously updated digital twin that predicts inbound donations and charity demand, letting operators reschedule deliveries and run what-if scenarios to cut fruit waste; no accuracy metrics reported.</t>
        </is>
      </c>
    </row>
    <row r="60">
      <c r="A60" s="49" t="inlineStr">
        <is>
          <t>R0629</t>
        </is>
      </c>
      <c r="B60" s="49" t="inlineStr">
        <is>
          <t>Shi L.; Yan L.; Shuqing B.; Cuobo Z.; Yuanchong C.</t>
        </is>
      </c>
      <c r="C60" s="49" t="n">
        <v>2021</v>
      </c>
      <c r="D60" s="49" t="inlineStr">
        <is>
          <t>Research on Intelligent Assembly Modes of Aerospace Products Based on Digital Twin</t>
        </is>
      </c>
      <c r="E60" s="49" t="inlineStr">
        <is>
          <t>Journal of Physics: Conference Series</t>
        </is>
      </c>
      <c r="F60" s="49" t="inlineStr">
        <is>
          <t>10.1088/1742-6596/1756/1/012011</t>
        </is>
      </c>
      <c r="G60" s="49" t="inlineStr">
        <is>
          <t>Make</t>
        </is>
      </c>
      <c r="H60" s="49" t="inlineStr">
        <is>
          <t>Empirical case</t>
        </is>
      </c>
      <c r="I60" s="49" t="inlineStr">
        <is>
          <t>Aerospace</t>
        </is>
      </c>
      <c r="J60" s="49" t="inlineStr">
        <is>
          <t>Plan/Make</t>
        </is>
      </c>
      <c r="K60" s="49" t="inlineStr">
        <is>
          <t>N</t>
        </is>
      </c>
      <c r="L60" s="49" t="inlineStr">
        <is>
          <t>Other</t>
        </is>
      </c>
      <c r="M60" s="49" t="inlineStr">
        <is>
          <t>Optimisation</t>
        </is>
      </c>
      <c r="N60" s="49" t="inlineStr">
        <is>
          <t>5 Prescriptive-autonomous</t>
        </is>
      </c>
      <c r="O60" s="49" t="inlineStr">
        <is>
          <t>Reduced</t>
        </is>
      </c>
      <c r="P60" s="49" t="inlineStr">
        <is>
          <t>Interpret outputs</t>
        </is>
      </c>
      <c r="Q60" s="49" t="inlineStr">
        <is>
          <t>N</t>
        </is>
      </c>
      <c r="R60" s="49" t="inlineStr">
        <is>
          <t>A three-layer (hardware/software/application) digital-twin assembly platform for aerospace mixed-line production couples a workshop-level twin (plan, logistics and quality optimization via data mining) with a line-level twin (fuzzy-reasoning model matching driving equipment monitoring, path and inventory optimization); optimized information is fed back automatically to the shop floor.</t>
        </is>
      </c>
    </row>
    <row r="61">
      <c r="A61" s="49" t="inlineStr">
        <is>
          <t>R0639</t>
        </is>
      </c>
      <c r="B61" s="49" t="inlineStr">
        <is>
          <t>Gao D.; Zhao H.</t>
        </is>
      </c>
      <c r="C61" s="49" t="n">
        <v>2026</v>
      </c>
      <c r="D61" s="49" t="inlineStr">
        <is>
          <t>A Big Data-Driven Knowledge Framework for Supply Chain Risk Prediction and Performance Optimization in Multinational Corporations</t>
        </is>
      </c>
      <c r="E61" s="49" t="inlineStr">
        <is>
          <t>International Journal of Knowledge Management</t>
        </is>
      </c>
      <c r="F61" s="49" t="inlineStr">
        <is>
          <t>10.4018/ijkm.402393</t>
        </is>
      </c>
      <c r="G61" s="49" t="inlineStr"/>
      <c r="H61" s="49" t="inlineStr">
        <is>
          <t>Simulation/synthetic</t>
        </is>
      </c>
      <c r="I61" s="49" t="inlineStr">
        <is>
          <t>Generic/cross-sector</t>
        </is>
      </c>
      <c r="J61" s="49" t="inlineStr">
        <is>
          <t>Plan/Source/Deliver</t>
        </is>
      </c>
      <c r="K61" s="49" t="inlineStr">
        <is>
          <t>Y</t>
        </is>
      </c>
      <c r="L61" s="49" t="inlineStr">
        <is>
          <t>Hybrid</t>
        </is>
      </c>
      <c r="M61" s="49" t="inlineStr">
        <is>
          <t>Forecasting/estimation</t>
        </is>
      </c>
      <c r="N61" s="49" t="inlineStr">
        <is>
          <t>4 Prescriptive-advisory</t>
        </is>
      </c>
      <c r="O61" s="49" t="inlineStr">
        <is>
          <t>Maintained</t>
        </is>
      </c>
      <c r="P61" s="49" t="inlineStr">
        <is>
          <t>Interpret outputs</t>
        </is>
      </c>
      <c r="Q61" s="49" t="inlineStr">
        <is>
          <t>Y</t>
        </is>
      </c>
      <c r="R61" s="49" t="inlineStr">
        <is>
          <t>Three-layer framework (ML/DL risk scoring, digital-twin scenario testing, performance linkage) on a synthetic MNC panel: Federated GCN gave the best disruption prediction (AUC 0.94); twin scenarios showed cross-border diversity, digitalization and ESG dampened climate-shock losses and cut recovery from eight to five months.</t>
        </is>
      </c>
    </row>
    <row r="62">
      <c r="A62" s="49" t="inlineStr">
        <is>
          <t>R0663</t>
        </is>
      </c>
      <c r="B62" s="49" t="inlineStr">
        <is>
          <t>Lu X.; Lin Y.; Ng H.; Liu Y.</t>
        </is>
      </c>
      <c r="C62" s="49" t="n">
        <v>2025</v>
      </c>
      <c r="D62" s="49" t="inlineStr">
        <is>
          <t>When Interpretability Meets Efficiency: Integrating Emulation into Supply Chain Simulation</t>
        </is>
      </c>
      <c r="E62" s="49" t="inlineStr">
        <is>
          <t>Proceedings - Winter Simulation Conference</t>
        </is>
      </c>
      <c r="F62" s="49" t="inlineStr">
        <is>
          <t>10.1109/wsc68292.2025.11339053</t>
        </is>
      </c>
      <c r="G62" s="49" t="inlineStr"/>
      <c r="H62" s="49" t="inlineStr">
        <is>
          <t>Empirical case</t>
        </is>
      </c>
      <c r="I62" s="49" t="inlineStr">
        <is>
          <t>Retail (Amazon e-commerce retail supply chain: vendors, purchase orders, fulfilment warehouses, customer outbound)</t>
        </is>
      </c>
      <c r="J62" s="49" t="inlineStr">
        <is>
          <t>Plan/Source/Deliver</t>
        </is>
      </c>
      <c r="K62" s="49" t="inlineStr">
        <is>
          <t>Y</t>
        </is>
      </c>
      <c r="L62" s="49" t="inlineStr">
        <is>
          <t>Classical ML</t>
        </is>
      </c>
      <c r="M62" s="49" t="inlineStr">
        <is>
          <t>Simulation surrogate</t>
        </is>
      </c>
      <c r="N62" s="49" t="inlineStr">
        <is>
          <t>3 Predictive</t>
        </is>
      </c>
      <c r="O62" s="49" t="inlineStr">
        <is>
          <t>Maintained</t>
        </is>
      </c>
      <c r="P62" s="49" t="inlineStr">
        <is>
          <t>Interpret outputs</t>
        </is>
      </c>
      <c r="Q62" s="49" t="inlineStr">
        <is>
          <t>Y</t>
        </is>
      </c>
      <c r="R62" s="49" t="inlineStr">
        <is>
          <t>SEmulate replaces the computationally expensive OR order-placing optimisation inside Amazon's digital-twin supply chain simulator with monotonic XGBoost emulators plus ML vendor fill-rate predictors, keeping physics-based inbound/outbound logic; runtime falls ~90% (orders of magnitude) with ~3% accuracy loss, enabling rapid, interpretable counterfactual experimentation for decision-makers.</t>
        </is>
      </c>
    </row>
    <row r="63">
      <c r="A63" s="49" t="inlineStr">
        <is>
          <t>R0674</t>
        </is>
      </c>
      <c r="B63" s="49" t="inlineStr">
        <is>
          <t>Ashraf M.; Eltawil A.; Ali I.</t>
        </is>
      </c>
      <c r="C63" s="49" t="n">
        <v>2024</v>
      </c>
      <c r="D63" s="49" t="inlineStr">
        <is>
          <t>Disruption detection for a cognitive digital supply chain twin using hybrid deep learning</t>
        </is>
      </c>
      <c r="E63" s="49" t="inlineStr">
        <is>
          <t>Operational Research</t>
        </is>
      </c>
      <c r="F63" s="49" t="inlineStr">
        <is>
          <t>10.1007/s12351-024-00831-y</t>
        </is>
      </c>
      <c r="G63" s="49" t="inlineStr"/>
      <c r="H63" s="49" t="inlineStr">
        <is>
          <t>Simulation/synthetic</t>
        </is>
      </c>
      <c r="I63" s="49" t="inlineStr">
        <is>
          <t>Generic/cross-sector</t>
        </is>
      </c>
      <c r="J63" s="49" t="inlineStr">
        <is>
          <t>Plan/Source/Make/Deliver</t>
        </is>
      </c>
      <c r="K63" s="49" t="inlineStr">
        <is>
          <t>Y</t>
        </is>
      </c>
      <c r="L63" s="49" t="inlineStr">
        <is>
          <t>Hybrid</t>
        </is>
      </c>
      <c r="M63" s="49" t="inlineStr">
        <is>
          <t>Anomaly detection; Forecasting/estimation</t>
        </is>
      </c>
      <c r="N63" s="49" t="inlineStr">
        <is>
          <t>3 Predictive</t>
        </is>
      </c>
      <c r="O63" s="49" t="inlineStr">
        <is>
          <t>Maintained</t>
        </is>
      </c>
      <c r="P63" s="49" t="inlineStr">
        <is>
          <t>Interpret outputs; Set objectives/constraints</t>
        </is>
      </c>
      <c r="Q63" s="49" t="inlineStr">
        <is>
          <t>Y</t>
        </is>
      </c>
      <c r="R63" s="49" t="inlineStr">
        <is>
          <t>CDSCT framework whose disruption-detection module (deep autoencoder + OCSVM) reached 97.6% recall, 2.5% false alarms and 7.1-day mean detection lag on a simulated make-to-order three-echelon supply chain; LSTM models identify the disrupted echelon and predict time-to-recovery; outputs inform human decision-makers, who deploy recovery policies and choose the sensitivity/false-alarm trade-off.</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2026-08-18T19:14:00Z</dcterms:created>
  <dcterms:modified xmlns:dcterms="http://purl.org/dc/terms/" xmlns:xsi="http://www.w3.org/2001/XMLSchema-instance" xsi:type="dcterms:W3CDTF">2026-09-16T02:52:46Z</dcterms:modified>
  <cp:revision>0</cp:revision>
</cp:coreProperties>
</file>